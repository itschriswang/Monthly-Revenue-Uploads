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ount_Setup_and_Data_Load" sheetId="1" state="visible" r:id="rId1"/>
    <sheet name="Prep - with formulas" sheetId="2" state="visible" r:id="rId2"/>
    <sheet name="FY27 Revenue" sheetId="3" state="visible" r:id="rId3"/>
    <sheet name="Extract_for_Locations 1 Oct 25" sheetId="4" state="visible" r:id="rId4"/>
    <sheet name="Extract for Accounts 1 Oct 25" sheetId="5" state="visible" r:id="rId5"/>
    <sheet name="Jul Check - By Line Item" sheetId="6" state="visible" r:id="rId6"/>
    <sheet name="Monthly Totals Check" sheetId="7" state="visible" r:id="rId7"/>
  </sheets>
  <definedNames/>
  <calcPr calcId="124519" fullCalcOnLoad="1"/>
</workbook>
</file>

<file path=xl/styles.xml><?xml version="1.0" encoding="utf-8"?>
<styleSheet xmlns="http://schemas.openxmlformats.org/spreadsheetml/2006/main">
  <numFmts count="4">
    <numFmt numFmtId="164" formatCode="0.0"/>
    <numFmt numFmtId="165" formatCode="m/d/yyyy"/>
    <numFmt numFmtId="166" formatCode="m/d/yyyy\ h:mm"/>
    <numFmt numFmtId="167" formatCode="yyyy-mm-dd"/>
  </numFmts>
  <fonts count="4">
    <font>
      <name val="Calibri"/>
      <family val="2"/>
      <color theme="1"/>
      <sz val="11"/>
      <scheme val="minor"/>
    </font>
    <font>
      <name val="Aptos Narrow"/>
      <b val="1"/>
      <sz val="11"/>
    </font>
    <font>
      <name val="Aptos Narrow"/>
      <sz val="11"/>
    </font>
    <font>
      <name val="Aptos Narrow"/>
      <i val="1"/>
      <sz val="10"/>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164" fontId="2" fillId="0" borderId="0" pivotButton="0" quotePrefix="0" xfId="0"/>
    <xf numFmtId="164" fontId="1" fillId="0" borderId="0" pivotButton="0" quotePrefix="0" xfId="0"/>
    <xf numFmtId="0" fontId="3" fillId="0" borderId="0" pivotButton="0" quotePrefix="0" xfId="0"/>
    <xf numFmtId="165" fontId="2" fillId="0" borderId="0" pivotButton="0" quotePrefix="0" xfId="0"/>
    <xf numFmtId="3" fontId="2" fillId="0" borderId="0" pivotButton="0" quotePrefix="0" xfId="0"/>
    <xf numFmtId="166" fontId="2" fillId="0" borderId="0" pivotButton="0" quotePrefix="0" xfId="0"/>
    <xf numFmtId="167" fontId="2" fillId="0" borderId="0" pivotButton="0" quotePrefix="0" xfId="0"/>
    <xf numFmtId="167" fontId="2" fillId="0" borderId="0" pivotButton="0" quotePrefix="0" xfId="0"/>
    <xf numFmtId="165" fontId="2" fillId="0" borderId="0" pivotButton="0" quotePrefix="0" xfId="0"/>
    <xf numFmtId="166"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Claude</author>
  </authors>
  <commentList>
    <comment ref="C64" authorId="0" shapeId="0">
      <text>
        <t>Assumption: this line item is new in the Jul-26 FY27 source extract and had no corresponding line in the FY26 setup workbook. Carried into FY27 at its source value (0.0 this month) following the same treatment used when the FY26 June setup added new business units (e.g. Stockland IFM).</t>
      </text>
    </comment>
    <comment ref="C65" authorId="0" shapeId="0">
      <text>
        <t>Assumption: this line item is new in the Jul-26 FY27 source extract and had no corresponding line in the FY26 setup workbook. Carried into FY27 at its source value (0.0 this month) following the same treatment used when the FY26 June setup added new business units (e.g. Stockland IFM).</t>
      </text>
    </comment>
    <comment ref="C66" authorId="0" shapeId="0">
      <text>
        <t>Assumption: this line item is new in the Jul-26 FY27 source extract and had no corresponding line in the FY26 setup workbook. Carried into FY27 at its source value (0.0 this month) following the same treatment used when the FY26 June setup added new business units (e.g. Stockland IFM).</t>
      </text>
    </comment>
    <comment ref="C67" authorId="0" shapeId="0">
      <text>
        <t>Assumption: this line item is new in the Jul-26 FY27 source extract and had no corresponding line in the FY26 setup workbook. Carried into FY27 at its source value (0.0 this month) following the same treatment used when the FY26 June setup added new business units (e.g. Stockland IFM).</t>
      </text>
    </comment>
    <comment ref="C68" authorId="0" shapeId="0">
      <text>
        <t>Assumption: this line item is new in the Jul-26 FY27 source extract and had no corresponding line in the FY26 setup workbook. Carried into FY27 at its source value (0.0 this month) following the same treatment used when the FY26 June setup added new business units (e.g. Stockland IFM).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U68"/>
  <sheetViews>
    <sheetView tabSelected="0" workbookViewId="0">
      <selection activeCell="A1" sqref="A1"/>
    </sheetView>
  </sheetViews>
  <sheetFormatPr baseColWidth="8" defaultRowHeight="15"/>
  <cols>
    <col width="32" customWidth="1" min="3" max="3"/>
    <col width="26" customWidth="1" min="8" max="8"/>
    <col width="26" customWidth="1" min="9" max="9"/>
  </cols>
  <sheetData>
    <row r="1">
      <c r="A1" s="1" t="inlineStr">
        <is>
          <t>Organization Link</t>
        </is>
      </c>
      <c r="B1" s="1" t="inlineStr">
        <is>
          <t>Organization</t>
        </is>
      </c>
      <c r="C1" s="1" t="inlineStr">
        <is>
          <t>Location</t>
        </is>
      </c>
      <c r="D1" s="1" t="inlineStr">
        <is>
          <t>Location Ref</t>
        </is>
      </c>
      <c r="E1" s="1" t="inlineStr">
        <is>
          <t>Account Style Link</t>
        </is>
      </c>
      <c r="F1" s="1" t="inlineStr">
        <is>
          <t>Account Style Caption</t>
        </is>
      </c>
      <c r="G1" s="1" t="inlineStr">
        <is>
          <t>Account Subtype</t>
        </is>
      </c>
      <c r="H1" s="1" t="inlineStr">
        <is>
          <t>Account Number</t>
        </is>
      </c>
      <c r="I1" s="1" t="inlineStr">
        <is>
          <t>Account Reference</t>
        </is>
      </c>
      <c r="J1" s="1" t="inlineStr">
        <is>
          <t>Account Supplier</t>
        </is>
      </c>
      <c r="K1" s="1" t="inlineStr">
        <is>
          <t>Account Reader</t>
        </is>
      </c>
      <c r="L1" s="1" t="inlineStr">
        <is>
          <t>Record Start YYYY-MM-DD</t>
        </is>
      </c>
      <c r="M1" s="1" t="inlineStr">
        <is>
          <t>Record End YYYY-MM-DD</t>
        </is>
      </c>
      <c r="N1" s="1" t="inlineStr">
        <is>
          <t>Record Data Quality</t>
        </is>
      </c>
      <c r="O1" s="1" t="inlineStr">
        <is>
          <t>Record Billing Type</t>
        </is>
      </c>
      <c r="P1" s="1" t="inlineStr">
        <is>
          <t>Record Subtype</t>
        </is>
      </c>
      <c r="Q1" s="1" t="inlineStr">
        <is>
          <t>Record Entry Method</t>
        </is>
      </c>
      <c r="R1" s="1" t="inlineStr">
        <is>
          <t>Record Reference</t>
        </is>
      </c>
      <c r="S1" s="1" t="inlineStr">
        <is>
          <t>Record Invoice Number</t>
        </is>
      </c>
      <c r="T1" s="1" t="inlineStr">
        <is>
          <t>Quantity</t>
        </is>
      </c>
      <c r="U1" s="1" t="inlineStr">
        <is>
          <t>Total Cost</t>
        </is>
      </c>
    </row>
    <row r="2">
      <c r="A2" s="2" t="n">
        <v>37395</v>
      </c>
      <c r="B2" s="2" t="inlineStr">
        <is>
          <t>Downer</t>
        </is>
      </c>
      <c r="C2" s="2">
        <f>CONCATENATE("REV","_",'FY27 Revenue'!B2)</f>
        <v/>
      </c>
      <c r="D2" s="2">
        <f>IFERROR(INDEX('Extract_for_Locations 1 Oct 25'!$E$2:$E$3450,MATCH(C2,'Extract_for_Locations 1 Oct 25'!$B$2:$B$3450,0)),"")</f>
        <v/>
      </c>
      <c r="E2" s="2" t="n">
        <v>7868</v>
      </c>
      <c r="F2" s="2" t="inlineStr">
        <is>
          <t>Revenue - AUD Million</t>
        </is>
      </c>
      <c r="H2" s="2">
        <f>CONCATENATE("FY27REV_",'FY27 Revenue'!B2)</f>
        <v/>
      </c>
      <c r="I2" s="2">
        <f>CONCATENATE("FY27REV_",'FY27 Revenue'!B2)</f>
        <v/>
      </c>
      <c r="J2" s="2" t="inlineStr">
        <is>
          <t>Downer</t>
        </is>
      </c>
      <c r="K2" s="2" t="inlineStr">
        <is>
          <t>Revenue</t>
        </is>
      </c>
      <c r="L2" s="10" t="n">
        <v>46204</v>
      </c>
      <c r="M2" s="10" t="n">
        <v>46234</v>
      </c>
      <c r="N2" s="2" t="inlineStr">
        <is>
          <t>Actual</t>
        </is>
      </c>
      <c r="O2" s="2" t="inlineStr">
        <is>
          <t>Standard</t>
        </is>
      </c>
      <c r="Q2" s="2" t="inlineStr">
        <is>
          <t>Insert</t>
        </is>
      </c>
      <c r="R2" s="2">
        <f>'FY27 Revenue'!C2</f>
        <v/>
      </c>
      <c r="S2" s="2">
        <f>'FY27 Revenue'!C2</f>
        <v/>
      </c>
      <c r="T2" s="2">
        <f>'FY27 Revenue'!D2</f>
        <v/>
      </c>
    </row>
    <row r="3">
      <c r="A3" s="2" t="n">
        <v>37395</v>
      </c>
      <c r="B3" s="2" t="inlineStr">
        <is>
          <t>Downer</t>
        </is>
      </c>
      <c r="C3" s="2">
        <f>CONCATENATE("REV","_",'FY27 Revenue'!B3)</f>
        <v/>
      </c>
      <c r="D3" s="2">
        <f>IFERROR(INDEX('Extract_for_Locations 1 Oct 25'!$E$2:$E$3450,MATCH(C3,'Extract_for_Locations 1 Oct 25'!$B$2:$B$3450,0)),"")</f>
        <v/>
      </c>
      <c r="E3" s="2" t="n">
        <v>7868</v>
      </c>
      <c r="F3" s="2" t="inlineStr">
        <is>
          <t>Revenue - AUD Million</t>
        </is>
      </c>
      <c r="H3" s="2">
        <f>CONCATENATE("FY27REV_",'FY27 Revenue'!B3)</f>
        <v/>
      </c>
      <c r="I3" s="2">
        <f>CONCATENATE("FY27REV_",'FY27 Revenue'!B3)</f>
        <v/>
      </c>
      <c r="J3" s="2" t="inlineStr">
        <is>
          <t>Downer</t>
        </is>
      </c>
      <c r="K3" s="2" t="inlineStr">
        <is>
          <t>Revenue</t>
        </is>
      </c>
      <c r="L3" s="10" t="n">
        <v>46204</v>
      </c>
      <c r="M3" s="10" t="n">
        <v>46234</v>
      </c>
      <c r="N3" s="2" t="inlineStr">
        <is>
          <t>Actual</t>
        </is>
      </c>
      <c r="O3" s="2" t="inlineStr">
        <is>
          <t>Standard</t>
        </is>
      </c>
      <c r="Q3" s="2" t="inlineStr">
        <is>
          <t>Insert</t>
        </is>
      </c>
      <c r="R3" s="2">
        <f>'FY27 Revenue'!C3</f>
        <v/>
      </c>
      <c r="S3" s="2">
        <f>'FY27 Revenue'!C3</f>
        <v/>
      </c>
      <c r="T3" s="2">
        <f>'FY27 Revenue'!D3</f>
        <v/>
      </c>
    </row>
    <row r="4">
      <c r="A4" s="2" t="n">
        <v>37395</v>
      </c>
      <c r="B4" s="2" t="inlineStr">
        <is>
          <t>Downer</t>
        </is>
      </c>
      <c r="C4" s="2">
        <f>CONCATENATE("REV","_",'FY27 Revenue'!B4)</f>
        <v/>
      </c>
      <c r="D4" s="2">
        <f>IFERROR(INDEX('Extract_for_Locations 1 Oct 25'!$E$2:$E$3450,MATCH(C4,'Extract_for_Locations 1 Oct 25'!$B$2:$B$3450,0)),"")</f>
        <v/>
      </c>
      <c r="E4" s="2" t="n">
        <v>7868</v>
      </c>
      <c r="F4" s="2" t="inlineStr">
        <is>
          <t>Revenue - AUD Million</t>
        </is>
      </c>
      <c r="H4" s="2">
        <f>CONCATENATE("FY27REV_",'FY27 Revenue'!B4)</f>
        <v/>
      </c>
      <c r="I4" s="2">
        <f>CONCATENATE("FY27REV_",'FY27 Revenue'!B4)</f>
        <v/>
      </c>
      <c r="J4" s="2" t="inlineStr">
        <is>
          <t>Downer</t>
        </is>
      </c>
      <c r="K4" s="2" t="inlineStr">
        <is>
          <t>Revenue</t>
        </is>
      </c>
      <c r="L4" s="10" t="n">
        <v>46204</v>
      </c>
      <c r="M4" s="10" t="n">
        <v>46234</v>
      </c>
      <c r="N4" s="2" t="inlineStr">
        <is>
          <t>Actual</t>
        </is>
      </c>
      <c r="O4" s="2" t="inlineStr">
        <is>
          <t>Standard</t>
        </is>
      </c>
      <c r="Q4" s="2" t="inlineStr">
        <is>
          <t>Insert</t>
        </is>
      </c>
      <c r="R4" s="2">
        <f>'FY27 Revenue'!C4</f>
        <v/>
      </c>
      <c r="S4" s="2">
        <f>'FY27 Revenue'!C4</f>
        <v/>
      </c>
      <c r="T4" s="2">
        <f>'FY27 Revenue'!D4</f>
        <v/>
      </c>
    </row>
    <row r="5">
      <c r="A5" s="2" t="n">
        <v>37395</v>
      </c>
      <c r="B5" s="2" t="inlineStr">
        <is>
          <t>Downer</t>
        </is>
      </c>
      <c r="C5" s="2">
        <f>CONCATENATE("REV","_",'FY27 Revenue'!B5)</f>
        <v/>
      </c>
      <c r="D5" s="2">
        <f>IFERROR(INDEX('Extract_for_Locations 1 Oct 25'!$E$2:$E$3450,MATCH(C5,'Extract_for_Locations 1 Oct 25'!$B$2:$B$3450,0)),"")</f>
        <v/>
      </c>
      <c r="E5" s="2" t="n">
        <v>7868</v>
      </c>
      <c r="F5" s="2" t="inlineStr">
        <is>
          <t>Revenue - AUD Million</t>
        </is>
      </c>
      <c r="H5" s="2">
        <f>CONCATENATE("FY27REV_",'FY27 Revenue'!B5)</f>
        <v/>
      </c>
      <c r="I5" s="2">
        <f>CONCATENATE("FY27REV_",'FY27 Revenue'!B5)</f>
        <v/>
      </c>
      <c r="J5" s="2" t="inlineStr">
        <is>
          <t>Downer</t>
        </is>
      </c>
      <c r="K5" s="2" t="inlineStr">
        <is>
          <t>Revenue</t>
        </is>
      </c>
      <c r="L5" s="10" t="n">
        <v>46204</v>
      </c>
      <c r="M5" s="10" t="n">
        <v>46234</v>
      </c>
      <c r="N5" s="2" t="inlineStr">
        <is>
          <t>Actual</t>
        </is>
      </c>
      <c r="O5" s="2" t="inlineStr">
        <is>
          <t>Standard</t>
        </is>
      </c>
      <c r="Q5" s="2" t="inlineStr">
        <is>
          <t>Insert</t>
        </is>
      </c>
      <c r="R5" s="2">
        <f>'FY27 Revenue'!C5</f>
        <v/>
      </c>
      <c r="S5" s="2">
        <f>'FY27 Revenue'!C5</f>
        <v/>
      </c>
      <c r="T5" s="2">
        <f>'FY27 Revenue'!D5</f>
        <v/>
      </c>
    </row>
    <row r="6">
      <c r="A6" s="2" t="n">
        <v>37395</v>
      </c>
      <c r="B6" s="2" t="inlineStr">
        <is>
          <t>Downer</t>
        </is>
      </c>
      <c r="C6" s="2">
        <f>CONCATENATE("REV","_",'FY27 Revenue'!B6)</f>
        <v/>
      </c>
      <c r="D6" s="2">
        <f>IFERROR(INDEX('Extract_for_Locations 1 Oct 25'!$E$2:$E$3450,MATCH(C6,'Extract_for_Locations 1 Oct 25'!$B$2:$B$3450,0)),"")</f>
        <v/>
      </c>
      <c r="E6" s="2" t="n">
        <v>7868</v>
      </c>
      <c r="F6" s="2" t="inlineStr">
        <is>
          <t>Revenue - AUD Million</t>
        </is>
      </c>
      <c r="H6" s="2">
        <f>CONCATENATE("FY27REV_",'FY27 Revenue'!B6)</f>
        <v/>
      </c>
      <c r="I6" s="2">
        <f>CONCATENATE("FY27REV_",'FY27 Revenue'!B6)</f>
        <v/>
      </c>
      <c r="J6" s="2" t="inlineStr">
        <is>
          <t>Downer</t>
        </is>
      </c>
      <c r="K6" s="2" t="inlineStr">
        <is>
          <t>Revenue</t>
        </is>
      </c>
      <c r="L6" s="10" t="n">
        <v>46204</v>
      </c>
      <c r="M6" s="10" t="n">
        <v>46234</v>
      </c>
      <c r="N6" s="2" t="inlineStr">
        <is>
          <t>Actual</t>
        </is>
      </c>
      <c r="O6" s="2" t="inlineStr">
        <is>
          <t>Standard</t>
        </is>
      </c>
      <c r="Q6" s="2" t="inlineStr">
        <is>
          <t>Insert</t>
        </is>
      </c>
      <c r="R6" s="2">
        <f>'FY27 Revenue'!C6</f>
        <v/>
      </c>
      <c r="S6" s="2">
        <f>'FY27 Revenue'!C6</f>
        <v/>
      </c>
      <c r="T6" s="2">
        <f>'FY27 Revenue'!D6</f>
        <v/>
      </c>
    </row>
    <row r="7">
      <c r="A7" s="2" t="n">
        <v>37395</v>
      </c>
      <c r="B7" s="2" t="inlineStr">
        <is>
          <t>Downer</t>
        </is>
      </c>
      <c r="C7" s="2">
        <f>CONCATENATE("REV","_",'FY27 Revenue'!B7)</f>
        <v/>
      </c>
      <c r="D7" s="2">
        <f>IFERROR(INDEX('Extract_for_Locations 1 Oct 25'!$E$2:$E$3450,MATCH(C7,'Extract_for_Locations 1 Oct 25'!$B$2:$B$3450,0)),"")</f>
        <v/>
      </c>
      <c r="E7" s="2" t="n">
        <v>7868</v>
      </c>
      <c r="F7" s="2" t="inlineStr">
        <is>
          <t>Revenue - AUD Million</t>
        </is>
      </c>
      <c r="H7" s="2">
        <f>CONCATENATE("FY27REV_",'FY27 Revenue'!B7)</f>
        <v/>
      </c>
      <c r="I7" s="2">
        <f>CONCATENATE("FY27REV_",'FY27 Revenue'!B7)</f>
        <v/>
      </c>
      <c r="J7" s="2" t="inlineStr">
        <is>
          <t>Downer</t>
        </is>
      </c>
      <c r="K7" s="2" t="inlineStr">
        <is>
          <t>Revenue</t>
        </is>
      </c>
      <c r="L7" s="10" t="n">
        <v>46204</v>
      </c>
      <c r="M7" s="10" t="n">
        <v>46234</v>
      </c>
      <c r="N7" s="2" t="inlineStr">
        <is>
          <t>Actual</t>
        </is>
      </c>
      <c r="O7" s="2" t="inlineStr">
        <is>
          <t>Standard</t>
        </is>
      </c>
      <c r="Q7" s="2" t="inlineStr">
        <is>
          <t>Insert</t>
        </is>
      </c>
      <c r="R7" s="2">
        <f>'FY27 Revenue'!C7</f>
        <v/>
      </c>
      <c r="S7" s="2">
        <f>'FY27 Revenue'!C7</f>
        <v/>
      </c>
      <c r="T7" s="2">
        <f>'FY27 Revenue'!D7</f>
        <v/>
      </c>
    </row>
    <row r="8">
      <c r="A8" s="2" t="n">
        <v>37395</v>
      </c>
      <c r="B8" s="2" t="inlineStr">
        <is>
          <t>Downer</t>
        </is>
      </c>
      <c r="C8" s="2">
        <f>CONCATENATE("REV","_",'FY27 Revenue'!B8)</f>
        <v/>
      </c>
      <c r="D8" s="2">
        <f>IFERROR(INDEX('Extract_for_Locations 1 Oct 25'!$E$2:$E$3450,MATCH(C8,'Extract_for_Locations 1 Oct 25'!$B$2:$B$3450,0)),"")</f>
        <v/>
      </c>
      <c r="E8" s="2" t="n">
        <v>7868</v>
      </c>
      <c r="F8" s="2" t="inlineStr">
        <is>
          <t>Revenue - AUD Million</t>
        </is>
      </c>
      <c r="H8" s="2">
        <f>CONCATENATE("FY27REV_",'FY27 Revenue'!B8)</f>
        <v/>
      </c>
      <c r="I8" s="2">
        <f>CONCATENATE("FY27REV_",'FY27 Revenue'!B8)</f>
        <v/>
      </c>
      <c r="J8" s="2" t="inlineStr">
        <is>
          <t>Downer</t>
        </is>
      </c>
      <c r="K8" s="2" t="inlineStr">
        <is>
          <t>Revenue</t>
        </is>
      </c>
      <c r="L8" s="10" t="n">
        <v>46204</v>
      </c>
      <c r="M8" s="10" t="n">
        <v>46234</v>
      </c>
      <c r="N8" s="2" t="inlineStr">
        <is>
          <t>Actual</t>
        </is>
      </c>
      <c r="O8" s="2" t="inlineStr">
        <is>
          <t>Standard</t>
        </is>
      </c>
      <c r="Q8" s="2" t="inlineStr">
        <is>
          <t>Insert</t>
        </is>
      </c>
      <c r="R8" s="2">
        <f>'FY27 Revenue'!C8</f>
        <v/>
      </c>
      <c r="S8" s="2">
        <f>'FY27 Revenue'!C8</f>
        <v/>
      </c>
      <c r="T8" s="2">
        <f>'FY27 Revenue'!D8</f>
        <v/>
      </c>
    </row>
    <row r="9">
      <c r="A9" s="2" t="n">
        <v>37395</v>
      </c>
      <c r="B9" s="2" t="inlineStr">
        <is>
          <t>Downer</t>
        </is>
      </c>
      <c r="C9" s="2">
        <f>CONCATENATE("REV","_",'FY27 Revenue'!B9)</f>
        <v/>
      </c>
      <c r="D9" s="2">
        <f>IFERROR(INDEX('Extract_for_Locations 1 Oct 25'!$E$2:$E$3450,MATCH(C9,'Extract_for_Locations 1 Oct 25'!$B$2:$B$3450,0)),"")</f>
        <v/>
      </c>
      <c r="E9" s="2" t="n">
        <v>7868</v>
      </c>
      <c r="F9" s="2" t="inlineStr">
        <is>
          <t>Revenue - AUD Million</t>
        </is>
      </c>
      <c r="H9" s="2">
        <f>CONCATENATE("FY27REV_",'FY27 Revenue'!B9)</f>
        <v/>
      </c>
      <c r="I9" s="2">
        <f>CONCATENATE("FY27REV_",'FY27 Revenue'!B9)</f>
        <v/>
      </c>
      <c r="J9" s="2" t="inlineStr">
        <is>
          <t>Downer</t>
        </is>
      </c>
      <c r="K9" s="2" t="inlineStr">
        <is>
          <t>Revenue</t>
        </is>
      </c>
      <c r="L9" s="10" t="n">
        <v>46204</v>
      </c>
      <c r="M9" s="10" t="n">
        <v>46234</v>
      </c>
      <c r="N9" s="2" t="inlineStr">
        <is>
          <t>Actual</t>
        </is>
      </c>
      <c r="O9" s="2" t="inlineStr">
        <is>
          <t>Standard</t>
        </is>
      </c>
      <c r="Q9" s="2" t="inlineStr">
        <is>
          <t>Insert</t>
        </is>
      </c>
      <c r="R9" s="2">
        <f>'FY27 Revenue'!C9</f>
        <v/>
      </c>
      <c r="S9" s="2">
        <f>'FY27 Revenue'!C9</f>
        <v/>
      </c>
      <c r="T9" s="2">
        <f>'FY27 Revenue'!D9</f>
        <v/>
      </c>
    </row>
    <row r="10">
      <c r="A10" s="2" t="n">
        <v>37395</v>
      </c>
      <c r="B10" s="2" t="inlineStr">
        <is>
          <t>Downer</t>
        </is>
      </c>
      <c r="C10" s="2">
        <f>CONCATENATE("REV","_",'FY27 Revenue'!B10)</f>
        <v/>
      </c>
      <c r="D10" s="2">
        <f>IFERROR(INDEX('Extract_for_Locations 1 Oct 25'!$E$2:$E$3450,MATCH(C10,'Extract_for_Locations 1 Oct 25'!$B$2:$B$3450,0)),"")</f>
        <v/>
      </c>
      <c r="E10" s="2" t="n">
        <v>7868</v>
      </c>
      <c r="F10" s="2" t="inlineStr">
        <is>
          <t>Revenue - AUD Million</t>
        </is>
      </c>
      <c r="H10" s="2">
        <f>CONCATENATE("FY27REV_",'FY27 Revenue'!B10)</f>
        <v/>
      </c>
      <c r="I10" s="2">
        <f>CONCATENATE("FY27REV_",'FY27 Revenue'!B10)</f>
        <v/>
      </c>
      <c r="J10" s="2" t="inlineStr">
        <is>
          <t>Downer</t>
        </is>
      </c>
      <c r="K10" s="2" t="inlineStr">
        <is>
          <t>Revenue</t>
        </is>
      </c>
      <c r="L10" s="10" t="n">
        <v>46204</v>
      </c>
      <c r="M10" s="10" t="n">
        <v>46234</v>
      </c>
      <c r="N10" s="2" t="inlineStr">
        <is>
          <t>Actual</t>
        </is>
      </c>
      <c r="O10" s="2" t="inlineStr">
        <is>
          <t>Standard</t>
        </is>
      </c>
      <c r="Q10" s="2" t="inlineStr">
        <is>
          <t>Insert</t>
        </is>
      </c>
      <c r="R10" s="2">
        <f>'FY27 Revenue'!C10</f>
        <v/>
      </c>
      <c r="S10" s="2">
        <f>'FY27 Revenue'!C10</f>
        <v/>
      </c>
      <c r="T10" s="2">
        <f>'FY27 Revenue'!D10</f>
        <v/>
      </c>
    </row>
    <row r="11">
      <c r="A11" s="2" t="n">
        <v>37395</v>
      </c>
      <c r="B11" s="2" t="inlineStr">
        <is>
          <t>Downer</t>
        </is>
      </c>
      <c r="C11" s="2">
        <f>CONCATENATE("REV","_",'FY27 Revenue'!B11)</f>
        <v/>
      </c>
      <c r="D11" s="2">
        <f>IFERROR(INDEX('Extract_for_Locations 1 Oct 25'!$E$2:$E$3450,MATCH(C11,'Extract_for_Locations 1 Oct 25'!$B$2:$B$3450,0)),"")</f>
        <v/>
      </c>
      <c r="E11" s="2" t="n">
        <v>7868</v>
      </c>
      <c r="F11" s="2" t="inlineStr">
        <is>
          <t>Revenue - AUD Million</t>
        </is>
      </c>
      <c r="H11" s="2">
        <f>CONCATENATE("FY27REV_",'FY27 Revenue'!B11)</f>
        <v/>
      </c>
      <c r="I11" s="2">
        <f>CONCATENATE("FY27REV_",'FY27 Revenue'!B11)</f>
        <v/>
      </c>
      <c r="J11" s="2" t="inlineStr">
        <is>
          <t>Downer</t>
        </is>
      </c>
      <c r="K11" s="2" t="inlineStr">
        <is>
          <t>Revenue</t>
        </is>
      </c>
      <c r="L11" s="10" t="n">
        <v>46204</v>
      </c>
      <c r="M11" s="10" t="n">
        <v>46234</v>
      </c>
      <c r="N11" s="2" t="inlineStr">
        <is>
          <t>Actual</t>
        </is>
      </c>
      <c r="O11" s="2" t="inlineStr">
        <is>
          <t>Standard</t>
        </is>
      </c>
      <c r="Q11" s="2" t="inlineStr">
        <is>
          <t>Insert</t>
        </is>
      </c>
      <c r="R11" s="2">
        <f>'FY27 Revenue'!C11</f>
        <v/>
      </c>
      <c r="S11" s="2">
        <f>'FY27 Revenue'!C11</f>
        <v/>
      </c>
      <c r="T11" s="2">
        <f>'FY27 Revenue'!D11</f>
        <v/>
      </c>
    </row>
    <row r="12">
      <c r="A12" s="2" t="n">
        <v>37395</v>
      </c>
      <c r="B12" s="2" t="inlineStr">
        <is>
          <t>Downer</t>
        </is>
      </c>
      <c r="C12" s="2">
        <f>CONCATENATE("REV","_",'FY27 Revenue'!B12)</f>
        <v/>
      </c>
      <c r="D12" s="2">
        <f>IFERROR(INDEX('Extract_for_Locations 1 Oct 25'!$E$2:$E$3450,MATCH(C12,'Extract_for_Locations 1 Oct 25'!$B$2:$B$3450,0)),"")</f>
        <v/>
      </c>
      <c r="E12" s="2" t="n">
        <v>7868</v>
      </c>
      <c r="F12" s="2" t="inlineStr">
        <is>
          <t>Revenue - AUD Million</t>
        </is>
      </c>
      <c r="H12" s="2">
        <f>CONCATENATE("FY27REV_",'FY27 Revenue'!B12)</f>
        <v/>
      </c>
      <c r="I12" s="2">
        <f>CONCATENATE("FY27REV_",'FY27 Revenue'!B12)</f>
        <v/>
      </c>
      <c r="J12" s="2" t="inlineStr">
        <is>
          <t>Downer</t>
        </is>
      </c>
      <c r="K12" s="2" t="inlineStr">
        <is>
          <t>Revenue</t>
        </is>
      </c>
      <c r="L12" s="10" t="n">
        <v>46204</v>
      </c>
      <c r="M12" s="10" t="n">
        <v>46234</v>
      </c>
      <c r="N12" s="2" t="inlineStr">
        <is>
          <t>Actual</t>
        </is>
      </c>
      <c r="O12" s="2" t="inlineStr">
        <is>
          <t>Standard</t>
        </is>
      </c>
      <c r="Q12" s="2" t="inlineStr">
        <is>
          <t>Insert</t>
        </is>
      </c>
      <c r="R12" s="2">
        <f>'FY27 Revenue'!C12</f>
        <v/>
      </c>
      <c r="S12" s="2">
        <f>'FY27 Revenue'!C12</f>
        <v/>
      </c>
      <c r="T12" s="2">
        <f>'FY27 Revenue'!D12</f>
        <v/>
      </c>
    </row>
    <row r="13">
      <c r="A13" s="2" t="n">
        <v>37395</v>
      </c>
      <c r="B13" s="2" t="inlineStr">
        <is>
          <t>Downer</t>
        </is>
      </c>
      <c r="C13" s="2">
        <f>CONCATENATE("REV","_",'FY27 Revenue'!B13)</f>
        <v/>
      </c>
      <c r="D13" s="2">
        <f>IFERROR(INDEX('Extract_for_Locations 1 Oct 25'!$E$2:$E$3450,MATCH(C13,'Extract_for_Locations 1 Oct 25'!$B$2:$B$3450,0)),"")</f>
        <v/>
      </c>
      <c r="E13" s="2" t="n">
        <v>7868</v>
      </c>
      <c r="F13" s="2" t="inlineStr">
        <is>
          <t>Revenue - AUD Million</t>
        </is>
      </c>
      <c r="H13" s="2">
        <f>CONCATENATE("FY27REV_",'FY27 Revenue'!B13)</f>
        <v/>
      </c>
      <c r="I13" s="2">
        <f>CONCATENATE("FY27REV_",'FY27 Revenue'!B13)</f>
        <v/>
      </c>
      <c r="J13" s="2" t="inlineStr">
        <is>
          <t>Downer</t>
        </is>
      </c>
      <c r="K13" s="2" t="inlineStr">
        <is>
          <t>Revenue</t>
        </is>
      </c>
      <c r="L13" s="10" t="n">
        <v>46204</v>
      </c>
      <c r="M13" s="10" t="n">
        <v>46234</v>
      </c>
      <c r="N13" s="2" t="inlineStr">
        <is>
          <t>Actual</t>
        </is>
      </c>
      <c r="O13" s="2" t="inlineStr">
        <is>
          <t>Standard</t>
        </is>
      </c>
      <c r="Q13" s="2" t="inlineStr">
        <is>
          <t>Insert</t>
        </is>
      </c>
      <c r="R13" s="2">
        <f>'FY27 Revenue'!C13</f>
        <v/>
      </c>
      <c r="S13" s="2">
        <f>'FY27 Revenue'!C13</f>
        <v/>
      </c>
      <c r="T13" s="2">
        <f>'FY27 Revenue'!D13</f>
        <v/>
      </c>
    </row>
    <row r="14">
      <c r="A14" s="2" t="n">
        <v>37395</v>
      </c>
      <c r="B14" s="2" t="inlineStr">
        <is>
          <t>Downer</t>
        </is>
      </c>
      <c r="C14" s="2">
        <f>CONCATENATE("REV","_",'FY27 Revenue'!B14)</f>
        <v/>
      </c>
      <c r="D14" s="2">
        <f>IFERROR(INDEX('Extract_for_Locations 1 Oct 25'!$E$2:$E$3450,MATCH(C14,'Extract_for_Locations 1 Oct 25'!$B$2:$B$3450,0)),"")</f>
        <v/>
      </c>
      <c r="E14" s="2" t="n">
        <v>7868</v>
      </c>
      <c r="F14" s="2" t="inlineStr">
        <is>
          <t>Revenue - AUD Million</t>
        </is>
      </c>
      <c r="H14" s="2">
        <f>CONCATENATE("FY27REV_",'FY27 Revenue'!B14)</f>
        <v/>
      </c>
      <c r="I14" s="2">
        <f>CONCATENATE("FY27REV_",'FY27 Revenue'!B14)</f>
        <v/>
      </c>
      <c r="J14" s="2" t="inlineStr">
        <is>
          <t>Downer</t>
        </is>
      </c>
      <c r="K14" s="2" t="inlineStr">
        <is>
          <t>Revenue</t>
        </is>
      </c>
      <c r="L14" s="10" t="n">
        <v>46204</v>
      </c>
      <c r="M14" s="10" t="n">
        <v>46234</v>
      </c>
      <c r="N14" s="2" t="inlineStr">
        <is>
          <t>Actual</t>
        </is>
      </c>
      <c r="O14" s="2" t="inlineStr">
        <is>
          <t>Standard</t>
        </is>
      </c>
      <c r="Q14" s="2" t="inlineStr">
        <is>
          <t>Insert</t>
        </is>
      </c>
      <c r="R14" s="2">
        <f>'FY27 Revenue'!C14</f>
        <v/>
      </c>
      <c r="S14" s="2">
        <f>'FY27 Revenue'!C14</f>
        <v/>
      </c>
      <c r="T14" s="2">
        <f>'FY27 Revenue'!D14</f>
        <v/>
      </c>
    </row>
    <row r="15">
      <c r="A15" s="2" t="n">
        <v>37395</v>
      </c>
      <c r="B15" s="2" t="inlineStr">
        <is>
          <t>Downer</t>
        </is>
      </c>
      <c r="C15" s="2">
        <f>CONCATENATE("REV","_",'FY27 Revenue'!B15)</f>
        <v/>
      </c>
      <c r="D15" s="2">
        <f>IFERROR(INDEX('Extract_for_Locations 1 Oct 25'!$E$2:$E$3450,MATCH(C15,'Extract_for_Locations 1 Oct 25'!$B$2:$B$3450,0)),"")</f>
        <v/>
      </c>
      <c r="E15" s="2" t="n">
        <v>7868</v>
      </c>
      <c r="F15" s="2" t="inlineStr">
        <is>
          <t>Revenue - AUD Million</t>
        </is>
      </c>
      <c r="H15" s="2">
        <f>CONCATENATE("FY27REV_",'FY27 Revenue'!B15)</f>
        <v/>
      </c>
      <c r="I15" s="2">
        <f>CONCATENATE("FY27REV_",'FY27 Revenue'!B15)</f>
        <v/>
      </c>
      <c r="J15" s="2" t="inlineStr">
        <is>
          <t>Downer</t>
        </is>
      </c>
      <c r="K15" s="2" t="inlineStr">
        <is>
          <t>Revenue</t>
        </is>
      </c>
      <c r="L15" s="10" t="n">
        <v>46204</v>
      </c>
      <c r="M15" s="10" t="n">
        <v>46234</v>
      </c>
      <c r="N15" s="2" t="inlineStr">
        <is>
          <t>Actual</t>
        </is>
      </c>
      <c r="O15" s="2" t="inlineStr">
        <is>
          <t>Standard</t>
        </is>
      </c>
      <c r="Q15" s="2" t="inlineStr">
        <is>
          <t>Insert</t>
        </is>
      </c>
      <c r="R15" s="2">
        <f>'FY27 Revenue'!C15</f>
        <v/>
      </c>
      <c r="S15" s="2">
        <f>'FY27 Revenue'!C15</f>
        <v/>
      </c>
      <c r="T15" s="2">
        <f>'FY27 Revenue'!D15</f>
        <v/>
      </c>
    </row>
    <row r="16">
      <c r="A16" s="2" t="n">
        <v>37395</v>
      </c>
      <c r="B16" s="2" t="inlineStr">
        <is>
          <t>Downer</t>
        </is>
      </c>
      <c r="C16" s="2">
        <f>CONCATENATE("REV","_",'FY27 Revenue'!B16)</f>
        <v/>
      </c>
      <c r="D16" s="2">
        <f>IFERROR(INDEX('Extract_for_Locations 1 Oct 25'!$E$2:$E$3450,MATCH(C16,'Extract_for_Locations 1 Oct 25'!$B$2:$B$3450,0)),"")</f>
        <v/>
      </c>
      <c r="E16" s="2" t="n">
        <v>7868</v>
      </c>
      <c r="F16" s="2" t="inlineStr">
        <is>
          <t>Revenue - AUD Million</t>
        </is>
      </c>
      <c r="H16" s="2">
        <f>CONCATENATE("FY27REV_",'FY27 Revenue'!B16)</f>
        <v/>
      </c>
      <c r="I16" s="2">
        <f>CONCATENATE("FY27REV_",'FY27 Revenue'!B16)</f>
        <v/>
      </c>
      <c r="J16" s="2" t="inlineStr">
        <is>
          <t>Downer</t>
        </is>
      </c>
      <c r="K16" s="2" t="inlineStr">
        <is>
          <t>Revenue</t>
        </is>
      </c>
      <c r="L16" s="10" t="n">
        <v>46204</v>
      </c>
      <c r="M16" s="10" t="n">
        <v>46234</v>
      </c>
      <c r="N16" s="2" t="inlineStr">
        <is>
          <t>Actual</t>
        </is>
      </c>
      <c r="O16" s="2" t="inlineStr">
        <is>
          <t>Standard</t>
        </is>
      </c>
      <c r="Q16" s="2" t="inlineStr">
        <is>
          <t>Insert</t>
        </is>
      </c>
      <c r="R16" s="2">
        <f>'FY27 Revenue'!C16</f>
        <v/>
      </c>
      <c r="S16" s="2">
        <f>'FY27 Revenue'!C16</f>
        <v/>
      </c>
      <c r="T16" s="2">
        <f>'FY27 Revenue'!D16</f>
        <v/>
      </c>
    </row>
    <row r="17">
      <c r="A17" s="2" t="n">
        <v>37395</v>
      </c>
      <c r="B17" s="2" t="inlineStr">
        <is>
          <t>Downer</t>
        </is>
      </c>
      <c r="C17" s="2">
        <f>CONCATENATE("REV","_",'FY27 Revenue'!B17)</f>
        <v/>
      </c>
      <c r="D17" s="2">
        <f>IFERROR(INDEX('Extract_for_Locations 1 Oct 25'!$E$2:$E$3450,MATCH(C17,'Extract_for_Locations 1 Oct 25'!$B$2:$B$3450,0)),"")</f>
        <v/>
      </c>
      <c r="E17" s="2" t="n">
        <v>7868</v>
      </c>
      <c r="F17" s="2" t="inlineStr">
        <is>
          <t>Revenue - AUD Million</t>
        </is>
      </c>
      <c r="H17" s="2">
        <f>CONCATENATE("FY27REV_",'FY27 Revenue'!B17)</f>
        <v/>
      </c>
      <c r="I17" s="2">
        <f>CONCATENATE("FY27REV_",'FY27 Revenue'!B17)</f>
        <v/>
      </c>
      <c r="J17" s="2" t="inlineStr">
        <is>
          <t>Downer</t>
        </is>
      </c>
      <c r="K17" s="2" t="inlineStr">
        <is>
          <t>Revenue</t>
        </is>
      </c>
      <c r="L17" s="10" t="n">
        <v>46204</v>
      </c>
      <c r="M17" s="10" t="n">
        <v>46234</v>
      </c>
      <c r="N17" s="2" t="inlineStr">
        <is>
          <t>Actual</t>
        </is>
      </c>
      <c r="O17" s="2" t="inlineStr">
        <is>
          <t>Standard</t>
        </is>
      </c>
      <c r="Q17" s="2" t="inlineStr">
        <is>
          <t>Insert</t>
        </is>
      </c>
      <c r="R17" s="2">
        <f>'FY27 Revenue'!C17</f>
        <v/>
      </c>
      <c r="S17" s="2">
        <f>'FY27 Revenue'!C17</f>
        <v/>
      </c>
      <c r="T17" s="2">
        <f>'FY27 Revenue'!D17</f>
        <v/>
      </c>
    </row>
    <row r="18">
      <c r="A18" s="2" t="n">
        <v>37395</v>
      </c>
      <c r="B18" s="2" t="inlineStr">
        <is>
          <t>Downer</t>
        </is>
      </c>
      <c r="C18" s="2">
        <f>CONCATENATE("REV","_",'FY27 Revenue'!B18)</f>
        <v/>
      </c>
      <c r="D18" s="2">
        <f>IFERROR(INDEX('Extract_for_Locations 1 Oct 25'!$E$2:$E$3450,MATCH(C18,'Extract_for_Locations 1 Oct 25'!$B$2:$B$3450,0)),"")</f>
        <v/>
      </c>
      <c r="E18" s="2" t="n">
        <v>7868</v>
      </c>
      <c r="F18" s="2" t="inlineStr">
        <is>
          <t>Revenue - AUD Million</t>
        </is>
      </c>
      <c r="H18" s="2">
        <f>CONCATENATE("FY27REV_",'FY27 Revenue'!B18)</f>
        <v/>
      </c>
      <c r="I18" s="2">
        <f>CONCATENATE("FY27REV_",'FY27 Revenue'!B18)</f>
        <v/>
      </c>
      <c r="J18" s="2" t="inlineStr">
        <is>
          <t>Downer</t>
        </is>
      </c>
      <c r="K18" s="2" t="inlineStr">
        <is>
          <t>Revenue</t>
        </is>
      </c>
      <c r="L18" s="10" t="n">
        <v>46204</v>
      </c>
      <c r="M18" s="10" t="n">
        <v>46234</v>
      </c>
      <c r="N18" s="2" t="inlineStr">
        <is>
          <t>Actual</t>
        </is>
      </c>
      <c r="O18" s="2" t="inlineStr">
        <is>
          <t>Standard</t>
        </is>
      </c>
      <c r="Q18" s="2" t="inlineStr">
        <is>
          <t>Insert</t>
        </is>
      </c>
      <c r="R18" s="2">
        <f>'FY27 Revenue'!C18</f>
        <v/>
      </c>
      <c r="S18" s="2">
        <f>'FY27 Revenue'!C18</f>
        <v/>
      </c>
      <c r="T18" s="2">
        <f>'FY27 Revenue'!D18</f>
        <v/>
      </c>
    </row>
    <row r="19">
      <c r="A19" s="2" t="n">
        <v>37395</v>
      </c>
      <c r="B19" s="2" t="inlineStr">
        <is>
          <t>Downer</t>
        </is>
      </c>
      <c r="C19" s="2">
        <f>CONCATENATE("REV","_",'FY27 Revenue'!B19)</f>
        <v/>
      </c>
      <c r="D19" s="2">
        <f>IFERROR(INDEX('Extract_for_Locations 1 Oct 25'!$E$2:$E$3450,MATCH(C19,'Extract_for_Locations 1 Oct 25'!$B$2:$B$3450,0)),"")</f>
        <v/>
      </c>
      <c r="E19" s="2" t="n">
        <v>7868</v>
      </c>
      <c r="F19" s="2" t="inlineStr">
        <is>
          <t>Revenue - AUD Million</t>
        </is>
      </c>
      <c r="H19" s="2">
        <f>CONCATENATE("FY27REV_",'FY27 Revenue'!B19)</f>
        <v/>
      </c>
      <c r="I19" s="2">
        <f>CONCATENATE("FY27REV_",'FY27 Revenue'!B19)</f>
        <v/>
      </c>
      <c r="J19" s="2" t="inlineStr">
        <is>
          <t>Downer</t>
        </is>
      </c>
      <c r="K19" s="2" t="inlineStr">
        <is>
          <t>Revenue</t>
        </is>
      </c>
      <c r="L19" s="10" t="n">
        <v>46204</v>
      </c>
      <c r="M19" s="10" t="n">
        <v>46234</v>
      </c>
      <c r="N19" s="2" t="inlineStr">
        <is>
          <t>Actual</t>
        </is>
      </c>
      <c r="O19" s="2" t="inlineStr">
        <is>
          <t>Standard</t>
        </is>
      </c>
      <c r="Q19" s="2" t="inlineStr">
        <is>
          <t>Insert</t>
        </is>
      </c>
      <c r="R19" s="2">
        <f>'FY27 Revenue'!C19</f>
        <v/>
      </c>
      <c r="S19" s="2">
        <f>'FY27 Revenue'!C19</f>
        <v/>
      </c>
      <c r="T19" s="2">
        <f>'FY27 Revenue'!D19</f>
        <v/>
      </c>
    </row>
    <row r="20">
      <c r="A20" s="2" t="n">
        <v>37395</v>
      </c>
      <c r="B20" s="2" t="inlineStr">
        <is>
          <t>Downer</t>
        </is>
      </c>
      <c r="C20" s="2">
        <f>CONCATENATE("REV","_",'FY27 Revenue'!B20)</f>
        <v/>
      </c>
      <c r="D20" s="2">
        <f>IFERROR(INDEX('Extract_for_Locations 1 Oct 25'!$E$2:$E$3450,MATCH(C20,'Extract_for_Locations 1 Oct 25'!$B$2:$B$3450,0)),"")</f>
        <v/>
      </c>
      <c r="E20" s="2" t="n">
        <v>7868</v>
      </c>
      <c r="F20" s="2" t="inlineStr">
        <is>
          <t>Revenue - AUD Million</t>
        </is>
      </c>
      <c r="H20" s="2">
        <f>CONCATENATE("FY27REV_",'FY27 Revenue'!B20)</f>
        <v/>
      </c>
      <c r="I20" s="2">
        <f>CONCATENATE("FY27REV_",'FY27 Revenue'!B20)</f>
        <v/>
      </c>
      <c r="J20" s="2" t="inlineStr">
        <is>
          <t>Downer</t>
        </is>
      </c>
      <c r="K20" s="2" t="inlineStr">
        <is>
          <t>Revenue</t>
        </is>
      </c>
      <c r="L20" s="10" t="n">
        <v>46204</v>
      </c>
      <c r="M20" s="10" t="n">
        <v>46234</v>
      </c>
      <c r="N20" s="2" t="inlineStr">
        <is>
          <t>Actual</t>
        </is>
      </c>
      <c r="O20" s="2" t="inlineStr">
        <is>
          <t>Standard</t>
        </is>
      </c>
      <c r="Q20" s="2" t="inlineStr">
        <is>
          <t>Insert</t>
        </is>
      </c>
      <c r="R20" s="2">
        <f>'FY27 Revenue'!C20</f>
        <v/>
      </c>
      <c r="S20" s="2">
        <f>'FY27 Revenue'!C20</f>
        <v/>
      </c>
      <c r="T20" s="2">
        <f>'FY27 Revenue'!D20</f>
        <v/>
      </c>
    </row>
    <row r="21">
      <c r="A21" s="2" t="n">
        <v>37395</v>
      </c>
      <c r="B21" s="2" t="inlineStr">
        <is>
          <t>Downer</t>
        </is>
      </c>
      <c r="C21" s="2">
        <f>CONCATENATE("REV","_",'FY27 Revenue'!B21)</f>
        <v/>
      </c>
      <c r="D21" s="2">
        <f>IFERROR(INDEX('Extract_for_Locations 1 Oct 25'!$E$2:$E$3450,MATCH(C21,'Extract_for_Locations 1 Oct 25'!$B$2:$B$3450,0)),"")</f>
        <v/>
      </c>
      <c r="E21" s="2" t="n">
        <v>7868</v>
      </c>
      <c r="F21" s="2" t="inlineStr">
        <is>
          <t>Revenue - AUD Million</t>
        </is>
      </c>
      <c r="H21" s="2">
        <f>CONCATENATE("FY27REV_",'FY27 Revenue'!B21)</f>
        <v/>
      </c>
      <c r="I21" s="2">
        <f>CONCATENATE("FY27REV_",'FY27 Revenue'!B21)</f>
        <v/>
      </c>
      <c r="J21" s="2" t="inlineStr">
        <is>
          <t>Downer</t>
        </is>
      </c>
      <c r="K21" s="2" t="inlineStr">
        <is>
          <t>Revenue</t>
        </is>
      </c>
      <c r="L21" s="10" t="n">
        <v>46204</v>
      </c>
      <c r="M21" s="10" t="n">
        <v>46234</v>
      </c>
      <c r="N21" s="2" t="inlineStr">
        <is>
          <t>Actual</t>
        </is>
      </c>
      <c r="O21" s="2" t="inlineStr">
        <is>
          <t>Standard</t>
        </is>
      </c>
      <c r="Q21" s="2" t="inlineStr">
        <is>
          <t>Insert</t>
        </is>
      </c>
      <c r="R21" s="2">
        <f>'FY27 Revenue'!C21</f>
        <v/>
      </c>
      <c r="S21" s="2">
        <f>'FY27 Revenue'!C21</f>
        <v/>
      </c>
      <c r="T21" s="2">
        <f>'FY27 Revenue'!D21</f>
        <v/>
      </c>
    </row>
    <row r="22">
      <c r="A22" s="2" t="n">
        <v>37395</v>
      </c>
      <c r="B22" s="2" t="inlineStr">
        <is>
          <t>Downer</t>
        </is>
      </c>
      <c r="C22" s="2">
        <f>CONCATENATE("REV","_",'FY27 Revenue'!B22)</f>
        <v/>
      </c>
      <c r="D22" s="2">
        <f>IFERROR(INDEX('Extract_for_Locations 1 Oct 25'!$E$2:$E$3450,MATCH(C22,'Extract_for_Locations 1 Oct 25'!$B$2:$B$3450,0)),"")</f>
        <v/>
      </c>
      <c r="E22" s="2" t="n">
        <v>7868</v>
      </c>
      <c r="F22" s="2" t="inlineStr">
        <is>
          <t>Revenue - AUD Million</t>
        </is>
      </c>
      <c r="H22" s="2">
        <f>CONCATENATE("FY27REV_",'FY27 Revenue'!B22)</f>
        <v/>
      </c>
      <c r="I22" s="2">
        <f>CONCATENATE("FY27REV_",'FY27 Revenue'!B22)</f>
        <v/>
      </c>
      <c r="J22" s="2" t="inlineStr">
        <is>
          <t>Downer</t>
        </is>
      </c>
      <c r="K22" s="2" t="inlineStr">
        <is>
          <t>Revenue</t>
        </is>
      </c>
      <c r="L22" s="10" t="n">
        <v>46204</v>
      </c>
      <c r="M22" s="10" t="n">
        <v>46234</v>
      </c>
      <c r="N22" s="2" t="inlineStr">
        <is>
          <t>Actual</t>
        </is>
      </c>
      <c r="O22" s="2" t="inlineStr">
        <is>
          <t>Standard</t>
        </is>
      </c>
      <c r="Q22" s="2" t="inlineStr">
        <is>
          <t>Insert</t>
        </is>
      </c>
      <c r="R22" s="2">
        <f>'FY27 Revenue'!C22</f>
        <v/>
      </c>
      <c r="S22" s="2">
        <f>'FY27 Revenue'!C22</f>
        <v/>
      </c>
      <c r="T22" s="2">
        <f>'FY27 Revenue'!D22</f>
        <v/>
      </c>
    </row>
    <row r="23">
      <c r="A23" s="2" t="n">
        <v>37395</v>
      </c>
      <c r="B23" s="2" t="inlineStr">
        <is>
          <t>Downer</t>
        </is>
      </c>
      <c r="C23" s="2">
        <f>CONCATENATE("REV","_",'FY27 Revenue'!B23)</f>
        <v/>
      </c>
      <c r="D23" s="2">
        <f>IFERROR(INDEX('Extract_for_Locations 1 Oct 25'!$E$2:$E$3450,MATCH(C23,'Extract_for_Locations 1 Oct 25'!$B$2:$B$3450,0)),"")</f>
        <v/>
      </c>
      <c r="E23" s="2" t="n">
        <v>7868</v>
      </c>
      <c r="F23" s="2" t="inlineStr">
        <is>
          <t>Revenue - AUD Million</t>
        </is>
      </c>
      <c r="H23" s="2">
        <f>CONCATENATE("FY27REV_",'FY27 Revenue'!B23)</f>
        <v/>
      </c>
      <c r="I23" s="2">
        <f>CONCATENATE("FY27REV_",'FY27 Revenue'!B23)</f>
        <v/>
      </c>
      <c r="J23" s="2" t="inlineStr">
        <is>
          <t>Downer</t>
        </is>
      </c>
      <c r="K23" s="2" t="inlineStr">
        <is>
          <t>Revenue</t>
        </is>
      </c>
      <c r="L23" s="10" t="n">
        <v>46204</v>
      </c>
      <c r="M23" s="10" t="n">
        <v>46234</v>
      </c>
      <c r="N23" s="2" t="inlineStr">
        <is>
          <t>Actual</t>
        </is>
      </c>
      <c r="O23" s="2" t="inlineStr">
        <is>
          <t>Standard</t>
        </is>
      </c>
      <c r="Q23" s="2" t="inlineStr">
        <is>
          <t>Insert</t>
        </is>
      </c>
      <c r="R23" s="2">
        <f>'FY27 Revenue'!C23</f>
        <v/>
      </c>
      <c r="S23" s="2">
        <f>'FY27 Revenue'!C23</f>
        <v/>
      </c>
      <c r="T23" s="2">
        <f>'FY27 Revenue'!D23</f>
        <v/>
      </c>
    </row>
    <row r="24">
      <c r="A24" s="2" t="n">
        <v>37395</v>
      </c>
      <c r="B24" s="2" t="inlineStr">
        <is>
          <t>Downer</t>
        </is>
      </c>
      <c r="C24" s="2">
        <f>CONCATENATE("REV","_",'FY27 Revenue'!B24)</f>
        <v/>
      </c>
      <c r="D24" s="2">
        <f>IFERROR(INDEX('Extract_for_Locations 1 Oct 25'!$E$2:$E$3450,MATCH(C24,'Extract_for_Locations 1 Oct 25'!$B$2:$B$3450,0)),"")</f>
        <v/>
      </c>
      <c r="E24" s="2" t="n">
        <v>7868</v>
      </c>
      <c r="F24" s="2" t="inlineStr">
        <is>
          <t>Revenue - AUD Million</t>
        </is>
      </c>
      <c r="H24" s="2">
        <f>CONCATENATE("FY27REV_",'FY27 Revenue'!B24)</f>
        <v/>
      </c>
      <c r="I24" s="2">
        <f>CONCATENATE("FY27REV_",'FY27 Revenue'!B24)</f>
        <v/>
      </c>
      <c r="J24" s="2" t="inlineStr">
        <is>
          <t>Downer</t>
        </is>
      </c>
      <c r="K24" s="2" t="inlineStr">
        <is>
          <t>Revenue</t>
        </is>
      </c>
      <c r="L24" s="10" t="n">
        <v>46204</v>
      </c>
      <c r="M24" s="10" t="n">
        <v>46234</v>
      </c>
      <c r="N24" s="2" t="inlineStr">
        <is>
          <t>Actual</t>
        </is>
      </c>
      <c r="O24" s="2" t="inlineStr">
        <is>
          <t>Standard</t>
        </is>
      </c>
      <c r="Q24" s="2" t="inlineStr">
        <is>
          <t>Insert</t>
        </is>
      </c>
      <c r="R24" s="2">
        <f>'FY27 Revenue'!C24</f>
        <v/>
      </c>
      <c r="S24" s="2">
        <f>'FY27 Revenue'!C24</f>
        <v/>
      </c>
      <c r="T24" s="2">
        <f>'FY27 Revenue'!D24</f>
        <v/>
      </c>
    </row>
    <row r="25">
      <c r="A25" s="2" t="n">
        <v>37395</v>
      </c>
      <c r="B25" s="2" t="inlineStr">
        <is>
          <t>Downer</t>
        </is>
      </c>
      <c r="C25" s="2">
        <f>CONCATENATE("REV","_",'FY27 Revenue'!B25)</f>
        <v/>
      </c>
      <c r="D25" s="2">
        <f>IFERROR(INDEX('Extract_for_Locations 1 Oct 25'!$E$2:$E$3450,MATCH(C25,'Extract_for_Locations 1 Oct 25'!$B$2:$B$3450,0)),"")</f>
        <v/>
      </c>
      <c r="E25" s="2" t="n">
        <v>7868</v>
      </c>
      <c r="F25" s="2" t="inlineStr">
        <is>
          <t>Revenue - AUD Million</t>
        </is>
      </c>
      <c r="H25" s="2">
        <f>CONCATENATE("FY27REV_",'FY27 Revenue'!B25)</f>
        <v/>
      </c>
      <c r="I25" s="2">
        <f>CONCATENATE("FY27REV_",'FY27 Revenue'!B25)</f>
        <v/>
      </c>
      <c r="J25" s="2" t="inlineStr">
        <is>
          <t>Downer</t>
        </is>
      </c>
      <c r="K25" s="2" t="inlineStr">
        <is>
          <t>Revenue</t>
        </is>
      </c>
      <c r="L25" s="10" t="n">
        <v>46204</v>
      </c>
      <c r="M25" s="10" t="n">
        <v>46234</v>
      </c>
      <c r="N25" s="2" t="inlineStr">
        <is>
          <t>Actual</t>
        </is>
      </c>
      <c r="O25" s="2" t="inlineStr">
        <is>
          <t>Standard</t>
        </is>
      </c>
      <c r="Q25" s="2" t="inlineStr">
        <is>
          <t>Insert</t>
        </is>
      </c>
      <c r="R25" s="2">
        <f>'FY27 Revenue'!C25</f>
        <v/>
      </c>
      <c r="S25" s="2">
        <f>'FY27 Revenue'!C25</f>
        <v/>
      </c>
      <c r="T25" s="2">
        <f>'FY27 Revenue'!D25</f>
        <v/>
      </c>
    </row>
    <row r="26">
      <c r="A26" s="2" t="n">
        <v>37395</v>
      </c>
      <c r="B26" s="2" t="inlineStr">
        <is>
          <t>Downer</t>
        </is>
      </c>
      <c r="C26" s="2">
        <f>CONCATENATE("REV","_",'FY27 Revenue'!B26)</f>
        <v/>
      </c>
      <c r="D26" s="2">
        <f>IFERROR(INDEX('Extract_for_Locations 1 Oct 25'!$E$2:$E$3450,MATCH(C26,'Extract_for_Locations 1 Oct 25'!$B$2:$B$3450,0)),"")</f>
        <v/>
      </c>
      <c r="E26" s="2" t="n">
        <v>7868</v>
      </c>
      <c r="F26" s="2" t="inlineStr">
        <is>
          <t>Revenue - AUD Million</t>
        </is>
      </c>
      <c r="H26" s="2">
        <f>CONCATENATE("FY27REV_",'FY27 Revenue'!B26)</f>
        <v/>
      </c>
      <c r="I26" s="2">
        <f>CONCATENATE("FY27REV_",'FY27 Revenue'!B26)</f>
        <v/>
      </c>
      <c r="J26" s="2" t="inlineStr">
        <is>
          <t>Downer</t>
        </is>
      </c>
      <c r="K26" s="2" t="inlineStr">
        <is>
          <t>Revenue</t>
        </is>
      </c>
      <c r="L26" s="10" t="n">
        <v>46204</v>
      </c>
      <c r="M26" s="10" t="n">
        <v>46234</v>
      </c>
      <c r="N26" s="2" t="inlineStr">
        <is>
          <t>Actual</t>
        </is>
      </c>
      <c r="O26" s="2" t="inlineStr">
        <is>
          <t>Standard</t>
        </is>
      </c>
      <c r="Q26" s="2" t="inlineStr">
        <is>
          <t>Insert</t>
        </is>
      </c>
      <c r="R26" s="2">
        <f>'FY27 Revenue'!C26</f>
        <v/>
      </c>
      <c r="S26" s="2">
        <f>'FY27 Revenue'!C26</f>
        <v/>
      </c>
      <c r="T26" s="2">
        <f>'FY27 Revenue'!D26</f>
        <v/>
      </c>
    </row>
    <row r="27">
      <c r="A27" s="2" t="n">
        <v>37395</v>
      </c>
      <c r="B27" s="2" t="inlineStr">
        <is>
          <t>Downer</t>
        </is>
      </c>
      <c r="C27" s="2">
        <f>CONCATENATE("REV","_",'FY27 Revenue'!B27)</f>
        <v/>
      </c>
      <c r="D27" s="2">
        <f>IFERROR(INDEX('Extract_for_Locations 1 Oct 25'!$E$2:$E$3450,MATCH(C27,'Extract_for_Locations 1 Oct 25'!$B$2:$B$3450,0)),"")</f>
        <v/>
      </c>
      <c r="E27" s="2" t="n">
        <v>7868</v>
      </c>
      <c r="F27" s="2" t="inlineStr">
        <is>
          <t>Revenue - AUD Million</t>
        </is>
      </c>
      <c r="H27" s="2">
        <f>CONCATENATE("FY27REV_",'FY27 Revenue'!B27)</f>
        <v/>
      </c>
      <c r="I27" s="2">
        <f>CONCATENATE("FY27REV_",'FY27 Revenue'!B27)</f>
        <v/>
      </c>
      <c r="J27" s="2" t="inlineStr">
        <is>
          <t>Downer</t>
        </is>
      </c>
      <c r="K27" s="2" t="inlineStr">
        <is>
          <t>Revenue</t>
        </is>
      </c>
      <c r="L27" s="10" t="n">
        <v>46204</v>
      </c>
      <c r="M27" s="10" t="n">
        <v>46234</v>
      </c>
      <c r="N27" s="2" t="inlineStr">
        <is>
          <t>Actual</t>
        </is>
      </c>
      <c r="O27" s="2" t="inlineStr">
        <is>
          <t>Standard</t>
        </is>
      </c>
      <c r="Q27" s="2" t="inlineStr">
        <is>
          <t>Insert</t>
        </is>
      </c>
      <c r="R27" s="2">
        <f>'FY27 Revenue'!C27</f>
        <v/>
      </c>
      <c r="S27" s="2">
        <f>'FY27 Revenue'!C27</f>
        <v/>
      </c>
      <c r="T27" s="2">
        <f>'FY27 Revenue'!D27</f>
        <v/>
      </c>
    </row>
    <row r="28">
      <c r="A28" s="2" t="n">
        <v>37395</v>
      </c>
      <c r="B28" s="2" t="inlineStr">
        <is>
          <t>Downer</t>
        </is>
      </c>
      <c r="C28" s="2">
        <f>CONCATENATE("REV","_",'FY27 Revenue'!B28)</f>
        <v/>
      </c>
      <c r="D28" s="2">
        <f>IFERROR(INDEX('Extract_for_Locations 1 Oct 25'!$E$2:$E$3450,MATCH(C28,'Extract_for_Locations 1 Oct 25'!$B$2:$B$3450,0)),"")</f>
        <v/>
      </c>
      <c r="E28" s="2" t="n">
        <v>7868</v>
      </c>
      <c r="F28" s="2" t="inlineStr">
        <is>
          <t>Revenue - AUD Million</t>
        </is>
      </c>
      <c r="H28" s="2">
        <f>CONCATENATE("FY27REV_",'FY27 Revenue'!B28)</f>
        <v/>
      </c>
      <c r="I28" s="2">
        <f>CONCATENATE("FY27REV_",'FY27 Revenue'!B28)</f>
        <v/>
      </c>
      <c r="J28" s="2" t="inlineStr">
        <is>
          <t>Downer</t>
        </is>
      </c>
      <c r="K28" s="2" t="inlineStr">
        <is>
          <t>Revenue</t>
        </is>
      </c>
      <c r="L28" s="10" t="n">
        <v>46204</v>
      </c>
      <c r="M28" s="10" t="n">
        <v>46234</v>
      </c>
      <c r="N28" s="2" t="inlineStr">
        <is>
          <t>Actual</t>
        </is>
      </c>
      <c r="O28" s="2" t="inlineStr">
        <is>
          <t>Standard</t>
        </is>
      </c>
      <c r="Q28" s="2" t="inlineStr">
        <is>
          <t>Insert</t>
        </is>
      </c>
      <c r="R28" s="2">
        <f>'FY27 Revenue'!C28</f>
        <v/>
      </c>
      <c r="S28" s="2">
        <f>'FY27 Revenue'!C28</f>
        <v/>
      </c>
      <c r="T28" s="2">
        <f>'FY27 Revenue'!D28</f>
        <v/>
      </c>
    </row>
    <row r="29">
      <c r="A29" s="2" t="n">
        <v>37395</v>
      </c>
      <c r="B29" s="2" t="inlineStr">
        <is>
          <t>Downer</t>
        </is>
      </c>
      <c r="C29" s="2">
        <f>CONCATENATE("REV","_",'FY27 Revenue'!B29)</f>
        <v/>
      </c>
      <c r="D29" s="2">
        <f>IFERROR(INDEX('Extract_for_Locations 1 Oct 25'!$E$2:$E$3450,MATCH(C29,'Extract_for_Locations 1 Oct 25'!$B$2:$B$3450,0)),"")</f>
        <v/>
      </c>
      <c r="E29" s="2" t="n">
        <v>7868</v>
      </c>
      <c r="F29" s="2" t="inlineStr">
        <is>
          <t>Revenue - AUD Million</t>
        </is>
      </c>
      <c r="H29" s="2">
        <f>CONCATENATE("FY27REV_",'FY27 Revenue'!B29)</f>
        <v/>
      </c>
      <c r="I29" s="2">
        <f>CONCATENATE("FY27REV_",'FY27 Revenue'!B29)</f>
        <v/>
      </c>
      <c r="J29" s="2" t="inlineStr">
        <is>
          <t>Downer</t>
        </is>
      </c>
      <c r="K29" s="2" t="inlineStr">
        <is>
          <t>Revenue</t>
        </is>
      </c>
      <c r="L29" s="10" t="n">
        <v>46204</v>
      </c>
      <c r="M29" s="10" t="n">
        <v>46234</v>
      </c>
      <c r="N29" s="2" t="inlineStr">
        <is>
          <t>Actual</t>
        </is>
      </c>
      <c r="O29" s="2" t="inlineStr">
        <is>
          <t>Standard</t>
        </is>
      </c>
      <c r="Q29" s="2" t="inlineStr">
        <is>
          <t>Insert</t>
        </is>
      </c>
      <c r="R29" s="2">
        <f>'FY27 Revenue'!C29</f>
        <v/>
      </c>
      <c r="S29" s="2">
        <f>'FY27 Revenue'!C29</f>
        <v/>
      </c>
      <c r="T29" s="2">
        <f>'FY27 Revenue'!D29</f>
        <v/>
      </c>
    </row>
    <row r="30">
      <c r="A30" s="2" t="n">
        <v>37395</v>
      </c>
      <c r="B30" s="2" t="inlineStr">
        <is>
          <t>Downer</t>
        </is>
      </c>
      <c r="C30" s="2">
        <f>CONCATENATE("REV","_",'FY27 Revenue'!B30)</f>
        <v/>
      </c>
      <c r="D30" s="2">
        <f>IFERROR(INDEX('Extract_for_Locations 1 Oct 25'!$E$2:$E$3450,MATCH(C30,'Extract_for_Locations 1 Oct 25'!$B$2:$B$3450,0)),"")</f>
        <v/>
      </c>
      <c r="E30" s="2" t="n">
        <v>7868</v>
      </c>
      <c r="F30" s="2" t="inlineStr">
        <is>
          <t>Revenue - AUD Million</t>
        </is>
      </c>
      <c r="H30" s="2">
        <f>CONCATENATE("FY27REV_",'FY27 Revenue'!B30)</f>
        <v/>
      </c>
      <c r="I30" s="2">
        <f>CONCATENATE("FY27REV_",'FY27 Revenue'!B30)</f>
        <v/>
      </c>
      <c r="J30" s="2" t="inlineStr">
        <is>
          <t>Downer</t>
        </is>
      </c>
      <c r="K30" s="2" t="inlineStr">
        <is>
          <t>Revenue</t>
        </is>
      </c>
      <c r="L30" s="10" t="n">
        <v>46204</v>
      </c>
      <c r="M30" s="10" t="n">
        <v>46234</v>
      </c>
      <c r="N30" s="2" t="inlineStr">
        <is>
          <t>Actual</t>
        </is>
      </c>
      <c r="O30" s="2" t="inlineStr">
        <is>
          <t>Standard</t>
        </is>
      </c>
      <c r="Q30" s="2" t="inlineStr">
        <is>
          <t>Insert</t>
        </is>
      </c>
      <c r="R30" s="2">
        <f>'FY27 Revenue'!C30</f>
        <v/>
      </c>
      <c r="S30" s="2">
        <f>'FY27 Revenue'!C30</f>
        <v/>
      </c>
      <c r="T30" s="2">
        <f>'FY27 Revenue'!D30</f>
        <v/>
      </c>
    </row>
    <row r="31">
      <c r="A31" s="2" t="n">
        <v>37395</v>
      </c>
      <c r="B31" s="2" t="inlineStr">
        <is>
          <t>Downer</t>
        </is>
      </c>
      <c r="C31" s="2">
        <f>CONCATENATE("REV","_",'FY27 Revenue'!B31)</f>
        <v/>
      </c>
      <c r="D31" s="2">
        <f>IFERROR(INDEX('Extract_for_Locations 1 Oct 25'!$E$2:$E$3450,MATCH(C31,'Extract_for_Locations 1 Oct 25'!$B$2:$B$3450,0)),"")</f>
        <v/>
      </c>
      <c r="E31" s="2" t="n">
        <v>7868</v>
      </c>
      <c r="F31" s="2" t="inlineStr">
        <is>
          <t>Revenue - AUD Million</t>
        </is>
      </c>
      <c r="H31" s="2">
        <f>CONCATENATE("FY27REV_",'FY27 Revenue'!B31)</f>
        <v/>
      </c>
      <c r="I31" s="2">
        <f>CONCATENATE("FY27REV_",'FY27 Revenue'!B31)</f>
        <v/>
      </c>
      <c r="J31" s="2" t="inlineStr">
        <is>
          <t>Downer</t>
        </is>
      </c>
      <c r="K31" s="2" t="inlineStr">
        <is>
          <t>Revenue</t>
        </is>
      </c>
      <c r="L31" s="10" t="n">
        <v>46204</v>
      </c>
      <c r="M31" s="10" t="n">
        <v>46234</v>
      </c>
      <c r="N31" s="2" t="inlineStr">
        <is>
          <t>Actual</t>
        </is>
      </c>
      <c r="O31" s="2" t="inlineStr">
        <is>
          <t>Standard</t>
        </is>
      </c>
      <c r="Q31" s="2" t="inlineStr">
        <is>
          <t>Insert</t>
        </is>
      </c>
      <c r="R31" s="2">
        <f>'FY27 Revenue'!C31</f>
        <v/>
      </c>
      <c r="S31" s="2">
        <f>'FY27 Revenue'!C31</f>
        <v/>
      </c>
      <c r="T31" s="2">
        <f>'FY27 Revenue'!D31</f>
        <v/>
      </c>
    </row>
    <row r="32">
      <c r="A32" s="2" t="n">
        <v>37395</v>
      </c>
      <c r="B32" s="2" t="inlineStr">
        <is>
          <t>Downer</t>
        </is>
      </c>
      <c r="C32" s="2">
        <f>CONCATENATE("REV","_",'FY27 Revenue'!B32)</f>
        <v/>
      </c>
      <c r="D32" s="2">
        <f>IFERROR(INDEX('Extract_for_Locations 1 Oct 25'!$E$2:$E$3450,MATCH(C32,'Extract_for_Locations 1 Oct 25'!$B$2:$B$3450,0)),"")</f>
        <v/>
      </c>
      <c r="E32" s="2" t="n">
        <v>7868</v>
      </c>
      <c r="F32" s="2" t="inlineStr">
        <is>
          <t>Revenue - AUD Million</t>
        </is>
      </c>
      <c r="H32" s="2">
        <f>CONCATENATE("FY27REV_",'FY27 Revenue'!B32)</f>
        <v/>
      </c>
      <c r="I32" s="2">
        <f>CONCATENATE("FY27REV_",'FY27 Revenue'!B32)</f>
        <v/>
      </c>
      <c r="J32" s="2" t="inlineStr">
        <is>
          <t>Downer</t>
        </is>
      </c>
      <c r="K32" s="2" t="inlineStr">
        <is>
          <t>Revenue</t>
        </is>
      </c>
      <c r="L32" s="10" t="n">
        <v>46204</v>
      </c>
      <c r="M32" s="10" t="n">
        <v>46234</v>
      </c>
      <c r="N32" s="2" t="inlineStr">
        <is>
          <t>Actual</t>
        </is>
      </c>
      <c r="O32" s="2" t="inlineStr">
        <is>
          <t>Standard</t>
        </is>
      </c>
      <c r="Q32" s="2" t="inlineStr">
        <is>
          <t>Insert</t>
        </is>
      </c>
      <c r="R32" s="2">
        <f>'FY27 Revenue'!C32</f>
        <v/>
      </c>
      <c r="S32" s="2">
        <f>'FY27 Revenue'!C32</f>
        <v/>
      </c>
      <c r="T32" s="2">
        <f>'FY27 Revenue'!D32</f>
        <v/>
      </c>
    </row>
    <row r="33">
      <c r="A33" s="2" t="n">
        <v>37395</v>
      </c>
      <c r="B33" s="2" t="inlineStr">
        <is>
          <t>Downer</t>
        </is>
      </c>
      <c r="C33" s="2">
        <f>CONCATENATE("REV","_",'FY27 Revenue'!B33)</f>
        <v/>
      </c>
      <c r="D33" s="2">
        <f>IFERROR(INDEX('Extract_for_Locations 1 Oct 25'!$E$2:$E$3450,MATCH(C33,'Extract_for_Locations 1 Oct 25'!$B$2:$B$3450,0)),"")</f>
        <v/>
      </c>
      <c r="E33" s="2" t="n">
        <v>7868</v>
      </c>
      <c r="F33" s="2" t="inlineStr">
        <is>
          <t>Revenue - AUD Million</t>
        </is>
      </c>
      <c r="H33" s="2">
        <f>CONCATENATE("FY27REV_",'FY27 Revenue'!B33)</f>
        <v/>
      </c>
      <c r="I33" s="2">
        <f>CONCATENATE("FY27REV_",'FY27 Revenue'!B33)</f>
        <v/>
      </c>
      <c r="J33" s="2" t="inlineStr">
        <is>
          <t>Downer</t>
        </is>
      </c>
      <c r="K33" s="2" t="inlineStr">
        <is>
          <t>Revenue</t>
        </is>
      </c>
      <c r="L33" s="10" t="n">
        <v>46204</v>
      </c>
      <c r="M33" s="10" t="n">
        <v>46234</v>
      </c>
      <c r="N33" s="2" t="inlineStr">
        <is>
          <t>Actual</t>
        </is>
      </c>
      <c r="O33" s="2" t="inlineStr">
        <is>
          <t>Standard</t>
        </is>
      </c>
      <c r="Q33" s="2" t="inlineStr">
        <is>
          <t>Insert</t>
        </is>
      </c>
      <c r="R33" s="2">
        <f>'FY27 Revenue'!C33</f>
        <v/>
      </c>
      <c r="S33" s="2">
        <f>'FY27 Revenue'!C33</f>
        <v/>
      </c>
      <c r="T33" s="2">
        <f>'FY27 Revenue'!D33</f>
        <v/>
      </c>
    </row>
    <row r="34">
      <c r="A34" s="2" t="n">
        <v>37395</v>
      </c>
      <c r="B34" s="2" t="inlineStr">
        <is>
          <t>Downer</t>
        </is>
      </c>
      <c r="C34" s="2">
        <f>CONCATENATE("REV","_",'FY27 Revenue'!B34)</f>
        <v/>
      </c>
      <c r="D34" s="2">
        <f>IFERROR(INDEX('Extract_for_Locations 1 Oct 25'!$E$2:$E$3450,MATCH(C34,'Extract_for_Locations 1 Oct 25'!$B$2:$B$3450,0)),"")</f>
        <v/>
      </c>
      <c r="E34" s="2" t="n">
        <v>7868</v>
      </c>
      <c r="F34" s="2" t="inlineStr">
        <is>
          <t>Revenue - AUD Million</t>
        </is>
      </c>
      <c r="H34" s="2">
        <f>CONCATENATE("FY27REV_",'FY27 Revenue'!B34)</f>
        <v/>
      </c>
      <c r="I34" s="2">
        <f>CONCATENATE("FY27REV_",'FY27 Revenue'!B34)</f>
        <v/>
      </c>
      <c r="J34" s="2" t="inlineStr">
        <is>
          <t>Downer</t>
        </is>
      </c>
      <c r="K34" s="2" t="inlineStr">
        <is>
          <t>Revenue</t>
        </is>
      </c>
      <c r="L34" s="10" t="n">
        <v>46204</v>
      </c>
      <c r="M34" s="10" t="n">
        <v>46234</v>
      </c>
      <c r="N34" s="2" t="inlineStr">
        <is>
          <t>Actual</t>
        </is>
      </c>
      <c r="O34" s="2" t="inlineStr">
        <is>
          <t>Standard</t>
        </is>
      </c>
      <c r="Q34" s="2" t="inlineStr">
        <is>
          <t>Insert</t>
        </is>
      </c>
      <c r="R34" s="2">
        <f>'FY27 Revenue'!C34</f>
        <v/>
      </c>
      <c r="S34" s="2">
        <f>'FY27 Revenue'!C34</f>
        <v/>
      </c>
      <c r="T34" s="2">
        <f>'FY27 Revenue'!D34</f>
        <v/>
      </c>
    </row>
    <row r="35">
      <c r="A35" s="2" t="n">
        <v>37395</v>
      </c>
      <c r="B35" s="2" t="inlineStr">
        <is>
          <t>Downer</t>
        </is>
      </c>
      <c r="C35" s="2">
        <f>CONCATENATE("REV","_",'FY27 Revenue'!B35)</f>
        <v/>
      </c>
      <c r="D35" s="2">
        <f>IFERROR(INDEX('Extract_for_Locations 1 Oct 25'!$E$2:$E$3450,MATCH(C35,'Extract_for_Locations 1 Oct 25'!$B$2:$B$3450,0)),"")</f>
        <v/>
      </c>
      <c r="E35" s="2" t="n">
        <v>7868</v>
      </c>
      <c r="F35" s="2" t="inlineStr">
        <is>
          <t>Revenue - AUD Million</t>
        </is>
      </c>
      <c r="H35" s="2">
        <f>CONCATENATE("FY27REV_",'FY27 Revenue'!B35)</f>
        <v/>
      </c>
      <c r="I35" s="2">
        <f>CONCATENATE("FY27REV_",'FY27 Revenue'!B35)</f>
        <v/>
      </c>
      <c r="J35" s="2" t="inlineStr">
        <is>
          <t>Downer</t>
        </is>
      </c>
      <c r="K35" s="2" t="inlineStr">
        <is>
          <t>Revenue</t>
        </is>
      </c>
      <c r="L35" s="10" t="n">
        <v>46204</v>
      </c>
      <c r="M35" s="10" t="n">
        <v>46234</v>
      </c>
      <c r="N35" s="2" t="inlineStr">
        <is>
          <t>Actual</t>
        </is>
      </c>
      <c r="O35" s="2" t="inlineStr">
        <is>
          <t>Standard</t>
        </is>
      </c>
      <c r="Q35" s="2" t="inlineStr">
        <is>
          <t>Insert</t>
        </is>
      </c>
      <c r="R35" s="2">
        <f>'FY27 Revenue'!C35</f>
        <v/>
      </c>
      <c r="S35" s="2">
        <f>'FY27 Revenue'!C35</f>
        <v/>
      </c>
      <c r="T35" s="2">
        <f>'FY27 Revenue'!D35</f>
        <v/>
      </c>
    </row>
    <row r="36">
      <c r="A36" s="2" t="n">
        <v>37395</v>
      </c>
      <c r="B36" s="2" t="inlineStr">
        <is>
          <t>Downer</t>
        </is>
      </c>
      <c r="C36" s="2">
        <f>CONCATENATE("REV","_",'FY27 Revenue'!B36)</f>
        <v/>
      </c>
      <c r="D36" s="2">
        <f>IFERROR(INDEX('Extract_for_Locations 1 Oct 25'!$E$2:$E$3450,MATCH(C36,'Extract_for_Locations 1 Oct 25'!$B$2:$B$3450,0)),"")</f>
        <v/>
      </c>
      <c r="E36" s="2" t="n">
        <v>7868</v>
      </c>
      <c r="F36" s="2" t="inlineStr">
        <is>
          <t>Revenue - AUD Million</t>
        </is>
      </c>
      <c r="H36" s="2">
        <f>CONCATENATE("FY27REV_",'FY27 Revenue'!B36)</f>
        <v/>
      </c>
      <c r="I36" s="2">
        <f>CONCATENATE("FY27REV_",'FY27 Revenue'!B36)</f>
        <v/>
      </c>
      <c r="J36" s="2" t="inlineStr">
        <is>
          <t>Downer</t>
        </is>
      </c>
      <c r="K36" s="2" t="inlineStr">
        <is>
          <t>Revenue</t>
        </is>
      </c>
      <c r="L36" s="10" t="n">
        <v>46204</v>
      </c>
      <c r="M36" s="10" t="n">
        <v>46234</v>
      </c>
      <c r="N36" s="2" t="inlineStr">
        <is>
          <t>Actual</t>
        </is>
      </c>
      <c r="O36" s="2" t="inlineStr">
        <is>
          <t>Standard</t>
        </is>
      </c>
      <c r="Q36" s="2" t="inlineStr">
        <is>
          <t>Insert</t>
        </is>
      </c>
      <c r="R36" s="2">
        <f>'FY27 Revenue'!C36</f>
        <v/>
      </c>
      <c r="S36" s="2">
        <f>'FY27 Revenue'!C36</f>
        <v/>
      </c>
      <c r="T36" s="2">
        <f>'FY27 Revenue'!D36</f>
        <v/>
      </c>
    </row>
    <row r="37">
      <c r="A37" s="2" t="n">
        <v>37395</v>
      </c>
      <c r="B37" s="2" t="inlineStr">
        <is>
          <t>Downer</t>
        </is>
      </c>
      <c r="C37" s="2">
        <f>CONCATENATE("REV","_",'FY27 Revenue'!B37)</f>
        <v/>
      </c>
      <c r="D37" s="2">
        <f>IFERROR(INDEX('Extract_for_Locations 1 Oct 25'!$E$2:$E$3450,MATCH(C37,'Extract_for_Locations 1 Oct 25'!$B$2:$B$3450,0)),"")</f>
        <v/>
      </c>
      <c r="E37" s="2" t="n">
        <v>7868</v>
      </c>
      <c r="F37" s="2" t="inlineStr">
        <is>
          <t>Revenue - AUD Million</t>
        </is>
      </c>
      <c r="H37" s="2">
        <f>CONCATENATE("FY27REV_",'FY27 Revenue'!B37)</f>
        <v/>
      </c>
      <c r="I37" s="2">
        <f>CONCATENATE("FY27REV_",'FY27 Revenue'!B37)</f>
        <v/>
      </c>
      <c r="J37" s="2" t="inlineStr">
        <is>
          <t>Downer</t>
        </is>
      </c>
      <c r="K37" s="2" t="inlineStr">
        <is>
          <t>Revenue</t>
        </is>
      </c>
      <c r="L37" s="10" t="n">
        <v>46204</v>
      </c>
      <c r="M37" s="10" t="n">
        <v>46234</v>
      </c>
      <c r="N37" s="2" t="inlineStr">
        <is>
          <t>Actual</t>
        </is>
      </c>
      <c r="O37" s="2" t="inlineStr">
        <is>
          <t>Standard</t>
        </is>
      </c>
      <c r="Q37" s="2" t="inlineStr">
        <is>
          <t>Insert</t>
        </is>
      </c>
      <c r="R37" s="2">
        <f>'FY27 Revenue'!C37</f>
        <v/>
      </c>
      <c r="S37" s="2">
        <f>'FY27 Revenue'!C37</f>
        <v/>
      </c>
      <c r="T37" s="2">
        <f>'FY27 Revenue'!D37</f>
        <v/>
      </c>
    </row>
    <row r="38">
      <c r="A38" s="2" t="n">
        <v>37395</v>
      </c>
      <c r="B38" s="2" t="inlineStr">
        <is>
          <t>Downer</t>
        </is>
      </c>
      <c r="C38" s="2">
        <f>CONCATENATE("REV","_",'FY27 Revenue'!B38)</f>
        <v/>
      </c>
      <c r="D38" s="2">
        <f>IFERROR(INDEX('Extract_for_Locations 1 Oct 25'!$E$2:$E$3450,MATCH(C38,'Extract_for_Locations 1 Oct 25'!$B$2:$B$3450,0)),"")</f>
        <v/>
      </c>
      <c r="E38" s="2" t="n">
        <v>7868</v>
      </c>
      <c r="F38" s="2" t="inlineStr">
        <is>
          <t>Revenue - AUD Million</t>
        </is>
      </c>
      <c r="H38" s="2">
        <f>CONCATENATE("FY27REV_",'FY27 Revenue'!B38)</f>
        <v/>
      </c>
      <c r="I38" s="2">
        <f>CONCATENATE("FY27REV_",'FY27 Revenue'!B38)</f>
        <v/>
      </c>
      <c r="J38" s="2" t="inlineStr">
        <is>
          <t>Downer</t>
        </is>
      </c>
      <c r="K38" s="2" t="inlineStr">
        <is>
          <t>Revenue</t>
        </is>
      </c>
      <c r="L38" s="10" t="n">
        <v>46204</v>
      </c>
      <c r="M38" s="10" t="n">
        <v>46234</v>
      </c>
      <c r="N38" s="2" t="inlineStr">
        <is>
          <t>Actual</t>
        </is>
      </c>
      <c r="O38" s="2" t="inlineStr">
        <is>
          <t>Standard</t>
        </is>
      </c>
      <c r="Q38" s="2" t="inlineStr">
        <is>
          <t>Insert</t>
        </is>
      </c>
      <c r="R38" s="2">
        <f>'FY27 Revenue'!C38</f>
        <v/>
      </c>
      <c r="S38" s="2">
        <f>'FY27 Revenue'!C38</f>
        <v/>
      </c>
      <c r="T38" s="2">
        <f>'FY27 Revenue'!D38</f>
        <v/>
      </c>
    </row>
    <row r="39">
      <c r="A39" s="2" t="n">
        <v>37395</v>
      </c>
      <c r="B39" s="2" t="inlineStr">
        <is>
          <t>Downer</t>
        </is>
      </c>
      <c r="C39" s="2">
        <f>CONCATENATE("REV","_",'FY27 Revenue'!B39)</f>
        <v/>
      </c>
      <c r="D39" s="2">
        <f>IFERROR(INDEX('Extract_for_Locations 1 Oct 25'!$E$2:$E$3450,MATCH(C39,'Extract_for_Locations 1 Oct 25'!$B$2:$B$3450,0)),"")</f>
        <v/>
      </c>
      <c r="E39" s="2" t="n">
        <v>7868</v>
      </c>
      <c r="F39" s="2" t="inlineStr">
        <is>
          <t>Revenue - AUD Million</t>
        </is>
      </c>
      <c r="H39" s="2">
        <f>CONCATENATE("FY27REV_",'FY27 Revenue'!B39)</f>
        <v/>
      </c>
      <c r="I39" s="2">
        <f>CONCATENATE("FY27REV_",'FY27 Revenue'!B39)</f>
        <v/>
      </c>
      <c r="J39" s="2" t="inlineStr">
        <is>
          <t>Downer</t>
        </is>
      </c>
      <c r="K39" s="2" t="inlineStr">
        <is>
          <t>Revenue</t>
        </is>
      </c>
      <c r="L39" s="10" t="n">
        <v>46204</v>
      </c>
      <c r="M39" s="10" t="n">
        <v>46234</v>
      </c>
      <c r="N39" s="2" t="inlineStr">
        <is>
          <t>Actual</t>
        </is>
      </c>
      <c r="O39" s="2" t="inlineStr">
        <is>
          <t>Standard</t>
        </is>
      </c>
      <c r="Q39" s="2" t="inlineStr">
        <is>
          <t>Insert</t>
        </is>
      </c>
      <c r="R39" s="2">
        <f>'FY27 Revenue'!C39</f>
        <v/>
      </c>
      <c r="S39" s="2">
        <f>'FY27 Revenue'!C39</f>
        <v/>
      </c>
      <c r="T39" s="2">
        <f>'FY27 Revenue'!D39</f>
        <v/>
      </c>
    </row>
    <row r="40">
      <c r="A40" s="2" t="n">
        <v>37395</v>
      </c>
      <c r="B40" s="2" t="inlineStr">
        <is>
          <t>Downer</t>
        </is>
      </c>
      <c r="C40" s="2">
        <f>CONCATENATE("REV","_",'FY27 Revenue'!B40)</f>
        <v/>
      </c>
      <c r="D40" s="2">
        <f>IFERROR(INDEX('Extract_for_Locations 1 Oct 25'!$E$2:$E$3450,MATCH(C40,'Extract_for_Locations 1 Oct 25'!$B$2:$B$3450,0)),"")</f>
        <v/>
      </c>
      <c r="E40" s="2" t="n">
        <v>7868</v>
      </c>
      <c r="F40" s="2" t="inlineStr">
        <is>
          <t>Revenue - AUD Million</t>
        </is>
      </c>
      <c r="H40" s="2">
        <f>CONCATENATE("FY27REV_",'FY27 Revenue'!B40)</f>
        <v/>
      </c>
      <c r="I40" s="2">
        <f>CONCATENATE("FY27REV_",'FY27 Revenue'!B40)</f>
        <v/>
      </c>
      <c r="J40" s="2" t="inlineStr">
        <is>
          <t>Downer</t>
        </is>
      </c>
      <c r="K40" s="2" t="inlineStr">
        <is>
          <t>Revenue</t>
        </is>
      </c>
      <c r="L40" s="10" t="n">
        <v>46204</v>
      </c>
      <c r="M40" s="10" t="n">
        <v>46234</v>
      </c>
      <c r="N40" s="2" t="inlineStr">
        <is>
          <t>Actual</t>
        </is>
      </c>
      <c r="O40" s="2" t="inlineStr">
        <is>
          <t>Standard</t>
        </is>
      </c>
      <c r="Q40" s="2" t="inlineStr">
        <is>
          <t>Insert</t>
        </is>
      </c>
      <c r="R40" s="2">
        <f>'FY27 Revenue'!C40</f>
        <v/>
      </c>
      <c r="S40" s="2">
        <f>'FY27 Revenue'!C40</f>
        <v/>
      </c>
      <c r="T40" s="2">
        <f>'FY27 Revenue'!D40</f>
        <v/>
      </c>
    </row>
    <row r="41">
      <c r="A41" s="2" t="n">
        <v>37395</v>
      </c>
      <c r="B41" s="2" t="inlineStr">
        <is>
          <t>Downer</t>
        </is>
      </c>
      <c r="C41" s="2">
        <f>CONCATENATE("REV","_",'FY27 Revenue'!B41)</f>
        <v/>
      </c>
      <c r="D41" s="2">
        <f>IFERROR(INDEX('Extract_for_Locations 1 Oct 25'!$E$2:$E$3450,MATCH(C41,'Extract_for_Locations 1 Oct 25'!$B$2:$B$3450,0)),"")</f>
        <v/>
      </c>
      <c r="E41" s="2" t="n">
        <v>7868</v>
      </c>
      <c r="F41" s="2" t="inlineStr">
        <is>
          <t>Revenue - AUD Million</t>
        </is>
      </c>
      <c r="H41" s="2">
        <f>CONCATENATE("FY27REV_",'FY27 Revenue'!B41)</f>
        <v/>
      </c>
      <c r="I41" s="2">
        <f>CONCATENATE("FY27REV_",'FY27 Revenue'!B41)</f>
        <v/>
      </c>
      <c r="J41" s="2" t="inlineStr">
        <is>
          <t>Downer</t>
        </is>
      </c>
      <c r="K41" s="2" t="inlineStr">
        <is>
          <t>Revenue</t>
        </is>
      </c>
      <c r="L41" s="10" t="n">
        <v>46204</v>
      </c>
      <c r="M41" s="10" t="n">
        <v>46234</v>
      </c>
      <c r="N41" s="2" t="inlineStr">
        <is>
          <t>Actual</t>
        </is>
      </c>
      <c r="O41" s="2" t="inlineStr">
        <is>
          <t>Standard</t>
        </is>
      </c>
      <c r="Q41" s="2" t="inlineStr">
        <is>
          <t>Insert</t>
        </is>
      </c>
      <c r="R41" s="2">
        <f>'FY27 Revenue'!C41</f>
        <v/>
      </c>
      <c r="S41" s="2">
        <f>'FY27 Revenue'!C41</f>
        <v/>
      </c>
      <c r="T41" s="2">
        <f>'FY27 Revenue'!D41</f>
        <v/>
      </c>
    </row>
    <row r="42">
      <c r="A42" s="2" t="n">
        <v>37395</v>
      </c>
      <c r="B42" s="2" t="inlineStr">
        <is>
          <t>Downer</t>
        </is>
      </c>
      <c r="C42" s="2">
        <f>CONCATENATE("REV","_",'FY27 Revenue'!B42)</f>
        <v/>
      </c>
      <c r="D42" s="2">
        <f>IFERROR(INDEX('Extract_for_Locations 1 Oct 25'!$E$2:$E$3450,MATCH(C42,'Extract_for_Locations 1 Oct 25'!$B$2:$B$3450,0)),"")</f>
        <v/>
      </c>
      <c r="E42" s="2" t="n">
        <v>7868</v>
      </c>
      <c r="F42" s="2" t="inlineStr">
        <is>
          <t>Revenue - AUD Million</t>
        </is>
      </c>
      <c r="H42" s="2">
        <f>CONCATENATE("FY27REV_",'FY27 Revenue'!B42)</f>
        <v/>
      </c>
      <c r="I42" s="2">
        <f>CONCATENATE("FY27REV_",'FY27 Revenue'!B42)</f>
        <v/>
      </c>
      <c r="J42" s="2" t="inlineStr">
        <is>
          <t>Downer</t>
        </is>
      </c>
      <c r="K42" s="2" t="inlineStr">
        <is>
          <t>Revenue</t>
        </is>
      </c>
      <c r="L42" s="10" t="n">
        <v>46204</v>
      </c>
      <c r="M42" s="10" t="n">
        <v>46234</v>
      </c>
      <c r="N42" s="2" t="inlineStr">
        <is>
          <t>Actual</t>
        </is>
      </c>
      <c r="O42" s="2" t="inlineStr">
        <is>
          <t>Standard</t>
        </is>
      </c>
      <c r="Q42" s="2" t="inlineStr">
        <is>
          <t>Insert</t>
        </is>
      </c>
      <c r="R42" s="2">
        <f>'FY27 Revenue'!C42</f>
        <v/>
      </c>
      <c r="S42" s="2">
        <f>'FY27 Revenue'!C42</f>
        <v/>
      </c>
      <c r="T42" s="2">
        <f>'FY27 Revenue'!D42</f>
        <v/>
      </c>
    </row>
    <row r="43">
      <c r="A43" s="2" t="n">
        <v>37395</v>
      </c>
      <c r="B43" s="2" t="inlineStr">
        <is>
          <t>Downer</t>
        </is>
      </c>
      <c r="C43" s="2">
        <f>CONCATENATE("REV","_",'FY27 Revenue'!B43)</f>
        <v/>
      </c>
      <c r="D43" s="2">
        <f>IFERROR(INDEX('Extract_for_Locations 1 Oct 25'!$E$2:$E$3450,MATCH(C43,'Extract_for_Locations 1 Oct 25'!$B$2:$B$3450,0)),"")</f>
        <v/>
      </c>
      <c r="E43" s="2" t="n">
        <v>7868</v>
      </c>
      <c r="F43" s="2" t="inlineStr">
        <is>
          <t>Revenue - AUD Million</t>
        </is>
      </c>
      <c r="H43" s="2">
        <f>CONCATENATE("FY27REV_",'FY27 Revenue'!B43)</f>
        <v/>
      </c>
      <c r="I43" s="2">
        <f>CONCATENATE("FY27REV_",'FY27 Revenue'!B43)</f>
        <v/>
      </c>
      <c r="J43" s="2" t="inlineStr">
        <is>
          <t>Downer</t>
        </is>
      </c>
      <c r="K43" s="2" t="inlineStr">
        <is>
          <t>Revenue</t>
        </is>
      </c>
      <c r="L43" s="10" t="n">
        <v>46204</v>
      </c>
      <c r="M43" s="10" t="n">
        <v>46234</v>
      </c>
      <c r="N43" s="2" t="inlineStr">
        <is>
          <t>Actual</t>
        </is>
      </c>
      <c r="O43" s="2" t="inlineStr">
        <is>
          <t>Standard</t>
        </is>
      </c>
      <c r="Q43" s="2" t="inlineStr">
        <is>
          <t>Insert</t>
        </is>
      </c>
      <c r="R43" s="2">
        <f>'FY27 Revenue'!C43</f>
        <v/>
      </c>
      <c r="S43" s="2">
        <f>'FY27 Revenue'!C43</f>
        <v/>
      </c>
      <c r="T43" s="2">
        <f>'FY27 Revenue'!D43</f>
        <v/>
      </c>
    </row>
    <row r="44">
      <c r="A44" s="2" t="n">
        <v>37395</v>
      </c>
      <c r="B44" s="2" t="inlineStr">
        <is>
          <t>Downer</t>
        </is>
      </c>
      <c r="C44" s="2">
        <f>CONCATENATE("REV","_",'FY27 Revenue'!B44)</f>
        <v/>
      </c>
      <c r="D44" s="2">
        <f>IFERROR(INDEX('Extract_for_Locations 1 Oct 25'!$E$2:$E$3450,MATCH(C44,'Extract_for_Locations 1 Oct 25'!$B$2:$B$3450,0)),"")</f>
        <v/>
      </c>
      <c r="E44" s="2" t="n">
        <v>7868</v>
      </c>
      <c r="F44" s="2" t="inlineStr">
        <is>
          <t>Revenue - AUD Million</t>
        </is>
      </c>
      <c r="H44" s="2">
        <f>CONCATENATE("FY27REV_",'FY27 Revenue'!B44)</f>
        <v/>
      </c>
      <c r="I44" s="2">
        <f>CONCATENATE("FY27REV_",'FY27 Revenue'!B44)</f>
        <v/>
      </c>
      <c r="J44" s="2" t="inlineStr">
        <is>
          <t>Downer</t>
        </is>
      </c>
      <c r="K44" s="2" t="inlineStr">
        <is>
          <t>Revenue</t>
        </is>
      </c>
      <c r="L44" s="10" t="n">
        <v>46204</v>
      </c>
      <c r="M44" s="10" t="n">
        <v>46234</v>
      </c>
      <c r="N44" s="2" t="inlineStr">
        <is>
          <t>Actual</t>
        </is>
      </c>
      <c r="O44" s="2" t="inlineStr">
        <is>
          <t>Standard</t>
        </is>
      </c>
      <c r="Q44" s="2" t="inlineStr">
        <is>
          <t>Insert</t>
        </is>
      </c>
      <c r="R44" s="2">
        <f>'FY27 Revenue'!C44</f>
        <v/>
      </c>
      <c r="S44" s="2">
        <f>'FY27 Revenue'!C44</f>
        <v/>
      </c>
      <c r="T44" s="2">
        <f>'FY27 Revenue'!D44</f>
        <v/>
      </c>
    </row>
    <row r="45">
      <c r="A45" s="2" t="n">
        <v>37395</v>
      </c>
      <c r="B45" s="2" t="inlineStr">
        <is>
          <t>Downer</t>
        </is>
      </c>
      <c r="C45" s="2">
        <f>CONCATENATE("REV","_",'FY27 Revenue'!B45)</f>
        <v/>
      </c>
      <c r="D45" s="2">
        <f>IFERROR(INDEX('Extract_for_Locations 1 Oct 25'!$E$2:$E$3450,MATCH(C45,'Extract_for_Locations 1 Oct 25'!$B$2:$B$3450,0)),"")</f>
        <v/>
      </c>
      <c r="E45" s="2" t="n">
        <v>7868</v>
      </c>
      <c r="F45" s="2" t="inlineStr">
        <is>
          <t>Revenue - AUD Million</t>
        </is>
      </c>
      <c r="H45" s="2">
        <f>CONCATENATE("FY27REV_",'FY27 Revenue'!B45)</f>
        <v/>
      </c>
      <c r="I45" s="2">
        <f>CONCATENATE("FY27REV_",'FY27 Revenue'!B45)</f>
        <v/>
      </c>
      <c r="J45" s="2" t="inlineStr">
        <is>
          <t>Downer</t>
        </is>
      </c>
      <c r="K45" s="2" t="inlineStr">
        <is>
          <t>Revenue</t>
        </is>
      </c>
      <c r="L45" s="10" t="n">
        <v>46204</v>
      </c>
      <c r="M45" s="10" t="n">
        <v>46234</v>
      </c>
      <c r="N45" s="2" t="inlineStr">
        <is>
          <t>Actual</t>
        </is>
      </c>
      <c r="O45" s="2" t="inlineStr">
        <is>
          <t>Standard</t>
        </is>
      </c>
      <c r="Q45" s="2" t="inlineStr">
        <is>
          <t>Insert</t>
        </is>
      </c>
      <c r="R45" s="2">
        <f>'FY27 Revenue'!C45</f>
        <v/>
      </c>
      <c r="S45" s="2">
        <f>'FY27 Revenue'!C45</f>
        <v/>
      </c>
      <c r="T45" s="2">
        <f>'FY27 Revenue'!D45</f>
        <v/>
      </c>
    </row>
    <row r="46">
      <c r="A46" s="2" t="n">
        <v>37395</v>
      </c>
      <c r="B46" s="2" t="inlineStr">
        <is>
          <t>Downer</t>
        </is>
      </c>
      <c r="C46" s="2">
        <f>CONCATENATE("REV","_",'FY27 Revenue'!B46)</f>
        <v/>
      </c>
      <c r="D46" s="2">
        <f>IFERROR(INDEX('Extract_for_Locations 1 Oct 25'!$E$2:$E$3450,MATCH(C46,'Extract_for_Locations 1 Oct 25'!$B$2:$B$3450,0)),"")</f>
        <v/>
      </c>
      <c r="E46" s="2" t="n">
        <v>7868</v>
      </c>
      <c r="F46" s="2" t="inlineStr">
        <is>
          <t>Revenue - AUD Million</t>
        </is>
      </c>
      <c r="H46" s="2">
        <f>CONCATENATE("FY27REV_",'FY27 Revenue'!B46)</f>
        <v/>
      </c>
      <c r="I46" s="2">
        <f>CONCATENATE("FY27REV_",'FY27 Revenue'!B46)</f>
        <v/>
      </c>
      <c r="J46" s="2" t="inlineStr">
        <is>
          <t>Downer</t>
        </is>
      </c>
      <c r="K46" s="2" t="inlineStr">
        <is>
          <t>Revenue</t>
        </is>
      </c>
      <c r="L46" s="10" t="n">
        <v>46204</v>
      </c>
      <c r="M46" s="10" t="n">
        <v>46234</v>
      </c>
      <c r="N46" s="2" t="inlineStr">
        <is>
          <t>Actual</t>
        </is>
      </c>
      <c r="O46" s="2" t="inlineStr">
        <is>
          <t>Standard</t>
        </is>
      </c>
      <c r="Q46" s="2" t="inlineStr">
        <is>
          <t>Insert</t>
        </is>
      </c>
      <c r="R46" s="2">
        <f>'FY27 Revenue'!C46</f>
        <v/>
      </c>
      <c r="S46" s="2">
        <f>'FY27 Revenue'!C46</f>
        <v/>
      </c>
      <c r="T46" s="2">
        <f>'FY27 Revenue'!D46</f>
        <v/>
      </c>
    </row>
    <row r="47">
      <c r="A47" s="2" t="n">
        <v>37395</v>
      </c>
      <c r="B47" s="2" t="inlineStr">
        <is>
          <t>Downer</t>
        </is>
      </c>
      <c r="C47" s="2">
        <f>CONCATENATE("REV","_",'FY27 Revenue'!B47)</f>
        <v/>
      </c>
      <c r="D47" s="2">
        <f>IFERROR(INDEX('Extract_for_Locations 1 Oct 25'!$E$2:$E$3450,MATCH(C47,'Extract_for_Locations 1 Oct 25'!$B$2:$B$3450,0)),"")</f>
        <v/>
      </c>
      <c r="E47" s="2" t="n">
        <v>7868</v>
      </c>
      <c r="F47" s="2" t="inlineStr">
        <is>
          <t>Revenue - AUD Million</t>
        </is>
      </c>
      <c r="H47" s="2">
        <f>CONCATENATE("FY27REV_",'FY27 Revenue'!B47)</f>
        <v/>
      </c>
      <c r="I47" s="2">
        <f>CONCATENATE("FY27REV_",'FY27 Revenue'!B47)</f>
        <v/>
      </c>
      <c r="J47" s="2" t="inlineStr">
        <is>
          <t>Downer</t>
        </is>
      </c>
      <c r="K47" s="2" t="inlineStr">
        <is>
          <t>Revenue</t>
        </is>
      </c>
      <c r="L47" s="10" t="n">
        <v>46204</v>
      </c>
      <c r="M47" s="10" t="n">
        <v>46234</v>
      </c>
      <c r="N47" s="2" t="inlineStr">
        <is>
          <t>Actual</t>
        </is>
      </c>
      <c r="O47" s="2" t="inlineStr">
        <is>
          <t>Standard</t>
        </is>
      </c>
      <c r="Q47" s="2" t="inlineStr">
        <is>
          <t>Insert</t>
        </is>
      </c>
      <c r="R47" s="2">
        <f>'FY27 Revenue'!C47</f>
        <v/>
      </c>
      <c r="S47" s="2">
        <f>'FY27 Revenue'!C47</f>
        <v/>
      </c>
      <c r="T47" s="2">
        <f>'FY27 Revenue'!D47</f>
        <v/>
      </c>
    </row>
    <row r="48">
      <c r="A48" s="2" t="n">
        <v>37395</v>
      </c>
      <c r="B48" s="2" t="inlineStr">
        <is>
          <t>Downer</t>
        </is>
      </c>
      <c r="C48" s="2">
        <f>CONCATENATE("REV","_",'FY27 Revenue'!B48)</f>
        <v/>
      </c>
      <c r="D48" s="2">
        <f>IFERROR(INDEX('Extract_for_Locations 1 Oct 25'!$E$2:$E$3450,MATCH(C48,'Extract_for_Locations 1 Oct 25'!$B$2:$B$3450,0)),"")</f>
        <v/>
      </c>
      <c r="E48" s="2" t="n">
        <v>7868</v>
      </c>
      <c r="F48" s="2" t="inlineStr">
        <is>
          <t>Revenue - AUD Million</t>
        </is>
      </c>
      <c r="H48" s="2">
        <f>CONCATENATE("FY27REV_",'FY27 Revenue'!B48)</f>
        <v/>
      </c>
      <c r="I48" s="2">
        <f>CONCATENATE("FY27REV_",'FY27 Revenue'!B48)</f>
        <v/>
      </c>
      <c r="J48" s="2" t="inlineStr">
        <is>
          <t>Downer</t>
        </is>
      </c>
      <c r="K48" s="2" t="inlineStr">
        <is>
          <t>Revenue</t>
        </is>
      </c>
      <c r="L48" s="10" t="n">
        <v>46204</v>
      </c>
      <c r="M48" s="10" t="n">
        <v>46234</v>
      </c>
      <c r="N48" s="2" t="inlineStr">
        <is>
          <t>Actual</t>
        </is>
      </c>
      <c r="O48" s="2" t="inlineStr">
        <is>
          <t>Standard</t>
        </is>
      </c>
      <c r="Q48" s="2" t="inlineStr">
        <is>
          <t>Insert</t>
        </is>
      </c>
      <c r="R48" s="2">
        <f>'FY27 Revenue'!C48</f>
        <v/>
      </c>
      <c r="S48" s="2">
        <f>'FY27 Revenue'!C48</f>
        <v/>
      </c>
      <c r="T48" s="2">
        <f>'FY27 Revenue'!D48</f>
        <v/>
      </c>
    </row>
    <row r="49">
      <c r="A49" s="2" t="n">
        <v>37395</v>
      </c>
      <c r="B49" s="2" t="inlineStr">
        <is>
          <t>Downer</t>
        </is>
      </c>
      <c r="C49" s="2">
        <f>CONCATENATE("REV","_",'FY27 Revenue'!B49)</f>
        <v/>
      </c>
      <c r="D49" s="2">
        <f>IFERROR(INDEX('Extract_for_Locations 1 Oct 25'!$E$2:$E$3450,MATCH(C49,'Extract_for_Locations 1 Oct 25'!$B$2:$B$3450,0)),"")</f>
        <v/>
      </c>
      <c r="E49" s="2" t="n">
        <v>7868</v>
      </c>
      <c r="F49" s="2" t="inlineStr">
        <is>
          <t>Revenue - AUD Million</t>
        </is>
      </c>
      <c r="H49" s="2">
        <f>CONCATENATE("FY27REV_",'FY27 Revenue'!B49)</f>
        <v/>
      </c>
      <c r="I49" s="2">
        <f>CONCATENATE("FY27REV_",'FY27 Revenue'!B49)</f>
        <v/>
      </c>
      <c r="J49" s="2" t="inlineStr">
        <is>
          <t>Downer</t>
        </is>
      </c>
      <c r="K49" s="2" t="inlineStr">
        <is>
          <t>Revenue</t>
        </is>
      </c>
      <c r="L49" s="10" t="n">
        <v>46204</v>
      </c>
      <c r="M49" s="10" t="n">
        <v>46234</v>
      </c>
      <c r="N49" s="2" t="inlineStr">
        <is>
          <t>Actual</t>
        </is>
      </c>
      <c r="O49" s="2" t="inlineStr">
        <is>
          <t>Standard</t>
        </is>
      </c>
      <c r="Q49" s="2" t="inlineStr">
        <is>
          <t>Insert</t>
        </is>
      </c>
      <c r="R49" s="2">
        <f>'FY27 Revenue'!C49</f>
        <v/>
      </c>
      <c r="S49" s="2">
        <f>'FY27 Revenue'!C49</f>
        <v/>
      </c>
      <c r="T49" s="2">
        <f>'FY27 Revenue'!D49</f>
        <v/>
      </c>
    </row>
    <row r="50">
      <c r="A50" s="2" t="n">
        <v>37395</v>
      </c>
      <c r="B50" s="2" t="inlineStr">
        <is>
          <t>Downer</t>
        </is>
      </c>
      <c r="C50" s="2">
        <f>CONCATENATE("REV","_",'FY27 Revenue'!B50)</f>
        <v/>
      </c>
      <c r="D50" s="2">
        <f>IFERROR(INDEX('Extract_for_Locations 1 Oct 25'!$E$2:$E$3450,MATCH(C50,'Extract_for_Locations 1 Oct 25'!$B$2:$B$3450,0)),"")</f>
        <v/>
      </c>
      <c r="E50" s="2" t="n">
        <v>7868</v>
      </c>
      <c r="F50" s="2" t="inlineStr">
        <is>
          <t>Revenue - AUD Million</t>
        </is>
      </c>
      <c r="H50" s="2">
        <f>CONCATENATE("FY27REV_",'FY27 Revenue'!B50)</f>
        <v/>
      </c>
      <c r="I50" s="2">
        <f>CONCATENATE("FY27REV_",'FY27 Revenue'!B50)</f>
        <v/>
      </c>
      <c r="J50" s="2" t="inlineStr">
        <is>
          <t>Downer</t>
        </is>
      </c>
      <c r="K50" s="2" t="inlineStr">
        <is>
          <t>Revenue</t>
        </is>
      </c>
      <c r="L50" s="10" t="n">
        <v>46204</v>
      </c>
      <c r="M50" s="10" t="n">
        <v>46234</v>
      </c>
      <c r="N50" s="2" t="inlineStr">
        <is>
          <t>Actual</t>
        </is>
      </c>
      <c r="O50" s="2" t="inlineStr">
        <is>
          <t>Standard</t>
        </is>
      </c>
      <c r="Q50" s="2" t="inlineStr">
        <is>
          <t>Insert</t>
        </is>
      </c>
      <c r="R50" s="2">
        <f>'FY27 Revenue'!C50</f>
        <v/>
      </c>
      <c r="S50" s="2">
        <f>'FY27 Revenue'!C50</f>
        <v/>
      </c>
      <c r="T50" s="2">
        <f>'FY27 Revenue'!D50</f>
        <v/>
      </c>
    </row>
    <row r="51">
      <c r="A51" s="2" t="n">
        <v>37395</v>
      </c>
      <c r="B51" s="2" t="inlineStr">
        <is>
          <t>Downer</t>
        </is>
      </c>
      <c r="C51" s="2">
        <f>CONCATENATE("REV","_",'FY27 Revenue'!B51)</f>
        <v/>
      </c>
      <c r="D51" s="2">
        <f>IFERROR(INDEX('Extract_for_Locations 1 Oct 25'!$E$2:$E$3450,MATCH(C51,'Extract_for_Locations 1 Oct 25'!$B$2:$B$3450,0)),"")</f>
        <v/>
      </c>
      <c r="E51" s="2" t="n">
        <v>7868</v>
      </c>
      <c r="F51" s="2" t="inlineStr">
        <is>
          <t>Revenue - AUD Million</t>
        </is>
      </c>
      <c r="H51" s="2">
        <f>CONCATENATE("FY27REV_",'FY27 Revenue'!B51)</f>
        <v/>
      </c>
      <c r="I51" s="2">
        <f>CONCATENATE("FY27REV_",'FY27 Revenue'!B51)</f>
        <v/>
      </c>
      <c r="J51" s="2" t="inlineStr">
        <is>
          <t>Downer</t>
        </is>
      </c>
      <c r="K51" s="2" t="inlineStr">
        <is>
          <t>Revenue</t>
        </is>
      </c>
      <c r="L51" s="10" t="n">
        <v>46204</v>
      </c>
      <c r="M51" s="10" t="n">
        <v>46234</v>
      </c>
      <c r="N51" s="2" t="inlineStr">
        <is>
          <t>Actual</t>
        </is>
      </c>
      <c r="O51" s="2" t="inlineStr">
        <is>
          <t>Standard</t>
        </is>
      </c>
      <c r="Q51" s="2" t="inlineStr">
        <is>
          <t>Insert</t>
        </is>
      </c>
      <c r="R51" s="2">
        <f>'FY27 Revenue'!C51</f>
        <v/>
      </c>
      <c r="S51" s="2">
        <f>'FY27 Revenue'!C51</f>
        <v/>
      </c>
      <c r="T51" s="2">
        <f>'FY27 Revenue'!D51</f>
        <v/>
      </c>
    </row>
    <row r="52">
      <c r="A52" s="2" t="n">
        <v>37395</v>
      </c>
      <c r="B52" s="2" t="inlineStr">
        <is>
          <t>Downer</t>
        </is>
      </c>
      <c r="C52" s="2">
        <f>CONCATENATE("REV","_",'FY27 Revenue'!B52)</f>
        <v/>
      </c>
      <c r="D52" s="2">
        <f>IFERROR(INDEX('Extract_for_Locations 1 Oct 25'!$E$2:$E$3450,MATCH(C52,'Extract_for_Locations 1 Oct 25'!$B$2:$B$3450,0)),"")</f>
        <v/>
      </c>
      <c r="E52" s="2" t="n">
        <v>7868</v>
      </c>
      <c r="F52" s="2" t="inlineStr">
        <is>
          <t>Revenue - AUD Million</t>
        </is>
      </c>
      <c r="H52" s="2">
        <f>CONCATENATE("FY27REV_",'FY27 Revenue'!B52)</f>
        <v/>
      </c>
      <c r="I52" s="2">
        <f>CONCATENATE("FY27REV_",'FY27 Revenue'!B52)</f>
        <v/>
      </c>
      <c r="J52" s="2" t="inlineStr">
        <is>
          <t>Downer</t>
        </is>
      </c>
      <c r="K52" s="2" t="inlineStr">
        <is>
          <t>Revenue</t>
        </is>
      </c>
      <c r="L52" s="10" t="n">
        <v>46204</v>
      </c>
      <c r="M52" s="10" t="n">
        <v>46234</v>
      </c>
      <c r="N52" s="2" t="inlineStr">
        <is>
          <t>Actual</t>
        </is>
      </c>
      <c r="O52" s="2" t="inlineStr">
        <is>
          <t>Standard</t>
        </is>
      </c>
      <c r="Q52" s="2" t="inlineStr">
        <is>
          <t>Insert</t>
        </is>
      </c>
      <c r="R52" s="2">
        <f>'FY27 Revenue'!C52</f>
        <v/>
      </c>
      <c r="S52" s="2">
        <f>'FY27 Revenue'!C52</f>
        <v/>
      </c>
      <c r="T52" s="2">
        <f>'FY27 Revenue'!D52</f>
        <v/>
      </c>
    </row>
    <row r="53">
      <c r="A53" s="2" t="n">
        <v>37395</v>
      </c>
      <c r="B53" s="2" t="inlineStr">
        <is>
          <t>Downer</t>
        </is>
      </c>
      <c r="C53" s="2">
        <f>CONCATENATE("REV","_",'FY27 Revenue'!B53)</f>
        <v/>
      </c>
      <c r="D53" s="2">
        <f>IFERROR(INDEX('Extract_for_Locations 1 Oct 25'!$E$2:$E$3450,MATCH(C53,'Extract_for_Locations 1 Oct 25'!$B$2:$B$3450,0)),"")</f>
        <v/>
      </c>
      <c r="E53" s="2" t="n">
        <v>7868</v>
      </c>
      <c r="F53" s="2" t="inlineStr">
        <is>
          <t>Revenue - AUD Million</t>
        </is>
      </c>
      <c r="H53" s="2">
        <f>CONCATENATE("FY27REV_",'FY27 Revenue'!B53)</f>
        <v/>
      </c>
      <c r="I53" s="2">
        <f>CONCATENATE("FY27REV_",'FY27 Revenue'!B53)</f>
        <v/>
      </c>
      <c r="J53" s="2" t="inlineStr">
        <is>
          <t>Downer</t>
        </is>
      </c>
      <c r="K53" s="2" t="inlineStr">
        <is>
          <t>Revenue</t>
        </is>
      </c>
      <c r="L53" s="10" t="n">
        <v>46204</v>
      </c>
      <c r="M53" s="10" t="n">
        <v>46234</v>
      </c>
      <c r="N53" s="2" t="inlineStr">
        <is>
          <t>Actual</t>
        </is>
      </c>
      <c r="O53" s="2" t="inlineStr">
        <is>
          <t>Standard</t>
        </is>
      </c>
      <c r="Q53" s="2" t="inlineStr">
        <is>
          <t>Insert</t>
        </is>
      </c>
      <c r="R53" s="2">
        <f>'FY27 Revenue'!C53</f>
        <v/>
      </c>
      <c r="S53" s="2">
        <f>'FY27 Revenue'!C53</f>
        <v/>
      </c>
      <c r="T53" s="2">
        <f>'FY27 Revenue'!D53</f>
        <v/>
      </c>
    </row>
    <row r="54">
      <c r="A54" s="2" t="n">
        <v>37395</v>
      </c>
      <c r="B54" s="2" t="inlineStr">
        <is>
          <t>Downer</t>
        </is>
      </c>
      <c r="C54" s="2">
        <f>CONCATENATE("REV","_",'FY27 Revenue'!B54)</f>
        <v/>
      </c>
      <c r="D54" s="2">
        <f>IFERROR(INDEX('Extract_for_Locations 1 Oct 25'!$E$2:$E$3450,MATCH(C54,'Extract_for_Locations 1 Oct 25'!$B$2:$B$3450,0)),"")</f>
        <v/>
      </c>
      <c r="E54" s="2" t="n">
        <v>7868</v>
      </c>
      <c r="F54" s="2" t="inlineStr">
        <is>
          <t>Revenue - AUD Million</t>
        </is>
      </c>
      <c r="H54" s="2">
        <f>CONCATENATE("FY27REV_",'FY27 Revenue'!B54)</f>
        <v/>
      </c>
      <c r="I54" s="2">
        <f>CONCATENATE("FY27REV_",'FY27 Revenue'!B54)</f>
        <v/>
      </c>
      <c r="J54" s="2" t="inlineStr">
        <is>
          <t>Downer</t>
        </is>
      </c>
      <c r="K54" s="2" t="inlineStr">
        <is>
          <t>Revenue</t>
        </is>
      </c>
      <c r="L54" s="10" t="n">
        <v>46204</v>
      </c>
      <c r="M54" s="10" t="n">
        <v>46234</v>
      </c>
      <c r="N54" s="2" t="inlineStr">
        <is>
          <t>Actual</t>
        </is>
      </c>
      <c r="O54" s="2" t="inlineStr">
        <is>
          <t>Standard</t>
        </is>
      </c>
      <c r="Q54" s="2" t="inlineStr">
        <is>
          <t>Insert</t>
        </is>
      </c>
      <c r="R54" s="2">
        <f>'FY27 Revenue'!C54</f>
        <v/>
      </c>
      <c r="S54" s="2">
        <f>'FY27 Revenue'!C54</f>
        <v/>
      </c>
      <c r="T54" s="2">
        <f>'FY27 Revenue'!D54</f>
        <v/>
      </c>
    </row>
    <row r="55">
      <c r="A55" s="2" t="n">
        <v>37395</v>
      </c>
      <c r="B55" s="2" t="inlineStr">
        <is>
          <t>Downer</t>
        </is>
      </c>
      <c r="C55" s="2">
        <f>CONCATENATE("REV","_",'FY27 Revenue'!B55)</f>
        <v/>
      </c>
      <c r="D55" s="2">
        <f>IFERROR(INDEX('Extract_for_Locations 1 Oct 25'!$E$2:$E$3450,MATCH(C55,'Extract_for_Locations 1 Oct 25'!$B$2:$B$3450,0)),"")</f>
        <v/>
      </c>
      <c r="E55" s="2" t="n">
        <v>7868</v>
      </c>
      <c r="F55" s="2" t="inlineStr">
        <is>
          <t>Revenue - AUD Million</t>
        </is>
      </c>
      <c r="H55" s="2">
        <f>CONCATENATE("FY27REV_",'FY27 Revenue'!B55)</f>
        <v/>
      </c>
      <c r="I55" s="2">
        <f>CONCATENATE("FY27REV_",'FY27 Revenue'!B55)</f>
        <v/>
      </c>
      <c r="J55" s="2" t="inlineStr">
        <is>
          <t>Downer</t>
        </is>
      </c>
      <c r="K55" s="2" t="inlineStr">
        <is>
          <t>Revenue</t>
        </is>
      </c>
      <c r="L55" s="10" t="n">
        <v>46204</v>
      </c>
      <c r="M55" s="10" t="n">
        <v>46234</v>
      </c>
      <c r="N55" s="2" t="inlineStr">
        <is>
          <t>Actual</t>
        </is>
      </c>
      <c r="O55" s="2" t="inlineStr">
        <is>
          <t>Standard</t>
        </is>
      </c>
      <c r="Q55" s="2" t="inlineStr">
        <is>
          <t>Insert</t>
        </is>
      </c>
      <c r="R55" s="2">
        <f>'FY27 Revenue'!C55</f>
        <v/>
      </c>
      <c r="S55" s="2">
        <f>'FY27 Revenue'!C55</f>
        <v/>
      </c>
      <c r="T55" s="2">
        <f>'FY27 Revenue'!D55</f>
        <v/>
      </c>
    </row>
    <row r="56">
      <c r="A56" s="2" t="n">
        <v>37395</v>
      </c>
      <c r="B56" s="2" t="inlineStr">
        <is>
          <t>Downer</t>
        </is>
      </c>
      <c r="C56" s="2">
        <f>CONCATENATE("REV","_",'FY27 Revenue'!B56)</f>
        <v/>
      </c>
      <c r="D56" s="2">
        <f>IFERROR(INDEX('Extract_for_Locations 1 Oct 25'!$E$2:$E$3450,MATCH(C56,'Extract_for_Locations 1 Oct 25'!$B$2:$B$3450,0)),"")</f>
        <v/>
      </c>
      <c r="E56" s="2" t="n">
        <v>7868</v>
      </c>
      <c r="F56" s="2" t="inlineStr">
        <is>
          <t>Revenue - AUD Million</t>
        </is>
      </c>
      <c r="H56" s="2">
        <f>CONCATENATE("FY27REV_",'FY27 Revenue'!B56)</f>
        <v/>
      </c>
      <c r="I56" s="2">
        <f>CONCATENATE("FY27REV_",'FY27 Revenue'!B56)</f>
        <v/>
      </c>
      <c r="J56" s="2" t="inlineStr">
        <is>
          <t>Downer</t>
        </is>
      </c>
      <c r="K56" s="2" t="inlineStr">
        <is>
          <t>Revenue</t>
        </is>
      </c>
      <c r="L56" s="10" t="n">
        <v>46204</v>
      </c>
      <c r="M56" s="10" t="n">
        <v>46234</v>
      </c>
      <c r="N56" s="2" t="inlineStr">
        <is>
          <t>Actual</t>
        </is>
      </c>
      <c r="O56" s="2" t="inlineStr">
        <is>
          <t>Standard</t>
        </is>
      </c>
      <c r="Q56" s="2" t="inlineStr">
        <is>
          <t>Insert</t>
        </is>
      </c>
      <c r="R56" s="2">
        <f>'FY27 Revenue'!C56</f>
        <v/>
      </c>
      <c r="S56" s="2">
        <f>'FY27 Revenue'!C56</f>
        <v/>
      </c>
      <c r="T56" s="2">
        <f>'FY27 Revenue'!D56</f>
        <v/>
      </c>
    </row>
    <row r="57">
      <c r="A57" s="2" t="n">
        <v>37395</v>
      </c>
      <c r="B57" s="2" t="inlineStr">
        <is>
          <t>Downer</t>
        </is>
      </c>
      <c r="C57" s="2">
        <f>CONCATENATE("REV","_",'FY27 Revenue'!B57)</f>
        <v/>
      </c>
      <c r="D57" s="2">
        <f>IFERROR(INDEX('Extract_for_Locations 1 Oct 25'!$E$2:$E$3450,MATCH(C57,'Extract_for_Locations 1 Oct 25'!$B$2:$B$3450,0)),"")</f>
        <v/>
      </c>
      <c r="E57" s="2" t="n">
        <v>7868</v>
      </c>
      <c r="F57" s="2" t="inlineStr">
        <is>
          <t>Revenue - AUD Million</t>
        </is>
      </c>
      <c r="H57" s="2">
        <f>CONCATENATE("FY27REV_",'FY27 Revenue'!B57)</f>
        <v/>
      </c>
      <c r="I57" s="2">
        <f>CONCATENATE("FY27REV_",'FY27 Revenue'!B57)</f>
        <v/>
      </c>
      <c r="J57" s="2" t="inlineStr">
        <is>
          <t>Downer</t>
        </is>
      </c>
      <c r="K57" s="2" t="inlineStr">
        <is>
          <t>Revenue</t>
        </is>
      </c>
      <c r="L57" s="10" t="n">
        <v>46204</v>
      </c>
      <c r="M57" s="10" t="n">
        <v>46234</v>
      </c>
      <c r="N57" s="2" t="inlineStr">
        <is>
          <t>Actual</t>
        </is>
      </c>
      <c r="O57" s="2" t="inlineStr">
        <is>
          <t>Standard</t>
        </is>
      </c>
      <c r="Q57" s="2" t="inlineStr">
        <is>
          <t>Insert</t>
        </is>
      </c>
      <c r="R57" s="2">
        <f>'FY27 Revenue'!C57</f>
        <v/>
      </c>
      <c r="S57" s="2">
        <f>'FY27 Revenue'!C57</f>
        <v/>
      </c>
      <c r="T57" s="2">
        <f>'FY27 Revenue'!D57</f>
        <v/>
      </c>
    </row>
    <row r="58">
      <c r="A58" s="2" t="n">
        <v>37395</v>
      </c>
      <c r="B58" s="2" t="inlineStr">
        <is>
          <t>Downer</t>
        </is>
      </c>
      <c r="C58" s="2">
        <f>CONCATENATE("REV","_",'FY27 Revenue'!B58)</f>
        <v/>
      </c>
      <c r="D58" s="2">
        <f>IFERROR(INDEX('Extract_for_Locations 1 Oct 25'!$E$2:$E$3450,MATCH(C58,'Extract_for_Locations 1 Oct 25'!$B$2:$B$3450,0)),"")</f>
        <v/>
      </c>
      <c r="E58" s="2" t="n">
        <v>7868</v>
      </c>
      <c r="F58" s="2" t="inlineStr">
        <is>
          <t>Revenue - AUD Million</t>
        </is>
      </c>
      <c r="H58" s="2">
        <f>CONCATENATE("FY27REV_",'FY27 Revenue'!B58)</f>
        <v/>
      </c>
      <c r="I58" s="2">
        <f>CONCATENATE("FY27REV_",'FY27 Revenue'!B58)</f>
        <v/>
      </c>
      <c r="J58" s="2" t="inlineStr">
        <is>
          <t>Downer</t>
        </is>
      </c>
      <c r="K58" s="2" t="inlineStr">
        <is>
          <t>Revenue</t>
        </is>
      </c>
      <c r="L58" s="10" t="n">
        <v>46204</v>
      </c>
      <c r="M58" s="10" t="n">
        <v>46234</v>
      </c>
      <c r="N58" s="2" t="inlineStr">
        <is>
          <t>Actual</t>
        </is>
      </c>
      <c r="O58" s="2" t="inlineStr">
        <is>
          <t>Standard</t>
        </is>
      </c>
      <c r="Q58" s="2" t="inlineStr">
        <is>
          <t>Insert</t>
        </is>
      </c>
      <c r="R58" s="2">
        <f>'FY27 Revenue'!C58</f>
        <v/>
      </c>
      <c r="S58" s="2">
        <f>'FY27 Revenue'!C58</f>
        <v/>
      </c>
      <c r="T58" s="2">
        <f>'FY27 Revenue'!D58</f>
        <v/>
      </c>
    </row>
    <row r="59">
      <c r="A59" s="2" t="n">
        <v>37395</v>
      </c>
      <c r="B59" s="2" t="inlineStr">
        <is>
          <t>Downer</t>
        </is>
      </c>
      <c r="C59" s="2">
        <f>CONCATENATE("REV","_",'FY27 Revenue'!B59)</f>
        <v/>
      </c>
      <c r="D59" s="2">
        <f>IFERROR(INDEX('Extract_for_Locations 1 Oct 25'!$E$2:$E$3450,MATCH(C59,'Extract_for_Locations 1 Oct 25'!$B$2:$B$3450,0)),"")</f>
        <v/>
      </c>
      <c r="E59" s="2" t="n">
        <v>7868</v>
      </c>
      <c r="F59" s="2" t="inlineStr">
        <is>
          <t>Revenue - AUD Million</t>
        </is>
      </c>
      <c r="H59" s="2">
        <f>CONCATENATE("FY27REV_",'FY27 Revenue'!B59)</f>
        <v/>
      </c>
      <c r="I59" s="2">
        <f>CONCATENATE("FY27REV_",'FY27 Revenue'!B59)</f>
        <v/>
      </c>
      <c r="J59" s="2" t="inlineStr">
        <is>
          <t>Downer</t>
        </is>
      </c>
      <c r="K59" s="2" t="inlineStr">
        <is>
          <t>Revenue</t>
        </is>
      </c>
      <c r="L59" s="10" t="n">
        <v>46204</v>
      </c>
      <c r="M59" s="10" t="n">
        <v>46234</v>
      </c>
      <c r="N59" s="2" t="inlineStr">
        <is>
          <t>Actual</t>
        </is>
      </c>
      <c r="O59" s="2" t="inlineStr">
        <is>
          <t>Standard</t>
        </is>
      </c>
      <c r="Q59" s="2" t="inlineStr">
        <is>
          <t>Insert</t>
        </is>
      </c>
      <c r="R59" s="2">
        <f>'FY27 Revenue'!C59</f>
        <v/>
      </c>
      <c r="S59" s="2">
        <f>'FY27 Revenue'!C59</f>
        <v/>
      </c>
      <c r="T59" s="2">
        <f>'FY27 Revenue'!D59</f>
        <v/>
      </c>
    </row>
    <row r="60">
      <c r="A60" s="2" t="n">
        <v>37395</v>
      </c>
      <c r="B60" s="2" t="inlineStr">
        <is>
          <t>Downer</t>
        </is>
      </c>
      <c r="C60" s="2">
        <f>CONCATENATE("REV","_",'FY27 Revenue'!B60)</f>
        <v/>
      </c>
      <c r="D60" s="2">
        <f>IFERROR(INDEX('Extract_for_Locations 1 Oct 25'!$E$2:$E$3450,MATCH(C60,'Extract_for_Locations 1 Oct 25'!$B$2:$B$3450,0)),"")</f>
        <v/>
      </c>
      <c r="E60" s="2" t="n">
        <v>7868</v>
      </c>
      <c r="F60" s="2" t="inlineStr">
        <is>
          <t>Revenue - AUD Million</t>
        </is>
      </c>
      <c r="H60" s="2">
        <f>CONCATENATE("FY27REV_",'FY27 Revenue'!B60)</f>
        <v/>
      </c>
      <c r="I60" s="2">
        <f>CONCATENATE("FY27REV_",'FY27 Revenue'!B60)</f>
        <v/>
      </c>
      <c r="J60" s="2" t="inlineStr">
        <is>
          <t>Downer</t>
        </is>
      </c>
      <c r="K60" s="2" t="inlineStr">
        <is>
          <t>Revenue</t>
        </is>
      </c>
      <c r="L60" s="10" t="n">
        <v>46204</v>
      </c>
      <c r="M60" s="10" t="n">
        <v>46234</v>
      </c>
      <c r="N60" s="2" t="inlineStr">
        <is>
          <t>Actual</t>
        </is>
      </c>
      <c r="O60" s="2" t="inlineStr">
        <is>
          <t>Standard</t>
        </is>
      </c>
      <c r="Q60" s="2" t="inlineStr">
        <is>
          <t>Insert</t>
        </is>
      </c>
      <c r="R60" s="2">
        <f>'FY27 Revenue'!C60</f>
        <v/>
      </c>
      <c r="S60" s="2">
        <f>'FY27 Revenue'!C60</f>
        <v/>
      </c>
      <c r="T60" s="2">
        <f>'FY27 Revenue'!D60</f>
        <v/>
      </c>
    </row>
    <row r="61">
      <c r="A61" s="2" t="n">
        <v>37395</v>
      </c>
      <c r="B61" s="2" t="inlineStr">
        <is>
          <t>Downer</t>
        </is>
      </c>
      <c r="C61" s="2">
        <f>CONCATENATE("REV","_",'FY27 Revenue'!B61)</f>
        <v/>
      </c>
      <c r="D61" s="2">
        <f>IFERROR(INDEX('Extract_for_Locations 1 Oct 25'!$E$2:$E$3450,MATCH(C61,'Extract_for_Locations 1 Oct 25'!$B$2:$B$3450,0)),"")</f>
        <v/>
      </c>
      <c r="E61" s="2" t="n">
        <v>7868</v>
      </c>
      <c r="F61" s="2" t="inlineStr">
        <is>
          <t>Revenue - AUD Million</t>
        </is>
      </c>
      <c r="H61" s="2">
        <f>CONCATENATE("FY27REV_",'FY27 Revenue'!B61)</f>
        <v/>
      </c>
      <c r="I61" s="2">
        <f>CONCATENATE("FY27REV_",'FY27 Revenue'!B61)</f>
        <v/>
      </c>
      <c r="J61" s="2" t="inlineStr">
        <is>
          <t>Downer</t>
        </is>
      </c>
      <c r="K61" s="2" t="inlineStr">
        <is>
          <t>Revenue</t>
        </is>
      </c>
      <c r="L61" s="10" t="n">
        <v>46204</v>
      </c>
      <c r="M61" s="10" t="n">
        <v>46234</v>
      </c>
      <c r="N61" s="2" t="inlineStr">
        <is>
          <t>Actual</t>
        </is>
      </c>
      <c r="O61" s="2" t="inlineStr">
        <is>
          <t>Standard</t>
        </is>
      </c>
      <c r="Q61" s="2" t="inlineStr">
        <is>
          <t>Insert</t>
        </is>
      </c>
      <c r="R61" s="2">
        <f>'FY27 Revenue'!C61</f>
        <v/>
      </c>
      <c r="S61" s="2">
        <f>'FY27 Revenue'!C61</f>
        <v/>
      </c>
      <c r="T61" s="2">
        <f>'FY27 Revenue'!D61</f>
        <v/>
      </c>
    </row>
    <row r="62">
      <c r="A62" s="2" t="n">
        <v>37395</v>
      </c>
      <c r="B62" s="2" t="inlineStr">
        <is>
          <t>Downer</t>
        </is>
      </c>
      <c r="C62" s="2">
        <f>CONCATENATE("REV","_",'FY27 Revenue'!B62)</f>
        <v/>
      </c>
      <c r="D62" s="2">
        <f>IFERROR(INDEX('Extract_for_Locations 1 Oct 25'!$E$2:$E$3450,MATCH(C62,'Extract_for_Locations 1 Oct 25'!$B$2:$B$3450,0)),"")</f>
        <v/>
      </c>
      <c r="E62" s="2" t="n">
        <v>7868</v>
      </c>
      <c r="F62" s="2" t="inlineStr">
        <is>
          <t>Revenue - AUD Million</t>
        </is>
      </c>
      <c r="H62" s="2">
        <f>CONCATENATE("FY27REV_",'FY27 Revenue'!B62)</f>
        <v/>
      </c>
      <c r="I62" s="2">
        <f>CONCATENATE("FY27REV_",'FY27 Revenue'!B62)</f>
        <v/>
      </c>
      <c r="J62" s="2" t="inlineStr">
        <is>
          <t>Downer</t>
        </is>
      </c>
      <c r="K62" s="2" t="inlineStr">
        <is>
          <t>Revenue</t>
        </is>
      </c>
      <c r="L62" s="10" t="n">
        <v>46204</v>
      </c>
      <c r="M62" s="10" t="n">
        <v>46234</v>
      </c>
      <c r="N62" s="2" t="inlineStr">
        <is>
          <t>Actual</t>
        </is>
      </c>
      <c r="O62" s="2" t="inlineStr">
        <is>
          <t>Standard</t>
        </is>
      </c>
      <c r="Q62" s="2" t="inlineStr">
        <is>
          <t>Insert</t>
        </is>
      </c>
      <c r="R62" s="2">
        <f>'FY27 Revenue'!C62</f>
        <v/>
      </c>
      <c r="S62" s="2">
        <f>'FY27 Revenue'!C62</f>
        <v/>
      </c>
      <c r="T62" s="2">
        <f>'FY27 Revenue'!D62</f>
        <v/>
      </c>
    </row>
    <row r="63">
      <c r="A63" s="2" t="n">
        <v>37395</v>
      </c>
      <c r="B63" s="2" t="inlineStr">
        <is>
          <t>Downer</t>
        </is>
      </c>
      <c r="C63" s="2">
        <f>CONCATENATE("REV","_",'FY27 Revenue'!B63)</f>
        <v/>
      </c>
      <c r="D63" s="2">
        <f>IFERROR(INDEX('Extract_for_Locations 1 Oct 25'!$E$2:$E$3450,MATCH(C63,'Extract_for_Locations 1 Oct 25'!$B$2:$B$3450,0)),"")</f>
        <v/>
      </c>
      <c r="E63" s="2" t="n">
        <v>7868</v>
      </c>
      <c r="F63" s="2" t="inlineStr">
        <is>
          <t>Revenue - AUD Million</t>
        </is>
      </c>
      <c r="H63" s="2">
        <f>CONCATENATE("FY27REV_",'FY27 Revenue'!B63)</f>
        <v/>
      </c>
      <c r="I63" s="2">
        <f>CONCATENATE("FY27REV_",'FY27 Revenue'!B63)</f>
        <v/>
      </c>
      <c r="J63" s="2" t="inlineStr">
        <is>
          <t>Downer</t>
        </is>
      </c>
      <c r="K63" s="2" t="inlineStr">
        <is>
          <t>Revenue</t>
        </is>
      </c>
      <c r="L63" s="10" t="n">
        <v>46204</v>
      </c>
      <c r="M63" s="10" t="n">
        <v>46234</v>
      </c>
      <c r="N63" s="2" t="inlineStr">
        <is>
          <t>Actual</t>
        </is>
      </c>
      <c r="O63" s="2" t="inlineStr">
        <is>
          <t>Standard</t>
        </is>
      </c>
      <c r="Q63" s="2" t="inlineStr">
        <is>
          <t>Insert</t>
        </is>
      </c>
      <c r="R63" s="2">
        <f>'FY27 Revenue'!C63</f>
        <v/>
      </c>
      <c r="S63" s="2">
        <f>'FY27 Revenue'!C63</f>
        <v/>
      </c>
      <c r="T63" s="2">
        <f>'FY27 Revenue'!D63</f>
        <v/>
      </c>
    </row>
    <row r="64">
      <c r="A64" s="2" t="n">
        <v>37395</v>
      </c>
      <c r="B64" s="2" t="inlineStr">
        <is>
          <t>Downer</t>
        </is>
      </c>
      <c r="C64" s="2">
        <f>CONCATENATE("REV","_",'FY27 Revenue'!B64)</f>
        <v/>
      </c>
      <c r="D64" s="2">
        <f>IFERROR(INDEX('Extract_for_Locations 1 Oct 25'!$E$2:$E$3450,MATCH(C64,'Extract_for_Locations 1 Oct 25'!$B$2:$B$3450,0)),"")</f>
        <v/>
      </c>
      <c r="E64" s="2" t="n">
        <v>7868</v>
      </c>
      <c r="F64" s="2" t="inlineStr">
        <is>
          <t>Revenue - AUD Million</t>
        </is>
      </c>
      <c r="H64" s="2">
        <f>CONCATENATE("FY27REV_",'FY27 Revenue'!B64)</f>
        <v/>
      </c>
      <c r="I64" s="2">
        <f>CONCATENATE("FY27REV_",'FY27 Revenue'!B64)</f>
        <v/>
      </c>
      <c r="J64" s="2" t="inlineStr">
        <is>
          <t>Downer</t>
        </is>
      </c>
      <c r="K64" s="2" t="inlineStr">
        <is>
          <t>Revenue</t>
        </is>
      </c>
      <c r="L64" s="10" t="n">
        <v>46204</v>
      </c>
      <c r="M64" s="10" t="n">
        <v>46234</v>
      </c>
      <c r="N64" s="2" t="inlineStr">
        <is>
          <t>Actual</t>
        </is>
      </c>
      <c r="O64" s="2" t="inlineStr">
        <is>
          <t>Standard</t>
        </is>
      </c>
      <c r="Q64" s="2" t="inlineStr">
        <is>
          <t>Insert</t>
        </is>
      </c>
      <c r="R64" s="2">
        <f>'FY27 Revenue'!C64</f>
        <v/>
      </c>
      <c r="S64" s="2">
        <f>'FY27 Revenue'!C64</f>
        <v/>
      </c>
      <c r="T64" s="2">
        <f>'FY27 Revenue'!D64</f>
        <v/>
      </c>
    </row>
    <row r="65">
      <c r="A65" s="2" t="n">
        <v>37395</v>
      </c>
      <c r="B65" s="2" t="inlineStr">
        <is>
          <t>Downer</t>
        </is>
      </c>
      <c r="C65" s="2">
        <f>CONCATENATE("REV","_",'FY27 Revenue'!B65)</f>
        <v/>
      </c>
      <c r="D65" s="2">
        <f>IFERROR(INDEX('Extract_for_Locations 1 Oct 25'!$E$2:$E$3450,MATCH(C65,'Extract_for_Locations 1 Oct 25'!$B$2:$B$3450,0)),"")</f>
        <v/>
      </c>
      <c r="E65" s="2" t="n">
        <v>7868</v>
      </c>
      <c r="F65" s="2" t="inlineStr">
        <is>
          <t>Revenue - AUD Million</t>
        </is>
      </c>
      <c r="H65" s="2">
        <f>CONCATENATE("FY27REV_",'FY27 Revenue'!B65)</f>
        <v/>
      </c>
      <c r="I65" s="2">
        <f>CONCATENATE("FY27REV_",'FY27 Revenue'!B65)</f>
        <v/>
      </c>
      <c r="J65" s="2" t="inlineStr">
        <is>
          <t>Downer</t>
        </is>
      </c>
      <c r="K65" s="2" t="inlineStr">
        <is>
          <t>Revenue</t>
        </is>
      </c>
      <c r="L65" s="10" t="n">
        <v>46204</v>
      </c>
      <c r="M65" s="10" t="n">
        <v>46234</v>
      </c>
      <c r="N65" s="2" t="inlineStr">
        <is>
          <t>Actual</t>
        </is>
      </c>
      <c r="O65" s="2" t="inlineStr">
        <is>
          <t>Standard</t>
        </is>
      </c>
      <c r="Q65" s="2" t="inlineStr">
        <is>
          <t>Insert</t>
        </is>
      </c>
      <c r="R65" s="2">
        <f>'FY27 Revenue'!C65</f>
        <v/>
      </c>
      <c r="S65" s="2">
        <f>'FY27 Revenue'!C65</f>
        <v/>
      </c>
      <c r="T65" s="2">
        <f>'FY27 Revenue'!D65</f>
        <v/>
      </c>
    </row>
    <row r="66">
      <c r="A66" s="2" t="n">
        <v>37395</v>
      </c>
      <c r="B66" s="2" t="inlineStr">
        <is>
          <t>Downer</t>
        </is>
      </c>
      <c r="C66" s="2">
        <f>CONCATENATE("REV","_",'FY27 Revenue'!B66)</f>
        <v/>
      </c>
      <c r="D66" s="2">
        <f>IFERROR(INDEX('Extract_for_Locations 1 Oct 25'!$E$2:$E$3450,MATCH(C66,'Extract_for_Locations 1 Oct 25'!$B$2:$B$3450,0)),"")</f>
        <v/>
      </c>
      <c r="E66" s="2" t="n">
        <v>7868</v>
      </c>
      <c r="F66" s="2" t="inlineStr">
        <is>
          <t>Revenue - AUD Million</t>
        </is>
      </c>
      <c r="H66" s="2">
        <f>CONCATENATE("FY27REV_",'FY27 Revenue'!B66)</f>
        <v/>
      </c>
      <c r="I66" s="2">
        <f>CONCATENATE("FY27REV_",'FY27 Revenue'!B66)</f>
        <v/>
      </c>
      <c r="J66" s="2" t="inlineStr">
        <is>
          <t>Downer</t>
        </is>
      </c>
      <c r="K66" s="2" t="inlineStr">
        <is>
          <t>Revenue</t>
        </is>
      </c>
      <c r="L66" s="10" t="n">
        <v>46204</v>
      </c>
      <c r="M66" s="10" t="n">
        <v>46234</v>
      </c>
      <c r="N66" s="2" t="inlineStr">
        <is>
          <t>Actual</t>
        </is>
      </c>
      <c r="O66" s="2" t="inlineStr">
        <is>
          <t>Standard</t>
        </is>
      </c>
      <c r="Q66" s="2" t="inlineStr">
        <is>
          <t>Insert</t>
        </is>
      </c>
      <c r="R66" s="2">
        <f>'FY27 Revenue'!C66</f>
        <v/>
      </c>
      <c r="S66" s="2">
        <f>'FY27 Revenue'!C66</f>
        <v/>
      </c>
      <c r="T66" s="2">
        <f>'FY27 Revenue'!D66</f>
        <v/>
      </c>
    </row>
    <row r="67">
      <c r="A67" s="2" t="n">
        <v>37395</v>
      </c>
      <c r="B67" s="2" t="inlineStr">
        <is>
          <t>Downer</t>
        </is>
      </c>
      <c r="C67" s="2">
        <f>CONCATENATE("REV","_",'FY27 Revenue'!B67)</f>
        <v/>
      </c>
      <c r="D67" s="2">
        <f>IFERROR(INDEX('Extract_for_Locations 1 Oct 25'!$E$2:$E$3450,MATCH(C67,'Extract_for_Locations 1 Oct 25'!$B$2:$B$3450,0)),"")</f>
        <v/>
      </c>
      <c r="E67" s="2" t="n">
        <v>7868</v>
      </c>
      <c r="F67" s="2" t="inlineStr">
        <is>
          <t>Revenue - AUD Million</t>
        </is>
      </c>
      <c r="H67" s="2">
        <f>CONCATENATE("FY27REV_",'FY27 Revenue'!B67)</f>
        <v/>
      </c>
      <c r="I67" s="2">
        <f>CONCATENATE("FY27REV_",'FY27 Revenue'!B67)</f>
        <v/>
      </c>
      <c r="J67" s="2" t="inlineStr">
        <is>
          <t>Downer</t>
        </is>
      </c>
      <c r="K67" s="2" t="inlineStr">
        <is>
          <t>Revenue</t>
        </is>
      </c>
      <c r="L67" s="10" t="n">
        <v>46204</v>
      </c>
      <c r="M67" s="10" t="n">
        <v>46234</v>
      </c>
      <c r="N67" s="2" t="inlineStr">
        <is>
          <t>Actual</t>
        </is>
      </c>
      <c r="O67" s="2" t="inlineStr">
        <is>
          <t>Standard</t>
        </is>
      </c>
      <c r="Q67" s="2" t="inlineStr">
        <is>
          <t>Insert</t>
        </is>
      </c>
      <c r="R67" s="2">
        <f>'FY27 Revenue'!C67</f>
        <v/>
      </c>
      <c r="S67" s="2">
        <f>'FY27 Revenue'!C67</f>
        <v/>
      </c>
      <c r="T67" s="2">
        <f>'FY27 Revenue'!D67</f>
        <v/>
      </c>
    </row>
    <row r="68">
      <c r="A68" s="2" t="n">
        <v>37395</v>
      </c>
      <c r="B68" s="2" t="inlineStr">
        <is>
          <t>Downer</t>
        </is>
      </c>
      <c r="C68" s="2">
        <f>CONCATENATE("REV","_",'FY27 Revenue'!B68)</f>
        <v/>
      </c>
      <c r="D68" s="2">
        <f>IFERROR(INDEX('Extract_for_Locations 1 Oct 25'!$E$2:$E$3450,MATCH(C68,'Extract_for_Locations 1 Oct 25'!$B$2:$B$3450,0)),"")</f>
        <v/>
      </c>
      <c r="E68" s="2" t="n">
        <v>7868</v>
      </c>
      <c r="F68" s="2" t="inlineStr">
        <is>
          <t>Revenue - AUD Million</t>
        </is>
      </c>
      <c r="H68" s="2">
        <f>CONCATENATE("FY27REV_",'FY27 Revenue'!B68)</f>
        <v/>
      </c>
      <c r="I68" s="2">
        <f>CONCATENATE("FY27REV_",'FY27 Revenue'!B68)</f>
        <v/>
      </c>
      <c r="J68" s="2" t="inlineStr">
        <is>
          <t>Downer</t>
        </is>
      </c>
      <c r="K68" s="2" t="inlineStr">
        <is>
          <t>Revenue</t>
        </is>
      </c>
      <c r="L68" s="10" t="n">
        <v>46204</v>
      </c>
      <c r="M68" s="10" t="n">
        <v>46234</v>
      </c>
      <c r="N68" s="2" t="inlineStr">
        <is>
          <t>Actual</t>
        </is>
      </c>
      <c r="O68" s="2" t="inlineStr">
        <is>
          <t>Standard</t>
        </is>
      </c>
      <c r="Q68" s="2" t="inlineStr">
        <is>
          <t>Insert</t>
        </is>
      </c>
      <c r="R68" s="2">
        <f>'FY27 Revenue'!C68</f>
        <v/>
      </c>
      <c r="S68" s="2">
        <f>'FY27 Revenue'!C68</f>
        <v/>
      </c>
      <c r="T68" s="2">
        <f>'FY27 Revenue'!D68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
  <sheetViews>
    <sheetView tabSelected="0" workbookViewId="0">
      <selection activeCell="A1" sqref="A1"/>
    </sheetView>
  </sheetViews>
  <sheetFormatPr baseColWidth="8" defaultRowHeight="15"/>
  <cols>
    <col width="32" customWidth="1" min="3" max="3"/>
    <col width="26" customWidth="1" min="8" max="8"/>
    <col width="26" customWidth="1" min="9" max="9"/>
  </cols>
  <sheetData>
    <row r="1">
      <c r="A1" s="1" t="inlineStr">
        <is>
          <t>Organization Link</t>
        </is>
      </c>
      <c r="B1" s="1" t="inlineStr">
        <is>
          <t>Organization</t>
        </is>
      </c>
      <c r="C1" s="1" t="inlineStr">
        <is>
          <t>Location</t>
        </is>
      </c>
      <c r="D1" s="1" t="inlineStr">
        <is>
          <t>Location Ref</t>
        </is>
      </c>
      <c r="E1" s="1" t="inlineStr">
        <is>
          <t>Account Style Link</t>
        </is>
      </c>
      <c r="F1" s="1" t="inlineStr">
        <is>
          <t>Account Style Caption</t>
        </is>
      </c>
      <c r="G1" s="1" t="inlineStr">
        <is>
          <t>Account Subtype</t>
        </is>
      </c>
      <c r="H1" s="1" t="inlineStr">
        <is>
          <t>Account Number</t>
        </is>
      </c>
      <c r="I1" s="1" t="inlineStr">
        <is>
          <t>Account Reference</t>
        </is>
      </c>
      <c r="J1" s="1" t="inlineStr">
        <is>
          <t>Account Supplier</t>
        </is>
      </c>
      <c r="K1" s="1" t="inlineStr">
        <is>
          <t>Account Reader</t>
        </is>
      </c>
      <c r="L1" s="1" t="inlineStr">
        <is>
          <t>Record Start YYYY-MM-DD</t>
        </is>
      </c>
      <c r="M1" s="1" t="inlineStr">
        <is>
          <t>Record End YYYY-MM-DD</t>
        </is>
      </c>
      <c r="N1" s="1" t="inlineStr">
        <is>
          <t>Record Data Quality</t>
        </is>
      </c>
      <c r="O1" s="1" t="inlineStr">
        <is>
          <t>Record Billing Type</t>
        </is>
      </c>
      <c r="P1" s="1" t="inlineStr">
        <is>
          <t>Record Subtype</t>
        </is>
      </c>
      <c r="Q1" s="1" t="inlineStr">
        <is>
          <t>Record Entry Method</t>
        </is>
      </c>
      <c r="R1" s="1" t="inlineStr">
        <is>
          <t>Record Reference</t>
        </is>
      </c>
      <c r="S1" s="1" t="inlineStr">
        <is>
          <t>Record Invoice Number</t>
        </is>
      </c>
      <c r="T1" s="1" t="inlineStr">
        <is>
          <t>Quantity</t>
        </is>
      </c>
    </row>
    <row r="2">
      <c r="A2" s="2" t="n">
        <v>37395</v>
      </c>
      <c r="B2" s="2" t="inlineStr">
        <is>
          <t>Downer</t>
        </is>
      </c>
      <c r="C2" s="2">
        <f>'FY27 Revenue'!E2</f>
        <v/>
      </c>
      <c r="D2" s="2">
        <f>IFERROR(INDEX('Extract_for_Locations 1 Oct 25'!$E$2:$E$3450,MATCH(C2,'Extract_for_Locations 1 Oct 25'!$B$2:$B$3450,0)),"")</f>
        <v/>
      </c>
      <c r="E2" s="2" t="n">
        <v>7868</v>
      </c>
      <c r="F2" s="2" t="inlineStr">
        <is>
          <t>Revenue - AUD Million</t>
        </is>
      </c>
      <c r="H2" s="2">
        <f>CONCATENATE("FY27REV_",'FY27 Revenue'!B2)</f>
        <v/>
      </c>
      <c r="I2" s="2">
        <f>CONCATENATE("FY27REV_",'FY27 Revenue'!B2)</f>
        <v/>
      </c>
      <c r="J2" s="2" t="inlineStr">
        <is>
          <t>Downer</t>
        </is>
      </c>
      <c r="K2" s="2" t="inlineStr">
        <is>
          <t>Revenue</t>
        </is>
      </c>
      <c r="L2" s="2" t="inlineStr">
        <is>
          <t>2026-07-01</t>
        </is>
      </c>
      <c r="M2" s="2" t="inlineStr">
        <is>
          <t>2026-07-31</t>
        </is>
      </c>
      <c r="N2" s="2" t="inlineStr">
        <is>
          <t>Actual</t>
        </is>
      </c>
      <c r="O2" s="2" t="inlineStr">
        <is>
          <t>Standard</t>
        </is>
      </c>
      <c r="Q2" s="2" t="inlineStr">
        <is>
          <t>Insert</t>
        </is>
      </c>
      <c r="R2" s="2">
        <f>'FY27 Revenue'!C2</f>
        <v/>
      </c>
      <c r="S2" s="2">
        <f>'FY27 Revenue'!C2</f>
        <v/>
      </c>
      <c r="T2" s="2">
        <f>'FY27 Revenue'!D2</f>
        <v/>
      </c>
    </row>
    <row r="3">
      <c r="A3" s="2" t="n">
        <v>37395</v>
      </c>
      <c r="B3" s="2" t="inlineStr">
        <is>
          <t>Downer</t>
        </is>
      </c>
      <c r="C3" s="2">
        <f>'FY27 Revenue'!E3</f>
        <v/>
      </c>
      <c r="D3" s="2">
        <f>IFERROR(INDEX('Extract_for_Locations 1 Oct 25'!$E$2:$E$3450,MATCH(C3,'Extract_for_Locations 1 Oct 25'!$B$2:$B$3450,0)),"")</f>
        <v/>
      </c>
      <c r="E3" s="2" t="n">
        <v>7868</v>
      </c>
      <c r="F3" s="2" t="inlineStr">
        <is>
          <t>Revenue - AUD Million</t>
        </is>
      </c>
      <c r="H3" s="2">
        <f>CONCATENATE("FY27REV_",'FY27 Revenue'!B3)</f>
        <v/>
      </c>
      <c r="I3" s="2">
        <f>CONCATENATE("FY27REV_",'FY27 Revenue'!B3)</f>
        <v/>
      </c>
      <c r="J3" s="2" t="inlineStr">
        <is>
          <t>Downer</t>
        </is>
      </c>
      <c r="K3" s="2" t="inlineStr">
        <is>
          <t>Revenue</t>
        </is>
      </c>
      <c r="L3" s="2" t="inlineStr">
        <is>
          <t>2026-07-01</t>
        </is>
      </c>
      <c r="M3" s="2" t="inlineStr">
        <is>
          <t>2026-07-31</t>
        </is>
      </c>
      <c r="N3" s="2" t="inlineStr">
        <is>
          <t>Actual</t>
        </is>
      </c>
      <c r="O3" s="2" t="inlineStr">
        <is>
          <t>Standard</t>
        </is>
      </c>
      <c r="Q3" s="2" t="inlineStr">
        <is>
          <t>Insert</t>
        </is>
      </c>
      <c r="R3" s="2">
        <f>'FY27 Revenue'!C3</f>
        <v/>
      </c>
      <c r="S3" s="2">
        <f>'FY27 Revenue'!C3</f>
        <v/>
      </c>
      <c r="T3" s="2">
        <f>'FY27 Revenue'!D3</f>
        <v/>
      </c>
    </row>
    <row r="4">
      <c r="A4" s="2" t="n">
        <v>37395</v>
      </c>
      <c r="B4" s="2" t="inlineStr">
        <is>
          <t>Downer</t>
        </is>
      </c>
      <c r="C4" s="2">
        <f>'FY27 Revenue'!E4</f>
        <v/>
      </c>
      <c r="D4" s="2">
        <f>IFERROR(INDEX('Extract_for_Locations 1 Oct 25'!$E$2:$E$3450,MATCH(C4,'Extract_for_Locations 1 Oct 25'!$B$2:$B$3450,0)),"")</f>
        <v/>
      </c>
      <c r="E4" s="2" t="n">
        <v>7868</v>
      </c>
      <c r="F4" s="2" t="inlineStr">
        <is>
          <t>Revenue - AUD Million</t>
        </is>
      </c>
      <c r="H4" s="2">
        <f>CONCATENATE("FY27REV_",'FY27 Revenue'!B4)</f>
        <v/>
      </c>
      <c r="I4" s="2">
        <f>CONCATENATE("FY27REV_",'FY27 Revenue'!B4)</f>
        <v/>
      </c>
      <c r="J4" s="2" t="inlineStr">
        <is>
          <t>Downer</t>
        </is>
      </c>
      <c r="K4" s="2" t="inlineStr">
        <is>
          <t>Revenue</t>
        </is>
      </c>
      <c r="L4" s="2" t="inlineStr">
        <is>
          <t>2026-07-01</t>
        </is>
      </c>
      <c r="M4" s="2" t="inlineStr">
        <is>
          <t>2026-07-31</t>
        </is>
      </c>
      <c r="N4" s="2" t="inlineStr">
        <is>
          <t>Actual</t>
        </is>
      </c>
      <c r="O4" s="2" t="inlineStr">
        <is>
          <t>Standard</t>
        </is>
      </c>
      <c r="Q4" s="2" t="inlineStr">
        <is>
          <t>Insert</t>
        </is>
      </c>
      <c r="R4" s="2">
        <f>'FY27 Revenue'!C4</f>
        <v/>
      </c>
      <c r="S4" s="2">
        <f>'FY27 Revenue'!C4</f>
        <v/>
      </c>
      <c r="T4" s="2">
        <f>'FY27 Revenue'!D4</f>
        <v/>
      </c>
    </row>
    <row r="5">
      <c r="A5" s="2" t="n">
        <v>37395</v>
      </c>
      <c r="B5" s="2" t="inlineStr">
        <is>
          <t>Downer</t>
        </is>
      </c>
      <c r="C5" s="2">
        <f>'FY27 Revenue'!E5</f>
        <v/>
      </c>
      <c r="D5" s="2">
        <f>IFERROR(INDEX('Extract_for_Locations 1 Oct 25'!$E$2:$E$3450,MATCH(C5,'Extract_for_Locations 1 Oct 25'!$B$2:$B$3450,0)),"")</f>
        <v/>
      </c>
      <c r="E5" s="2" t="n">
        <v>7868</v>
      </c>
      <c r="F5" s="2" t="inlineStr">
        <is>
          <t>Revenue - AUD Million</t>
        </is>
      </c>
      <c r="H5" s="2">
        <f>CONCATENATE("FY27REV_",'FY27 Revenue'!B5)</f>
        <v/>
      </c>
      <c r="I5" s="2">
        <f>CONCATENATE("FY27REV_",'FY27 Revenue'!B5)</f>
        <v/>
      </c>
      <c r="J5" s="2" t="inlineStr">
        <is>
          <t>Downer</t>
        </is>
      </c>
      <c r="K5" s="2" t="inlineStr">
        <is>
          <t>Revenue</t>
        </is>
      </c>
      <c r="L5" s="2" t="inlineStr">
        <is>
          <t>2026-07-01</t>
        </is>
      </c>
      <c r="M5" s="2" t="inlineStr">
        <is>
          <t>2026-07-31</t>
        </is>
      </c>
      <c r="N5" s="2" t="inlineStr">
        <is>
          <t>Actual</t>
        </is>
      </c>
      <c r="O5" s="2" t="inlineStr">
        <is>
          <t>Standard</t>
        </is>
      </c>
      <c r="Q5" s="2" t="inlineStr">
        <is>
          <t>Insert</t>
        </is>
      </c>
      <c r="R5" s="2">
        <f>'FY27 Revenue'!C5</f>
        <v/>
      </c>
      <c r="S5" s="2">
        <f>'FY27 Revenue'!C5</f>
        <v/>
      </c>
      <c r="T5" s="2">
        <f>'FY27 Revenue'!D5</f>
        <v/>
      </c>
    </row>
    <row r="6">
      <c r="A6" s="2" t="n">
        <v>37395</v>
      </c>
      <c r="B6" s="2" t="inlineStr">
        <is>
          <t>Downer</t>
        </is>
      </c>
      <c r="C6" s="2">
        <f>'FY27 Revenue'!E6</f>
        <v/>
      </c>
      <c r="D6" s="2">
        <f>IFERROR(INDEX('Extract_for_Locations 1 Oct 25'!$E$2:$E$3450,MATCH(C6,'Extract_for_Locations 1 Oct 25'!$B$2:$B$3450,0)),"")</f>
        <v/>
      </c>
      <c r="E6" s="2" t="n">
        <v>7868</v>
      </c>
      <c r="F6" s="2" t="inlineStr">
        <is>
          <t>Revenue - AUD Million</t>
        </is>
      </c>
      <c r="H6" s="2">
        <f>CONCATENATE("FY27REV_",'FY27 Revenue'!B6)</f>
        <v/>
      </c>
      <c r="I6" s="2">
        <f>CONCATENATE("FY27REV_",'FY27 Revenue'!B6)</f>
        <v/>
      </c>
      <c r="J6" s="2" t="inlineStr">
        <is>
          <t>Downer</t>
        </is>
      </c>
      <c r="K6" s="2" t="inlineStr">
        <is>
          <t>Revenue</t>
        </is>
      </c>
      <c r="L6" s="2" t="inlineStr">
        <is>
          <t>2026-07-01</t>
        </is>
      </c>
      <c r="M6" s="2" t="inlineStr">
        <is>
          <t>2026-07-31</t>
        </is>
      </c>
      <c r="N6" s="2" t="inlineStr">
        <is>
          <t>Actual</t>
        </is>
      </c>
      <c r="O6" s="2" t="inlineStr">
        <is>
          <t>Standard</t>
        </is>
      </c>
      <c r="Q6" s="2" t="inlineStr">
        <is>
          <t>Insert</t>
        </is>
      </c>
      <c r="R6" s="2">
        <f>'FY27 Revenue'!C6</f>
        <v/>
      </c>
      <c r="S6" s="2">
        <f>'FY27 Revenue'!C6</f>
        <v/>
      </c>
      <c r="T6" s="2">
        <f>'FY27 Revenue'!D6</f>
        <v/>
      </c>
    </row>
    <row r="7">
      <c r="A7" s="2" t="n">
        <v>37395</v>
      </c>
      <c r="B7" s="2" t="inlineStr">
        <is>
          <t>Downer</t>
        </is>
      </c>
      <c r="C7" s="2">
        <f>'FY27 Revenue'!E7</f>
        <v/>
      </c>
      <c r="D7" s="2">
        <f>IFERROR(INDEX('Extract_for_Locations 1 Oct 25'!$E$2:$E$3450,MATCH(C7,'Extract_for_Locations 1 Oct 25'!$B$2:$B$3450,0)),"")</f>
        <v/>
      </c>
      <c r="E7" s="2" t="n">
        <v>7868</v>
      </c>
      <c r="F7" s="2" t="inlineStr">
        <is>
          <t>Revenue - AUD Million</t>
        </is>
      </c>
      <c r="H7" s="2">
        <f>CONCATENATE("FY27REV_",'FY27 Revenue'!B7)</f>
        <v/>
      </c>
      <c r="I7" s="2">
        <f>CONCATENATE("FY27REV_",'FY27 Revenue'!B7)</f>
        <v/>
      </c>
      <c r="J7" s="2" t="inlineStr">
        <is>
          <t>Downer</t>
        </is>
      </c>
      <c r="K7" s="2" t="inlineStr">
        <is>
          <t>Revenue</t>
        </is>
      </c>
      <c r="L7" s="2" t="inlineStr">
        <is>
          <t>2026-07-01</t>
        </is>
      </c>
      <c r="M7" s="2" t="inlineStr">
        <is>
          <t>2026-07-31</t>
        </is>
      </c>
      <c r="N7" s="2" t="inlineStr">
        <is>
          <t>Actual</t>
        </is>
      </c>
      <c r="O7" s="2" t="inlineStr">
        <is>
          <t>Standard</t>
        </is>
      </c>
      <c r="Q7" s="2" t="inlineStr">
        <is>
          <t>Insert</t>
        </is>
      </c>
      <c r="R7" s="2">
        <f>'FY27 Revenue'!C7</f>
        <v/>
      </c>
      <c r="S7" s="2">
        <f>'FY27 Revenue'!C7</f>
        <v/>
      </c>
      <c r="T7" s="2">
        <f>'FY27 Revenue'!D7</f>
        <v/>
      </c>
    </row>
    <row r="8">
      <c r="A8" s="2" t="n">
        <v>37395</v>
      </c>
      <c r="B8" s="2" t="inlineStr">
        <is>
          <t>Downer</t>
        </is>
      </c>
      <c r="C8" s="2">
        <f>'FY27 Revenue'!E8</f>
        <v/>
      </c>
      <c r="D8" s="2">
        <f>IFERROR(INDEX('Extract_for_Locations 1 Oct 25'!$E$2:$E$3450,MATCH(C8,'Extract_for_Locations 1 Oct 25'!$B$2:$B$3450,0)),"")</f>
        <v/>
      </c>
      <c r="E8" s="2" t="n">
        <v>7868</v>
      </c>
      <c r="F8" s="2" t="inlineStr">
        <is>
          <t>Revenue - AUD Million</t>
        </is>
      </c>
      <c r="H8" s="2">
        <f>CONCATENATE("FY27REV_",'FY27 Revenue'!B8)</f>
        <v/>
      </c>
      <c r="I8" s="2">
        <f>CONCATENATE("FY27REV_",'FY27 Revenue'!B8)</f>
        <v/>
      </c>
      <c r="J8" s="2" t="inlineStr">
        <is>
          <t>Downer</t>
        </is>
      </c>
      <c r="K8" s="2" t="inlineStr">
        <is>
          <t>Revenue</t>
        </is>
      </c>
      <c r="L8" s="2" t="inlineStr">
        <is>
          <t>2026-07-01</t>
        </is>
      </c>
      <c r="M8" s="2" t="inlineStr">
        <is>
          <t>2026-07-31</t>
        </is>
      </c>
      <c r="N8" s="2" t="inlineStr">
        <is>
          <t>Actual</t>
        </is>
      </c>
      <c r="O8" s="2" t="inlineStr">
        <is>
          <t>Standard</t>
        </is>
      </c>
      <c r="Q8" s="2" t="inlineStr">
        <is>
          <t>Insert</t>
        </is>
      </c>
      <c r="R8" s="2">
        <f>'FY27 Revenue'!C8</f>
        <v/>
      </c>
      <c r="S8" s="2">
        <f>'FY27 Revenue'!C8</f>
        <v/>
      </c>
      <c r="T8" s="2">
        <f>'FY27 Revenue'!D8</f>
        <v/>
      </c>
    </row>
    <row r="9">
      <c r="A9" s="2" t="n">
        <v>37395</v>
      </c>
      <c r="B9" s="2" t="inlineStr">
        <is>
          <t>Downer</t>
        </is>
      </c>
      <c r="C9" s="2">
        <f>'FY27 Revenue'!E9</f>
        <v/>
      </c>
      <c r="D9" s="2">
        <f>IFERROR(INDEX('Extract_for_Locations 1 Oct 25'!$E$2:$E$3450,MATCH(C9,'Extract_for_Locations 1 Oct 25'!$B$2:$B$3450,0)),"")</f>
        <v/>
      </c>
      <c r="E9" s="2" t="n">
        <v>7868</v>
      </c>
      <c r="F9" s="2" t="inlineStr">
        <is>
          <t>Revenue - AUD Million</t>
        </is>
      </c>
      <c r="H9" s="2">
        <f>CONCATENATE("FY27REV_",'FY27 Revenue'!B9)</f>
        <v/>
      </c>
      <c r="I9" s="2">
        <f>CONCATENATE("FY27REV_",'FY27 Revenue'!B9)</f>
        <v/>
      </c>
      <c r="J9" s="2" t="inlineStr">
        <is>
          <t>Downer</t>
        </is>
      </c>
      <c r="K9" s="2" t="inlineStr">
        <is>
          <t>Revenue</t>
        </is>
      </c>
      <c r="L9" s="2" t="inlineStr">
        <is>
          <t>2026-07-01</t>
        </is>
      </c>
      <c r="M9" s="2" t="inlineStr">
        <is>
          <t>2026-07-31</t>
        </is>
      </c>
      <c r="N9" s="2" t="inlineStr">
        <is>
          <t>Actual</t>
        </is>
      </c>
      <c r="O9" s="2" t="inlineStr">
        <is>
          <t>Standard</t>
        </is>
      </c>
      <c r="Q9" s="2" t="inlineStr">
        <is>
          <t>Insert</t>
        </is>
      </c>
      <c r="R9" s="2">
        <f>'FY27 Revenue'!C9</f>
        <v/>
      </c>
      <c r="S9" s="2">
        <f>'FY27 Revenue'!C9</f>
        <v/>
      </c>
      <c r="T9" s="2">
        <f>'FY27 Revenue'!D9</f>
        <v/>
      </c>
    </row>
    <row r="10">
      <c r="A10" s="2" t="n">
        <v>37395</v>
      </c>
      <c r="B10" s="2" t="inlineStr">
        <is>
          <t>Downer</t>
        </is>
      </c>
      <c r="C10" s="2">
        <f>'FY27 Revenue'!E10</f>
        <v/>
      </c>
      <c r="D10" s="2">
        <f>IFERROR(INDEX('Extract_for_Locations 1 Oct 25'!$E$2:$E$3450,MATCH(C10,'Extract_for_Locations 1 Oct 25'!$B$2:$B$3450,0)),"")</f>
        <v/>
      </c>
      <c r="E10" s="2" t="n">
        <v>7868</v>
      </c>
      <c r="F10" s="2" t="inlineStr">
        <is>
          <t>Revenue - AUD Million</t>
        </is>
      </c>
      <c r="H10" s="2">
        <f>CONCATENATE("FY27REV_",'FY27 Revenue'!B10)</f>
        <v/>
      </c>
      <c r="I10" s="2">
        <f>CONCATENATE("FY27REV_",'FY27 Revenue'!B10)</f>
        <v/>
      </c>
      <c r="J10" s="2" t="inlineStr">
        <is>
          <t>Downer</t>
        </is>
      </c>
      <c r="K10" s="2" t="inlineStr">
        <is>
          <t>Revenue</t>
        </is>
      </c>
      <c r="L10" s="2" t="inlineStr">
        <is>
          <t>2026-07-01</t>
        </is>
      </c>
      <c r="M10" s="2" t="inlineStr">
        <is>
          <t>2026-07-31</t>
        </is>
      </c>
      <c r="N10" s="2" t="inlineStr">
        <is>
          <t>Actual</t>
        </is>
      </c>
      <c r="O10" s="2" t="inlineStr">
        <is>
          <t>Standard</t>
        </is>
      </c>
      <c r="Q10" s="2" t="inlineStr">
        <is>
          <t>Insert</t>
        </is>
      </c>
      <c r="R10" s="2">
        <f>'FY27 Revenue'!C10</f>
        <v/>
      </c>
      <c r="S10" s="2">
        <f>'FY27 Revenue'!C10</f>
        <v/>
      </c>
      <c r="T10" s="2">
        <f>'FY27 Revenue'!D10</f>
        <v/>
      </c>
    </row>
    <row r="11">
      <c r="A11" s="2" t="n">
        <v>37395</v>
      </c>
      <c r="B11" s="2" t="inlineStr">
        <is>
          <t>Downer</t>
        </is>
      </c>
      <c r="C11" s="2">
        <f>'FY27 Revenue'!E11</f>
        <v/>
      </c>
      <c r="D11" s="2">
        <f>IFERROR(INDEX('Extract_for_Locations 1 Oct 25'!$E$2:$E$3450,MATCH(C11,'Extract_for_Locations 1 Oct 25'!$B$2:$B$3450,0)),"")</f>
        <v/>
      </c>
      <c r="E11" s="2" t="n">
        <v>7868</v>
      </c>
      <c r="F11" s="2" t="inlineStr">
        <is>
          <t>Revenue - AUD Million</t>
        </is>
      </c>
      <c r="H11" s="2">
        <f>CONCATENATE("FY27REV_",'FY27 Revenue'!B11)</f>
        <v/>
      </c>
      <c r="I11" s="2">
        <f>CONCATENATE("FY27REV_",'FY27 Revenue'!B11)</f>
        <v/>
      </c>
      <c r="J11" s="2" t="inlineStr">
        <is>
          <t>Downer</t>
        </is>
      </c>
      <c r="K11" s="2" t="inlineStr">
        <is>
          <t>Revenue</t>
        </is>
      </c>
      <c r="L11" s="2" t="inlineStr">
        <is>
          <t>2026-07-01</t>
        </is>
      </c>
      <c r="M11" s="2" t="inlineStr">
        <is>
          <t>2026-07-31</t>
        </is>
      </c>
      <c r="N11" s="2" t="inlineStr">
        <is>
          <t>Actual</t>
        </is>
      </c>
      <c r="O11" s="2" t="inlineStr">
        <is>
          <t>Standard</t>
        </is>
      </c>
      <c r="Q11" s="2" t="inlineStr">
        <is>
          <t>Insert</t>
        </is>
      </c>
      <c r="R11" s="2">
        <f>'FY27 Revenue'!C11</f>
        <v/>
      </c>
      <c r="S11" s="2">
        <f>'FY27 Revenue'!C11</f>
        <v/>
      </c>
      <c r="T11" s="2">
        <f>'FY27 Revenue'!D11</f>
        <v/>
      </c>
    </row>
    <row r="12">
      <c r="A12" s="2" t="n">
        <v>37395</v>
      </c>
      <c r="B12" s="2" t="inlineStr">
        <is>
          <t>Downer</t>
        </is>
      </c>
      <c r="C12" s="2">
        <f>'FY27 Revenue'!E12</f>
        <v/>
      </c>
      <c r="D12" s="2">
        <f>IFERROR(INDEX('Extract_for_Locations 1 Oct 25'!$E$2:$E$3450,MATCH(C12,'Extract_for_Locations 1 Oct 25'!$B$2:$B$3450,0)),"")</f>
        <v/>
      </c>
      <c r="E12" s="2" t="n">
        <v>7868</v>
      </c>
      <c r="F12" s="2" t="inlineStr">
        <is>
          <t>Revenue - AUD Million</t>
        </is>
      </c>
      <c r="H12" s="2">
        <f>CONCATENATE("FY27REV_",'FY27 Revenue'!B12)</f>
        <v/>
      </c>
      <c r="I12" s="2">
        <f>CONCATENATE("FY27REV_",'FY27 Revenue'!B12)</f>
        <v/>
      </c>
      <c r="J12" s="2" t="inlineStr">
        <is>
          <t>Downer</t>
        </is>
      </c>
      <c r="K12" s="2" t="inlineStr">
        <is>
          <t>Revenue</t>
        </is>
      </c>
      <c r="L12" s="2" t="inlineStr">
        <is>
          <t>2026-07-01</t>
        </is>
      </c>
      <c r="M12" s="2" t="inlineStr">
        <is>
          <t>2026-07-31</t>
        </is>
      </c>
      <c r="N12" s="2" t="inlineStr">
        <is>
          <t>Actual</t>
        </is>
      </c>
      <c r="O12" s="2" t="inlineStr">
        <is>
          <t>Standard</t>
        </is>
      </c>
      <c r="Q12" s="2" t="inlineStr">
        <is>
          <t>Insert</t>
        </is>
      </c>
      <c r="R12" s="2">
        <f>'FY27 Revenue'!C12</f>
        <v/>
      </c>
      <c r="S12" s="2">
        <f>'FY27 Revenue'!C12</f>
        <v/>
      </c>
      <c r="T12" s="2">
        <f>'FY27 Revenue'!D12</f>
        <v/>
      </c>
    </row>
    <row r="13">
      <c r="A13" s="2" t="n">
        <v>37395</v>
      </c>
      <c r="B13" s="2" t="inlineStr">
        <is>
          <t>Downer</t>
        </is>
      </c>
      <c r="C13" s="2">
        <f>'FY27 Revenue'!E13</f>
        <v/>
      </c>
      <c r="D13" s="2">
        <f>IFERROR(INDEX('Extract_for_Locations 1 Oct 25'!$E$2:$E$3450,MATCH(C13,'Extract_for_Locations 1 Oct 25'!$B$2:$B$3450,0)),"")</f>
        <v/>
      </c>
      <c r="E13" s="2" t="n">
        <v>7868</v>
      </c>
      <c r="F13" s="2" t="inlineStr">
        <is>
          <t>Revenue - AUD Million</t>
        </is>
      </c>
      <c r="H13" s="2">
        <f>CONCATENATE("FY27REV_",'FY27 Revenue'!B13)</f>
        <v/>
      </c>
      <c r="I13" s="2">
        <f>CONCATENATE("FY27REV_",'FY27 Revenue'!B13)</f>
        <v/>
      </c>
      <c r="J13" s="2" t="inlineStr">
        <is>
          <t>Downer</t>
        </is>
      </c>
      <c r="K13" s="2" t="inlineStr">
        <is>
          <t>Revenue</t>
        </is>
      </c>
      <c r="L13" s="2" t="inlineStr">
        <is>
          <t>2026-07-01</t>
        </is>
      </c>
      <c r="M13" s="2" t="inlineStr">
        <is>
          <t>2026-07-31</t>
        </is>
      </c>
      <c r="N13" s="2" t="inlineStr">
        <is>
          <t>Actual</t>
        </is>
      </c>
      <c r="O13" s="2" t="inlineStr">
        <is>
          <t>Standard</t>
        </is>
      </c>
      <c r="Q13" s="2" t="inlineStr">
        <is>
          <t>Insert</t>
        </is>
      </c>
      <c r="R13" s="2">
        <f>'FY27 Revenue'!C13</f>
        <v/>
      </c>
      <c r="S13" s="2">
        <f>'FY27 Revenue'!C13</f>
        <v/>
      </c>
      <c r="T13" s="2">
        <f>'FY27 Revenue'!D13</f>
        <v/>
      </c>
    </row>
    <row r="14">
      <c r="A14" s="2" t="n">
        <v>37395</v>
      </c>
      <c r="B14" s="2" t="inlineStr">
        <is>
          <t>Downer</t>
        </is>
      </c>
      <c r="C14" s="2">
        <f>'FY27 Revenue'!E14</f>
        <v/>
      </c>
      <c r="D14" s="2">
        <f>IFERROR(INDEX('Extract_for_Locations 1 Oct 25'!$E$2:$E$3450,MATCH(C14,'Extract_for_Locations 1 Oct 25'!$B$2:$B$3450,0)),"")</f>
        <v/>
      </c>
      <c r="E14" s="2" t="n">
        <v>7868</v>
      </c>
      <c r="F14" s="2" t="inlineStr">
        <is>
          <t>Revenue - AUD Million</t>
        </is>
      </c>
      <c r="H14" s="2">
        <f>CONCATENATE("FY27REV_",'FY27 Revenue'!B14)</f>
        <v/>
      </c>
      <c r="I14" s="2">
        <f>CONCATENATE("FY27REV_",'FY27 Revenue'!B14)</f>
        <v/>
      </c>
      <c r="J14" s="2" t="inlineStr">
        <is>
          <t>Downer</t>
        </is>
      </c>
      <c r="K14" s="2" t="inlineStr">
        <is>
          <t>Revenue</t>
        </is>
      </c>
      <c r="L14" s="2" t="inlineStr">
        <is>
          <t>2026-07-01</t>
        </is>
      </c>
      <c r="M14" s="2" t="inlineStr">
        <is>
          <t>2026-07-31</t>
        </is>
      </c>
      <c r="N14" s="2" t="inlineStr">
        <is>
          <t>Actual</t>
        </is>
      </c>
      <c r="O14" s="2" t="inlineStr">
        <is>
          <t>Standard</t>
        </is>
      </c>
      <c r="Q14" s="2" t="inlineStr">
        <is>
          <t>Insert</t>
        </is>
      </c>
      <c r="R14" s="2">
        <f>'FY27 Revenue'!C14</f>
        <v/>
      </c>
      <c r="S14" s="2">
        <f>'FY27 Revenue'!C14</f>
        <v/>
      </c>
      <c r="T14" s="2">
        <f>'FY27 Revenue'!D14</f>
        <v/>
      </c>
    </row>
    <row r="15">
      <c r="A15" s="2" t="n">
        <v>37395</v>
      </c>
      <c r="B15" s="2" t="inlineStr">
        <is>
          <t>Downer</t>
        </is>
      </c>
      <c r="C15" s="2">
        <f>'FY27 Revenue'!E15</f>
        <v/>
      </c>
      <c r="D15" s="2">
        <f>IFERROR(INDEX('Extract_for_Locations 1 Oct 25'!$E$2:$E$3450,MATCH(C15,'Extract_for_Locations 1 Oct 25'!$B$2:$B$3450,0)),"")</f>
        <v/>
      </c>
      <c r="E15" s="2" t="n">
        <v>7868</v>
      </c>
      <c r="F15" s="2" t="inlineStr">
        <is>
          <t>Revenue - AUD Million</t>
        </is>
      </c>
      <c r="H15" s="2">
        <f>CONCATENATE("FY27REV_",'FY27 Revenue'!B15)</f>
        <v/>
      </c>
      <c r="I15" s="2">
        <f>CONCATENATE("FY27REV_",'FY27 Revenue'!B15)</f>
        <v/>
      </c>
      <c r="J15" s="2" t="inlineStr">
        <is>
          <t>Downer</t>
        </is>
      </c>
      <c r="K15" s="2" t="inlineStr">
        <is>
          <t>Revenue</t>
        </is>
      </c>
      <c r="L15" s="2" t="inlineStr">
        <is>
          <t>2026-07-01</t>
        </is>
      </c>
      <c r="M15" s="2" t="inlineStr">
        <is>
          <t>2026-07-31</t>
        </is>
      </c>
      <c r="N15" s="2" t="inlineStr">
        <is>
          <t>Actual</t>
        </is>
      </c>
      <c r="O15" s="2" t="inlineStr">
        <is>
          <t>Standard</t>
        </is>
      </c>
      <c r="Q15" s="2" t="inlineStr">
        <is>
          <t>Insert</t>
        </is>
      </c>
      <c r="R15" s="2">
        <f>'FY27 Revenue'!C15</f>
        <v/>
      </c>
      <c r="S15" s="2">
        <f>'FY27 Revenue'!C15</f>
        <v/>
      </c>
      <c r="T15" s="2">
        <f>'FY27 Revenue'!D15</f>
        <v/>
      </c>
    </row>
    <row r="16">
      <c r="A16" s="2" t="n">
        <v>37395</v>
      </c>
      <c r="B16" s="2" t="inlineStr">
        <is>
          <t>Downer</t>
        </is>
      </c>
      <c r="C16" s="2">
        <f>'FY27 Revenue'!E16</f>
        <v/>
      </c>
      <c r="D16" s="2">
        <f>IFERROR(INDEX('Extract_for_Locations 1 Oct 25'!$E$2:$E$3450,MATCH(C16,'Extract_for_Locations 1 Oct 25'!$B$2:$B$3450,0)),"")</f>
        <v/>
      </c>
      <c r="E16" s="2" t="n">
        <v>7868</v>
      </c>
      <c r="F16" s="2" t="inlineStr">
        <is>
          <t>Revenue - AUD Million</t>
        </is>
      </c>
      <c r="H16" s="2">
        <f>CONCATENATE("FY27REV_",'FY27 Revenue'!B16)</f>
        <v/>
      </c>
      <c r="I16" s="2">
        <f>CONCATENATE("FY27REV_",'FY27 Revenue'!B16)</f>
        <v/>
      </c>
      <c r="J16" s="2" t="inlineStr">
        <is>
          <t>Downer</t>
        </is>
      </c>
      <c r="K16" s="2" t="inlineStr">
        <is>
          <t>Revenue</t>
        </is>
      </c>
      <c r="L16" s="2" t="inlineStr">
        <is>
          <t>2026-07-01</t>
        </is>
      </c>
      <c r="M16" s="2" t="inlineStr">
        <is>
          <t>2026-07-31</t>
        </is>
      </c>
      <c r="N16" s="2" t="inlineStr">
        <is>
          <t>Actual</t>
        </is>
      </c>
      <c r="O16" s="2" t="inlineStr">
        <is>
          <t>Standard</t>
        </is>
      </c>
      <c r="Q16" s="2" t="inlineStr">
        <is>
          <t>Insert</t>
        </is>
      </c>
      <c r="R16" s="2">
        <f>'FY27 Revenue'!C16</f>
        <v/>
      </c>
      <c r="S16" s="2">
        <f>'FY27 Revenue'!C16</f>
        <v/>
      </c>
      <c r="T16" s="2">
        <f>'FY27 Revenue'!D16</f>
        <v/>
      </c>
    </row>
    <row r="17">
      <c r="A17" s="2" t="n">
        <v>37395</v>
      </c>
      <c r="B17" s="2" t="inlineStr">
        <is>
          <t>Downer</t>
        </is>
      </c>
      <c r="C17" s="2">
        <f>'FY27 Revenue'!E17</f>
        <v/>
      </c>
      <c r="D17" s="2">
        <f>IFERROR(INDEX('Extract_for_Locations 1 Oct 25'!$E$2:$E$3450,MATCH(C17,'Extract_for_Locations 1 Oct 25'!$B$2:$B$3450,0)),"")</f>
        <v/>
      </c>
      <c r="E17" s="2" t="n">
        <v>7868</v>
      </c>
      <c r="F17" s="2" t="inlineStr">
        <is>
          <t>Revenue - AUD Million</t>
        </is>
      </c>
      <c r="H17" s="2">
        <f>CONCATENATE("FY27REV_",'FY27 Revenue'!B17)</f>
        <v/>
      </c>
      <c r="I17" s="2">
        <f>CONCATENATE("FY27REV_",'FY27 Revenue'!B17)</f>
        <v/>
      </c>
      <c r="J17" s="2" t="inlineStr">
        <is>
          <t>Downer</t>
        </is>
      </c>
      <c r="K17" s="2" t="inlineStr">
        <is>
          <t>Revenue</t>
        </is>
      </c>
      <c r="L17" s="2" t="inlineStr">
        <is>
          <t>2026-07-01</t>
        </is>
      </c>
      <c r="M17" s="2" t="inlineStr">
        <is>
          <t>2026-07-31</t>
        </is>
      </c>
      <c r="N17" s="2" t="inlineStr">
        <is>
          <t>Actual</t>
        </is>
      </c>
      <c r="O17" s="2" t="inlineStr">
        <is>
          <t>Standard</t>
        </is>
      </c>
      <c r="Q17" s="2" t="inlineStr">
        <is>
          <t>Insert</t>
        </is>
      </c>
      <c r="R17" s="2">
        <f>'FY27 Revenue'!C17</f>
        <v/>
      </c>
      <c r="S17" s="2">
        <f>'FY27 Revenue'!C17</f>
        <v/>
      </c>
      <c r="T17" s="2">
        <f>'FY27 Revenue'!D17</f>
        <v/>
      </c>
    </row>
    <row r="18">
      <c r="A18" s="2" t="n">
        <v>37395</v>
      </c>
      <c r="B18" s="2" t="inlineStr">
        <is>
          <t>Downer</t>
        </is>
      </c>
      <c r="C18" s="2">
        <f>'FY27 Revenue'!E18</f>
        <v/>
      </c>
      <c r="D18" s="2">
        <f>IFERROR(INDEX('Extract_for_Locations 1 Oct 25'!$E$2:$E$3450,MATCH(C18,'Extract_for_Locations 1 Oct 25'!$B$2:$B$3450,0)),"")</f>
        <v/>
      </c>
      <c r="E18" s="2" t="n">
        <v>7868</v>
      </c>
      <c r="F18" s="2" t="inlineStr">
        <is>
          <t>Revenue - AUD Million</t>
        </is>
      </c>
      <c r="H18" s="2">
        <f>CONCATENATE("FY27REV_",'FY27 Revenue'!B18)</f>
        <v/>
      </c>
      <c r="I18" s="2">
        <f>CONCATENATE("FY27REV_",'FY27 Revenue'!B18)</f>
        <v/>
      </c>
      <c r="J18" s="2" t="inlineStr">
        <is>
          <t>Downer</t>
        </is>
      </c>
      <c r="K18" s="2" t="inlineStr">
        <is>
          <t>Revenue</t>
        </is>
      </c>
      <c r="L18" s="2" t="inlineStr">
        <is>
          <t>2026-07-01</t>
        </is>
      </c>
      <c r="M18" s="2" t="inlineStr">
        <is>
          <t>2026-07-31</t>
        </is>
      </c>
      <c r="N18" s="2" t="inlineStr">
        <is>
          <t>Actual</t>
        </is>
      </c>
      <c r="O18" s="2" t="inlineStr">
        <is>
          <t>Standard</t>
        </is>
      </c>
      <c r="Q18" s="2" t="inlineStr">
        <is>
          <t>Insert</t>
        </is>
      </c>
      <c r="R18" s="2">
        <f>'FY27 Revenue'!C18</f>
        <v/>
      </c>
      <c r="S18" s="2">
        <f>'FY27 Revenue'!C18</f>
        <v/>
      </c>
      <c r="T18" s="2">
        <f>'FY27 Revenue'!D18</f>
        <v/>
      </c>
    </row>
    <row r="19">
      <c r="A19" s="2" t="n">
        <v>37395</v>
      </c>
      <c r="B19" s="2" t="inlineStr">
        <is>
          <t>Downer</t>
        </is>
      </c>
      <c r="C19" s="2">
        <f>'FY27 Revenue'!E19</f>
        <v/>
      </c>
      <c r="D19" s="2">
        <f>IFERROR(INDEX('Extract_for_Locations 1 Oct 25'!$E$2:$E$3450,MATCH(C19,'Extract_for_Locations 1 Oct 25'!$B$2:$B$3450,0)),"")</f>
        <v/>
      </c>
      <c r="E19" s="2" t="n">
        <v>7868</v>
      </c>
      <c r="F19" s="2" t="inlineStr">
        <is>
          <t>Revenue - AUD Million</t>
        </is>
      </c>
      <c r="H19" s="2">
        <f>CONCATENATE("FY27REV_",'FY27 Revenue'!B19)</f>
        <v/>
      </c>
      <c r="I19" s="2">
        <f>CONCATENATE("FY27REV_",'FY27 Revenue'!B19)</f>
        <v/>
      </c>
      <c r="J19" s="2" t="inlineStr">
        <is>
          <t>Downer</t>
        </is>
      </c>
      <c r="K19" s="2" t="inlineStr">
        <is>
          <t>Revenue</t>
        </is>
      </c>
      <c r="L19" s="2" t="inlineStr">
        <is>
          <t>2026-07-01</t>
        </is>
      </c>
      <c r="M19" s="2" t="inlineStr">
        <is>
          <t>2026-07-31</t>
        </is>
      </c>
      <c r="N19" s="2" t="inlineStr">
        <is>
          <t>Actual</t>
        </is>
      </c>
      <c r="O19" s="2" t="inlineStr">
        <is>
          <t>Standard</t>
        </is>
      </c>
      <c r="Q19" s="2" t="inlineStr">
        <is>
          <t>Insert</t>
        </is>
      </c>
      <c r="R19" s="2">
        <f>'FY27 Revenue'!C19</f>
        <v/>
      </c>
      <c r="S19" s="2">
        <f>'FY27 Revenue'!C19</f>
        <v/>
      </c>
      <c r="T19" s="2">
        <f>'FY27 Revenue'!D19</f>
        <v/>
      </c>
    </row>
    <row r="20">
      <c r="A20" s="2" t="n">
        <v>37395</v>
      </c>
      <c r="B20" s="2" t="inlineStr">
        <is>
          <t>Downer</t>
        </is>
      </c>
      <c r="C20" s="2">
        <f>'FY27 Revenue'!E20</f>
        <v/>
      </c>
      <c r="D20" s="2">
        <f>IFERROR(INDEX('Extract_for_Locations 1 Oct 25'!$E$2:$E$3450,MATCH(C20,'Extract_for_Locations 1 Oct 25'!$B$2:$B$3450,0)),"")</f>
        <v/>
      </c>
      <c r="E20" s="2" t="n">
        <v>7868</v>
      </c>
      <c r="F20" s="2" t="inlineStr">
        <is>
          <t>Revenue - AUD Million</t>
        </is>
      </c>
      <c r="H20" s="2">
        <f>CONCATENATE("FY27REV_",'FY27 Revenue'!B20)</f>
        <v/>
      </c>
      <c r="I20" s="2">
        <f>CONCATENATE("FY27REV_",'FY27 Revenue'!B20)</f>
        <v/>
      </c>
      <c r="J20" s="2" t="inlineStr">
        <is>
          <t>Downer</t>
        </is>
      </c>
      <c r="K20" s="2" t="inlineStr">
        <is>
          <t>Revenue</t>
        </is>
      </c>
      <c r="L20" s="2" t="inlineStr">
        <is>
          <t>2026-07-01</t>
        </is>
      </c>
      <c r="M20" s="2" t="inlineStr">
        <is>
          <t>2026-07-31</t>
        </is>
      </c>
      <c r="N20" s="2" t="inlineStr">
        <is>
          <t>Actual</t>
        </is>
      </c>
      <c r="O20" s="2" t="inlineStr">
        <is>
          <t>Standard</t>
        </is>
      </c>
      <c r="Q20" s="2" t="inlineStr">
        <is>
          <t>Insert</t>
        </is>
      </c>
      <c r="R20" s="2">
        <f>'FY27 Revenue'!C20</f>
        <v/>
      </c>
      <c r="S20" s="2">
        <f>'FY27 Revenue'!C20</f>
        <v/>
      </c>
      <c r="T20" s="2">
        <f>'FY27 Revenue'!D20</f>
        <v/>
      </c>
    </row>
    <row r="21">
      <c r="A21" s="2" t="n">
        <v>37395</v>
      </c>
      <c r="B21" s="2" t="inlineStr">
        <is>
          <t>Downer</t>
        </is>
      </c>
      <c r="C21" s="2">
        <f>'FY27 Revenue'!E21</f>
        <v/>
      </c>
      <c r="D21" s="2">
        <f>IFERROR(INDEX('Extract_for_Locations 1 Oct 25'!$E$2:$E$3450,MATCH(C21,'Extract_for_Locations 1 Oct 25'!$B$2:$B$3450,0)),"")</f>
        <v/>
      </c>
      <c r="E21" s="2" t="n">
        <v>7868</v>
      </c>
      <c r="F21" s="2" t="inlineStr">
        <is>
          <t>Revenue - AUD Million</t>
        </is>
      </c>
      <c r="H21" s="2">
        <f>CONCATENATE("FY27REV_",'FY27 Revenue'!B21)</f>
        <v/>
      </c>
      <c r="I21" s="2">
        <f>CONCATENATE("FY27REV_",'FY27 Revenue'!B21)</f>
        <v/>
      </c>
      <c r="J21" s="2" t="inlineStr">
        <is>
          <t>Downer</t>
        </is>
      </c>
      <c r="K21" s="2" t="inlineStr">
        <is>
          <t>Revenue</t>
        </is>
      </c>
      <c r="L21" s="2" t="inlineStr">
        <is>
          <t>2026-07-01</t>
        </is>
      </c>
      <c r="M21" s="2" t="inlineStr">
        <is>
          <t>2026-07-31</t>
        </is>
      </c>
      <c r="N21" s="2" t="inlineStr">
        <is>
          <t>Actual</t>
        </is>
      </c>
      <c r="O21" s="2" t="inlineStr">
        <is>
          <t>Standard</t>
        </is>
      </c>
      <c r="Q21" s="2" t="inlineStr">
        <is>
          <t>Insert</t>
        </is>
      </c>
      <c r="R21" s="2">
        <f>'FY27 Revenue'!C21</f>
        <v/>
      </c>
      <c r="S21" s="2">
        <f>'FY27 Revenue'!C21</f>
        <v/>
      </c>
      <c r="T21" s="2">
        <f>'FY27 Revenue'!D21</f>
        <v/>
      </c>
    </row>
    <row r="22">
      <c r="A22" s="2" t="n">
        <v>37395</v>
      </c>
      <c r="B22" s="2" t="inlineStr">
        <is>
          <t>Downer</t>
        </is>
      </c>
      <c r="C22" s="2">
        <f>'FY27 Revenue'!E22</f>
        <v/>
      </c>
      <c r="D22" s="2">
        <f>IFERROR(INDEX('Extract_for_Locations 1 Oct 25'!$E$2:$E$3450,MATCH(C22,'Extract_for_Locations 1 Oct 25'!$B$2:$B$3450,0)),"")</f>
        <v/>
      </c>
      <c r="E22" s="2" t="n">
        <v>7868</v>
      </c>
      <c r="F22" s="2" t="inlineStr">
        <is>
          <t>Revenue - AUD Million</t>
        </is>
      </c>
      <c r="H22" s="2">
        <f>CONCATENATE("FY27REV_",'FY27 Revenue'!B22)</f>
        <v/>
      </c>
      <c r="I22" s="2">
        <f>CONCATENATE("FY27REV_",'FY27 Revenue'!B22)</f>
        <v/>
      </c>
      <c r="J22" s="2" t="inlineStr">
        <is>
          <t>Downer</t>
        </is>
      </c>
      <c r="K22" s="2" t="inlineStr">
        <is>
          <t>Revenue</t>
        </is>
      </c>
      <c r="L22" s="2" t="inlineStr">
        <is>
          <t>2026-07-01</t>
        </is>
      </c>
      <c r="M22" s="2" t="inlineStr">
        <is>
          <t>2026-07-31</t>
        </is>
      </c>
      <c r="N22" s="2" t="inlineStr">
        <is>
          <t>Actual</t>
        </is>
      </c>
      <c r="O22" s="2" t="inlineStr">
        <is>
          <t>Standard</t>
        </is>
      </c>
      <c r="Q22" s="2" t="inlineStr">
        <is>
          <t>Insert</t>
        </is>
      </c>
      <c r="R22" s="2">
        <f>'FY27 Revenue'!C22</f>
        <v/>
      </c>
      <c r="S22" s="2">
        <f>'FY27 Revenue'!C22</f>
        <v/>
      </c>
      <c r="T22" s="2">
        <f>'FY27 Revenue'!D22</f>
        <v/>
      </c>
    </row>
    <row r="23">
      <c r="A23" s="2" t="n">
        <v>37395</v>
      </c>
      <c r="B23" s="2" t="inlineStr">
        <is>
          <t>Downer</t>
        </is>
      </c>
      <c r="C23" s="2">
        <f>'FY27 Revenue'!E23</f>
        <v/>
      </c>
      <c r="D23" s="2">
        <f>IFERROR(INDEX('Extract_for_Locations 1 Oct 25'!$E$2:$E$3450,MATCH(C23,'Extract_for_Locations 1 Oct 25'!$B$2:$B$3450,0)),"")</f>
        <v/>
      </c>
      <c r="E23" s="2" t="n">
        <v>7868</v>
      </c>
      <c r="F23" s="2" t="inlineStr">
        <is>
          <t>Revenue - AUD Million</t>
        </is>
      </c>
      <c r="H23" s="2">
        <f>CONCATENATE("FY27REV_",'FY27 Revenue'!B23)</f>
        <v/>
      </c>
      <c r="I23" s="2">
        <f>CONCATENATE("FY27REV_",'FY27 Revenue'!B23)</f>
        <v/>
      </c>
      <c r="J23" s="2" t="inlineStr">
        <is>
          <t>Downer</t>
        </is>
      </c>
      <c r="K23" s="2" t="inlineStr">
        <is>
          <t>Revenue</t>
        </is>
      </c>
      <c r="L23" s="2" t="inlineStr">
        <is>
          <t>2026-07-01</t>
        </is>
      </c>
      <c r="M23" s="2" t="inlineStr">
        <is>
          <t>2026-07-31</t>
        </is>
      </c>
      <c r="N23" s="2" t="inlineStr">
        <is>
          <t>Actual</t>
        </is>
      </c>
      <c r="O23" s="2" t="inlineStr">
        <is>
          <t>Standard</t>
        </is>
      </c>
      <c r="Q23" s="2" t="inlineStr">
        <is>
          <t>Insert</t>
        </is>
      </c>
      <c r="R23" s="2">
        <f>'FY27 Revenue'!C23</f>
        <v/>
      </c>
      <c r="S23" s="2">
        <f>'FY27 Revenue'!C23</f>
        <v/>
      </c>
      <c r="T23" s="2">
        <f>'FY27 Revenue'!D23</f>
        <v/>
      </c>
    </row>
    <row r="24">
      <c r="A24" s="2" t="n">
        <v>37395</v>
      </c>
      <c r="B24" s="2" t="inlineStr">
        <is>
          <t>Downer</t>
        </is>
      </c>
      <c r="C24" s="2">
        <f>'FY27 Revenue'!E24</f>
        <v/>
      </c>
      <c r="D24" s="2">
        <f>IFERROR(INDEX('Extract_for_Locations 1 Oct 25'!$E$2:$E$3450,MATCH(C24,'Extract_for_Locations 1 Oct 25'!$B$2:$B$3450,0)),"")</f>
        <v/>
      </c>
      <c r="E24" s="2" t="n">
        <v>7868</v>
      </c>
      <c r="F24" s="2" t="inlineStr">
        <is>
          <t>Revenue - AUD Million</t>
        </is>
      </c>
      <c r="H24" s="2">
        <f>CONCATENATE("FY27REV_",'FY27 Revenue'!B24)</f>
        <v/>
      </c>
      <c r="I24" s="2">
        <f>CONCATENATE("FY27REV_",'FY27 Revenue'!B24)</f>
        <v/>
      </c>
      <c r="J24" s="2" t="inlineStr">
        <is>
          <t>Downer</t>
        </is>
      </c>
      <c r="K24" s="2" t="inlineStr">
        <is>
          <t>Revenue</t>
        </is>
      </c>
      <c r="L24" s="2" t="inlineStr">
        <is>
          <t>2026-07-01</t>
        </is>
      </c>
      <c r="M24" s="2" t="inlineStr">
        <is>
          <t>2026-07-31</t>
        </is>
      </c>
      <c r="N24" s="2" t="inlineStr">
        <is>
          <t>Actual</t>
        </is>
      </c>
      <c r="O24" s="2" t="inlineStr">
        <is>
          <t>Standard</t>
        </is>
      </c>
      <c r="Q24" s="2" t="inlineStr">
        <is>
          <t>Insert</t>
        </is>
      </c>
      <c r="R24" s="2">
        <f>'FY27 Revenue'!C24</f>
        <v/>
      </c>
      <c r="S24" s="2">
        <f>'FY27 Revenue'!C24</f>
        <v/>
      </c>
      <c r="T24" s="2">
        <f>'FY27 Revenue'!D24</f>
        <v/>
      </c>
    </row>
    <row r="25">
      <c r="A25" s="2" t="n">
        <v>37395</v>
      </c>
      <c r="B25" s="2" t="inlineStr">
        <is>
          <t>Downer</t>
        </is>
      </c>
      <c r="C25" s="2">
        <f>'FY27 Revenue'!E25</f>
        <v/>
      </c>
      <c r="D25" s="2">
        <f>IFERROR(INDEX('Extract_for_Locations 1 Oct 25'!$E$2:$E$3450,MATCH(C25,'Extract_for_Locations 1 Oct 25'!$B$2:$B$3450,0)),"")</f>
        <v/>
      </c>
      <c r="E25" s="2" t="n">
        <v>7868</v>
      </c>
      <c r="F25" s="2" t="inlineStr">
        <is>
          <t>Revenue - AUD Million</t>
        </is>
      </c>
      <c r="H25" s="2">
        <f>CONCATENATE("FY27REV_",'FY27 Revenue'!B25)</f>
        <v/>
      </c>
      <c r="I25" s="2">
        <f>CONCATENATE("FY27REV_",'FY27 Revenue'!B25)</f>
        <v/>
      </c>
      <c r="J25" s="2" t="inlineStr">
        <is>
          <t>Downer</t>
        </is>
      </c>
      <c r="K25" s="2" t="inlineStr">
        <is>
          <t>Revenue</t>
        </is>
      </c>
      <c r="L25" s="2" t="inlineStr">
        <is>
          <t>2026-07-01</t>
        </is>
      </c>
      <c r="M25" s="2" t="inlineStr">
        <is>
          <t>2026-07-31</t>
        </is>
      </c>
      <c r="N25" s="2" t="inlineStr">
        <is>
          <t>Actual</t>
        </is>
      </c>
      <c r="O25" s="2" t="inlineStr">
        <is>
          <t>Standard</t>
        </is>
      </c>
      <c r="Q25" s="2" t="inlineStr">
        <is>
          <t>Insert</t>
        </is>
      </c>
      <c r="R25" s="2">
        <f>'FY27 Revenue'!C25</f>
        <v/>
      </c>
      <c r="S25" s="2">
        <f>'FY27 Revenue'!C25</f>
        <v/>
      </c>
      <c r="T25" s="2">
        <f>'FY27 Revenue'!D25</f>
        <v/>
      </c>
    </row>
    <row r="26">
      <c r="A26" s="2" t="n">
        <v>37395</v>
      </c>
      <c r="B26" s="2" t="inlineStr">
        <is>
          <t>Downer</t>
        </is>
      </c>
      <c r="C26" s="2">
        <f>'FY27 Revenue'!E26</f>
        <v/>
      </c>
      <c r="D26" s="2">
        <f>IFERROR(INDEX('Extract_for_Locations 1 Oct 25'!$E$2:$E$3450,MATCH(C26,'Extract_for_Locations 1 Oct 25'!$B$2:$B$3450,0)),"")</f>
        <v/>
      </c>
      <c r="E26" s="2" t="n">
        <v>7868</v>
      </c>
      <c r="F26" s="2" t="inlineStr">
        <is>
          <t>Revenue - AUD Million</t>
        </is>
      </c>
      <c r="H26" s="2">
        <f>CONCATENATE("FY27REV_",'FY27 Revenue'!B26)</f>
        <v/>
      </c>
      <c r="I26" s="2">
        <f>CONCATENATE("FY27REV_",'FY27 Revenue'!B26)</f>
        <v/>
      </c>
      <c r="J26" s="2" t="inlineStr">
        <is>
          <t>Downer</t>
        </is>
      </c>
      <c r="K26" s="2" t="inlineStr">
        <is>
          <t>Revenue</t>
        </is>
      </c>
      <c r="L26" s="2" t="inlineStr">
        <is>
          <t>2026-07-01</t>
        </is>
      </c>
      <c r="M26" s="2" t="inlineStr">
        <is>
          <t>2026-07-31</t>
        </is>
      </c>
      <c r="N26" s="2" t="inlineStr">
        <is>
          <t>Actual</t>
        </is>
      </c>
      <c r="O26" s="2" t="inlineStr">
        <is>
          <t>Standard</t>
        </is>
      </c>
      <c r="Q26" s="2" t="inlineStr">
        <is>
          <t>Insert</t>
        </is>
      </c>
      <c r="R26" s="2">
        <f>'FY27 Revenue'!C26</f>
        <v/>
      </c>
      <c r="S26" s="2">
        <f>'FY27 Revenue'!C26</f>
        <v/>
      </c>
      <c r="T26" s="2">
        <f>'FY27 Revenue'!D26</f>
        <v/>
      </c>
    </row>
    <row r="27">
      <c r="A27" s="2" t="n">
        <v>37395</v>
      </c>
      <c r="B27" s="2" t="inlineStr">
        <is>
          <t>Downer</t>
        </is>
      </c>
      <c r="C27" s="2">
        <f>'FY27 Revenue'!E27</f>
        <v/>
      </c>
      <c r="D27" s="2">
        <f>IFERROR(INDEX('Extract_for_Locations 1 Oct 25'!$E$2:$E$3450,MATCH(C27,'Extract_for_Locations 1 Oct 25'!$B$2:$B$3450,0)),"")</f>
        <v/>
      </c>
      <c r="E27" s="2" t="n">
        <v>7868</v>
      </c>
      <c r="F27" s="2" t="inlineStr">
        <is>
          <t>Revenue - AUD Million</t>
        </is>
      </c>
      <c r="H27" s="2">
        <f>CONCATENATE("FY27REV_",'FY27 Revenue'!B27)</f>
        <v/>
      </c>
      <c r="I27" s="2">
        <f>CONCATENATE("FY27REV_",'FY27 Revenue'!B27)</f>
        <v/>
      </c>
      <c r="J27" s="2" t="inlineStr">
        <is>
          <t>Downer</t>
        </is>
      </c>
      <c r="K27" s="2" t="inlineStr">
        <is>
          <t>Revenue</t>
        </is>
      </c>
      <c r="L27" s="2" t="inlineStr">
        <is>
          <t>2026-07-01</t>
        </is>
      </c>
      <c r="M27" s="2" t="inlineStr">
        <is>
          <t>2026-07-31</t>
        </is>
      </c>
      <c r="N27" s="2" t="inlineStr">
        <is>
          <t>Actual</t>
        </is>
      </c>
      <c r="O27" s="2" t="inlineStr">
        <is>
          <t>Standard</t>
        </is>
      </c>
      <c r="Q27" s="2" t="inlineStr">
        <is>
          <t>Insert</t>
        </is>
      </c>
      <c r="R27" s="2">
        <f>'FY27 Revenue'!C27</f>
        <v/>
      </c>
      <c r="S27" s="2">
        <f>'FY27 Revenue'!C27</f>
        <v/>
      </c>
      <c r="T27" s="2">
        <f>'FY27 Revenue'!D27</f>
        <v/>
      </c>
    </row>
    <row r="28">
      <c r="A28" s="2" t="n">
        <v>37395</v>
      </c>
      <c r="B28" s="2" t="inlineStr">
        <is>
          <t>Downer</t>
        </is>
      </c>
      <c r="C28" s="2">
        <f>'FY27 Revenue'!E28</f>
        <v/>
      </c>
      <c r="D28" s="2">
        <f>IFERROR(INDEX('Extract_for_Locations 1 Oct 25'!$E$2:$E$3450,MATCH(C28,'Extract_for_Locations 1 Oct 25'!$B$2:$B$3450,0)),"")</f>
        <v/>
      </c>
      <c r="E28" s="2" t="n">
        <v>7868</v>
      </c>
      <c r="F28" s="2" t="inlineStr">
        <is>
          <t>Revenue - AUD Million</t>
        </is>
      </c>
      <c r="H28" s="2">
        <f>CONCATENATE("FY27REV_",'FY27 Revenue'!B28)</f>
        <v/>
      </c>
      <c r="I28" s="2">
        <f>CONCATENATE("FY27REV_",'FY27 Revenue'!B28)</f>
        <v/>
      </c>
      <c r="J28" s="2" t="inlineStr">
        <is>
          <t>Downer</t>
        </is>
      </c>
      <c r="K28" s="2" t="inlineStr">
        <is>
          <t>Revenue</t>
        </is>
      </c>
      <c r="L28" s="2" t="inlineStr">
        <is>
          <t>2026-07-01</t>
        </is>
      </c>
      <c r="M28" s="2" t="inlineStr">
        <is>
          <t>2026-07-31</t>
        </is>
      </c>
      <c r="N28" s="2" t="inlineStr">
        <is>
          <t>Actual</t>
        </is>
      </c>
      <c r="O28" s="2" t="inlineStr">
        <is>
          <t>Standard</t>
        </is>
      </c>
      <c r="Q28" s="2" t="inlineStr">
        <is>
          <t>Insert</t>
        </is>
      </c>
      <c r="R28" s="2">
        <f>'FY27 Revenue'!C28</f>
        <v/>
      </c>
      <c r="S28" s="2">
        <f>'FY27 Revenue'!C28</f>
        <v/>
      </c>
      <c r="T28" s="2">
        <f>'FY27 Revenue'!D28</f>
        <v/>
      </c>
    </row>
    <row r="29">
      <c r="A29" s="2" t="n">
        <v>37395</v>
      </c>
      <c r="B29" s="2" t="inlineStr">
        <is>
          <t>Downer</t>
        </is>
      </c>
      <c r="C29" s="2">
        <f>'FY27 Revenue'!E29</f>
        <v/>
      </c>
      <c r="D29" s="2">
        <f>IFERROR(INDEX('Extract_for_Locations 1 Oct 25'!$E$2:$E$3450,MATCH(C29,'Extract_for_Locations 1 Oct 25'!$B$2:$B$3450,0)),"")</f>
        <v/>
      </c>
      <c r="E29" s="2" t="n">
        <v>7868</v>
      </c>
      <c r="F29" s="2" t="inlineStr">
        <is>
          <t>Revenue - AUD Million</t>
        </is>
      </c>
      <c r="H29" s="2">
        <f>CONCATENATE("FY27REV_",'FY27 Revenue'!B29)</f>
        <v/>
      </c>
      <c r="I29" s="2">
        <f>CONCATENATE("FY27REV_",'FY27 Revenue'!B29)</f>
        <v/>
      </c>
      <c r="J29" s="2" t="inlineStr">
        <is>
          <t>Downer</t>
        </is>
      </c>
      <c r="K29" s="2" t="inlineStr">
        <is>
          <t>Revenue</t>
        </is>
      </c>
      <c r="L29" s="2" t="inlineStr">
        <is>
          <t>2026-07-01</t>
        </is>
      </c>
      <c r="M29" s="2" t="inlineStr">
        <is>
          <t>2026-07-31</t>
        </is>
      </c>
      <c r="N29" s="2" t="inlineStr">
        <is>
          <t>Actual</t>
        </is>
      </c>
      <c r="O29" s="2" t="inlineStr">
        <is>
          <t>Standard</t>
        </is>
      </c>
      <c r="Q29" s="2" t="inlineStr">
        <is>
          <t>Insert</t>
        </is>
      </c>
      <c r="R29" s="2">
        <f>'FY27 Revenue'!C29</f>
        <v/>
      </c>
      <c r="S29" s="2">
        <f>'FY27 Revenue'!C29</f>
        <v/>
      </c>
      <c r="T29" s="2">
        <f>'FY27 Revenue'!D29</f>
        <v/>
      </c>
    </row>
    <row r="30">
      <c r="A30" s="2" t="n">
        <v>37395</v>
      </c>
      <c r="B30" s="2" t="inlineStr">
        <is>
          <t>Downer</t>
        </is>
      </c>
      <c r="C30" s="2">
        <f>'FY27 Revenue'!E30</f>
        <v/>
      </c>
      <c r="D30" s="2">
        <f>IFERROR(INDEX('Extract_for_Locations 1 Oct 25'!$E$2:$E$3450,MATCH(C30,'Extract_for_Locations 1 Oct 25'!$B$2:$B$3450,0)),"")</f>
        <v/>
      </c>
      <c r="E30" s="2" t="n">
        <v>7868</v>
      </c>
      <c r="F30" s="2" t="inlineStr">
        <is>
          <t>Revenue - AUD Million</t>
        </is>
      </c>
      <c r="H30" s="2">
        <f>CONCATENATE("FY27REV_",'FY27 Revenue'!B30)</f>
        <v/>
      </c>
      <c r="I30" s="2">
        <f>CONCATENATE("FY27REV_",'FY27 Revenue'!B30)</f>
        <v/>
      </c>
      <c r="J30" s="2" t="inlineStr">
        <is>
          <t>Downer</t>
        </is>
      </c>
      <c r="K30" s="2" t="inlineStr">
        <is>
          <t>Revenue</t>
        </is>
      </c>
      <c r="L30" s="2" t="inlineStr">
        <is>
          <t>2026-07-01</t>
        </is>
      </c>
      <c r="M30" s="2" t="inlineStr">
        <is>
          <t>2026-07-31</t>
        </is>
      </c>
      <c r="N30" s="2" t="inlineStr">
        <is>
          <t>Actual</t>
        </is>
      </c>
      <c r="O30" s="2" t="inlineStr">
        <is>
          <t>Standard</t>
        </is>
      </c>
      <c r="Q30" s="2" t="inlineStr">
        <is>
          <t>Insert</t>
        </is>
      </c>
      <c r="R30" s="2">
        <f>'FY27 Revenue'!C30</f>
        <v/>
      </c>
      <c r="S30" s="2">
        <f>'FY27 Revenue'!C30</f>
        <v/>
      </c>
      <c r="T30" s="2">
        <f>'FY27 Revenue'!D30</f>
        <v/>
      </c>
    </row>
    <row r="31">
      <c r="A31" s="2" t="n">
        <v>37395</v>
      </c>
      <c r="B31" s="2" t="inlineStr">
        <is>
          <t>Downer</t>
        </is>
      </c>
      <c r="C31" s="2">
        <f>'FY27 Revenue'!E31</f>
        <v/>
      </c>
      <c r="D31" s="2">
        <f>IFERROR(INDEX('Extract_for_Locations 1 Oct 25'!$E$2:$E$3450,MATCH(C31,'Extract_for_Locations 1 Oct 25'!$B$2:$B$3450,0)),"")</f>
        <v/>
      </c>
      <c r="E31" s="2" t="n">
        <v>7868</v>
      </c>
      <c r="F31" s="2" t="inlineStr">
        <is>
          <t>Revenue - AUD Million</t>
        </is>
      </c>
      <c r="H31" s="2">
        <f>CONCATENATE("FY27REV_",'FY27 Revenue'!B31)</f>
        <v/>
      </c>
      <c r="I31" s="2">
        <f>CONCATENATE("FY27REV_",'FY27 Revenue'!B31)</f>
        <v/>
      </c>
      <c r="J31" s="2" t="inlineStr">
        <is>
          <t>Downer</t>
        </is>
      </c>
      <c r="K31" s="2" t="inlineStr">
        <is>
          <t>Revenue</t>
        </is>
      </c>
      <c r="L31" s="2" t="inlineStr">
        <is>
          <t>2026-07-01</t>
        </is>
      </c>
      <c r="M31" s="2" t="inlineStr">
        <is>
          <t>2026-07-31</t>
        </is>
      </c>
      <c r="N31" s="2" t="inlineStr">
        <is>
          <t>Actual</t>
        </is>
      </c>
      <c r="O31" s="2" t="inlineStr">
        <is>
          <t>Standard</t>
        </is>
      </c>
      <c r="Q31" s="2" t="inlineStr">
        <is>
          <t>Insert</t>
        </is>
      </c>
      <c r="R31" s="2">
        <f>'FY27 Revenue'!C31</f>
        <v/>
      </c>
      <c r="S31" s="2">
        <f>'FY27 Revenue'!C31</f>
        <v/>
      </c>
      <c r="T31" s="2">
        <f>'FY27 Revenue'!D31</f>
        <v/>
      </c>
    </row>
    <row r="32">
      <c r="A32" s="2" t="n">
        <v>37395</v>
      </c>
      <c r="B32" s="2" t="inlineStr">
        <is>
          <t>Downer</t>
        </is>
      </c>
      <c r="C32" s="2">
        <f>'FY27 Revenue'!E32</f>
        <v/>
      </c>
      <c r="D32" s="2">
        <f>IFERROR(INDEX('Extract_for_Locations 1 Oct 25'!$E$2:$E$3450,MATCH(C32,'Extract_for_Locations 1 Oct 25'!$B$2:$B$3450,0)),"")</f>
        <v/>
      </c>
      <c r="E32" s="2" t="n">
        <v>7868</v>
      </c>
      <c r="F32" s="2" t="inlineStr">
        <is>
          <t>Revenue - AUD Million</t>
        </is>
      </c>
      <c r="H32" s="2">
        <f>CONCATENATE("FY27REV_",'FY27 Revenue'!B32)</f>
        <v/>
      </c>
      <c r="I32" s="2">
        <f>CONCATENATE("FY27REV_",'FY27 Revenue'!B32)</f>
        <v/>
      </c>
      <c r="J32" s="2" t="inlineStr">
        <is>
          <t>Downer</t>
        </is>
      </c>
      <c r="K32" s="2" t="inlineStr">
        <is>
          <t>Revenue</t>
        </is>
      </c>
      <c r="L32" s="2" t="inlineStr">
        <is>
          <t>2026-07-01</t>
        </is>
      </c>
      <c r="M32" s="2" t="inlineStr">
        <is>
          <t>2026-07-31</t>
        </is>
      </c>
      <c r="N32" s="2" t="inlineStr">
        <is>
          <t>Actual</t>
        </is>
      </c>
      <c r="O32" s="2" t="inlineStr">
        <is>
          <t>Standard</t>
        </is>
      </c>
      <c r="Q32" s="2" t="inlineStr">
        <is>
          <t>Insert</t>
        </is>
      </c>
      <c r="R32" s="2">
        <f>'FY27 Revenue'!C32</f>
        <v/>
      </c>
      <c r="S32" s="2">
        <f>'FY27 Revenue'!C32</f>
        <v/>
      </c>
      <c r="T32" s="2">
        <f>'FY27 Revenue'!D32</f>
        <v/>
      </c>
    </row>
    <row r="33">
      <c r="A33" s="2" t="n">
        <v>37395</v>
      </c>
      <c r="B33" s="2" t="inlineStr">
        <is>
          <t>Downer</t>
        </is>
      </c>
      <c r="C33" s="2">
        <f>'FY27 Revenue'!E33</f>
        <v/>
      </c>
      <c r="D33" s="2">
        <f>IFERROR(INDEX('Extract_for_Locations 1 Oct 25'!$E$2:$E$3450,MATCH(C33,'Extract_for_Locations 1 Oct 25'!$B$2:$B$3450,0)),"")</f>
        <v/>
      </c>
      <c r="E33" s="2" t="n">
        <v>7868</v>
      </c>
      <c r="F33" s="2" t="inlineStr">
        <is>
          <t>Revenue - AUD Million</t>
        </is>
      </c>
      <c r="H33" s="2">
        <f>CONCATENATE("FY27REV_",'FY27 Revenue'!B33)</f>
        <v/>
      </c>
      <c r="I33" s="2">
        <f>CONCATENATE("FY27REV_",'FY27 Revenue'!B33)</f>
        <v/>
      </c>
      <c r="J33" s="2" t="inlineStr">
        <is>
          <t>Downer</t>
        </is>
      </c>
      <c r="K33" s="2" t="inlineStr">
        <is>
          <t>Revenue</t>
        </is>
      </c>
      <c r="L33" s="2" t="inlineStr">
        <is>
          <t>2026-07-01</t>
        </is>
      </c>
      <c r="M33" s="2" t="inlineStr">
        <is>
          <t>2026-07-31</t>
        </is>
      </c>
      <c r="N33" s="2" t="inlineStr">
        <is>
          <t>Actual</t>
        </is>
      </c>
      <c r="O33" s="2" t="inlineStr">
        <is>
          <t>Standard</t>
        </is>
      </c>
      <c r="Q33" s="2" t="inlineStr">
        <is>
          <t>Insert</t>
        </is>
      </c>
      <c r="R33" s="2">
        <f>'FY27 Revenue'!C33</f>
        <v/>
      </c>
      <c r="S33" s="2">
        <f>'FY27 Revenue'!C33</f>
        <v/>
      </c>
      <c r="T33" s="2">
        <f>'FY27 Revenue'!D33</f>
        <v/>
      </c>
    </row>
    <row r="34">
      <c r="A34" s="2" t="n">
        <v>37395</v>
      </c>
      <c r="B34" s="2" t="inlineStr">
        <is>
          <t>Downer</t>
        </is>
      </c>
      <c r="C34" s="2">
        <f>'FY27 Revenue'!E34</f>
        <v/>
      </c>
      <c r="D34" s="2">
        <f>IFERROR(INDEX('Extract_for_Locations 1 Oct 25'!$E$2:$E$3450,MATCH(C34,'Extract_for_Locations 1 Oct 25'!$B$2:$B$3450,0)),"")</f>
        <v/>
      </c>
      <c r="E34" s="2" t="n">
        <v>7868</v>
      </c>
      <c r="F34" s="2" t="inlineStr">
        <is>
          <t>Revenue - AUD Million</t>
        </is>
      </c>
      <c r="H34" s="2">
        <f>CONCATENATE("FY27REV_",'FY27 Revenue'!B34)</f>
        <v/>
      </c>
      <c r="I34" s="2">
        <f>CONCATENATE("FY27REV_",'FY27 Revenue'!B34)</f>
        <v/>
      </c>
      <c r="J34" s="2" t="inlineStr">
        <is>
          <t>Downer</t>
        </is>
      </c>
      <c r="K34" s="2" t="inlineStr">
        <is>
          <t>Revenue</t>
        </is>
      </c>
      <c r="L34" s="2" t="inlineStr">
        <is>
          <t>2026-07-01</t>
        </is>
      </c>
      <c r="M34" s="2" t="inlineStr">
        <is>
          <t>2026-07-31</t>
        </is>
      </c>
      <c r="N34" s="2" t="inlineStr">
        <is>
          <t>Actual</t>
        </is>
      </c>
      <c r="O34" s="2" t="inlineStr">
        <is>
          <t>Standard</t>
        </is>
      </c>
      <c r="Q34" s="2" t="inlineStr">
        <is>
          <t>Insert</t>
        </is>
      </c>
      <c r="R34" s="2">
        <f>'FY27 Revenue'!C34</f>
        <v/>
      </c>
      <c r="S34" s="2">
        <f>'FY27 Revenue'!C34</f>
        <v/>
      </c>
      <c r="T34" s="2">
        <f>'FY27 Revenue'!D34</f>
        <v/>
      </c>
    </row>
    <row r="35">
      <c r="A35" s="2" t="n">
        <v>37395</v>
      </c>
      <c r="B35" s="2" t="inlineStr">
        <is>
          <t>Downer</t>
        </is>
      </c>
      <c r="C35" s="2">
        <f>'FY27 Revenue'!E35</f>
        <v/>
      </c>
      <c r="D35" s="2">
        <f>IFERROR(INDEX('Extract_for_Locations 1 Oct 25'!$E$2:$E$3450,MATCH(C35,'Extract_for_Locations 1 Oct 25'!$B$2:$B$3450,0)),"")</f>
        <v/>
      </c>
      <c r="E35" s="2" t="n">
        <v>7868</v>
      </c>
      <c r="F35" s="2" t="inlineStr">
        <is>
          <t>Revenue - AUD Million</t>
        </is>
      </c>
      <c r="H35" s="2">
        <f>CONCATENATE("FY27REV_",'FY27 Revenue'!B35)</f>
        <v/>
      </c>
      <c r="I35" s="2">
        <f>CONCATENATE("FY27REV_",'FY27 Revenue'!B35)</f>
        <v/>
      </c>
      <c r="J35" s="2" t="inlineStr">
        <is>
          <t>Downer</t>
        </is>
      </c>
      <c r="K35" s="2" t="inlineStr">
        <is>
          <t>Revenue</t>
        </is>
      </c>
      <c r="L35" s="2" t="inlineStr">
        <is>
          <t>2026-07-01</t>
        </is>
      </c>
      <c r="M35" s="2" t="inlineStr">
        <is>
          <t>2026-07-31</t>
        </is>
      </c>
      <c r="N35" s="2" t="inlineStr">
        <is>
          <t>Actual</t>
        </is>
      </c>
      <c r="O35" s="2" t="inlineStr">
        <is>
          <t>Standard</t>
        </is>
      </c>
      <c r="Q35" s="2" t="inlineStr">
        <is>
          <t>Insert</t>
        </is>
      </c>
      <c r="R35" s="2">
        <f>'FY27 Revenue'!C35</f>
        <v/>
      </c>
      <c r="S35" s="2">
        <f>'FY27 Revenue'!C35</f>
        <v/>
      </c>
      <c r="T35" s="2">
        <f>'FY27 Revenue'!D35</f>
        <v/>
      </c>
    </row>
    <row r="36">
      <c r="A36" s="2" t="n">
        <v>37395</v>
      </c>
      <c r="B36" s="2" t="inlineStr">
        <is>
          <t>Downer</t>
        </is>
      </c>
      <c r="C36" s="2">
        <f>'FY27 Revenue'!E36</f>
        <v/>
      </c>
      <c r="D36" s="2">
        <f>IFERROR(INDEX('Extract_for_Locations 1 Oct 25'!$E$2:$E$3450,MATCH(C36,'Extract_for_Locations 1 Oct 25'!$B$2:$B$3450,0)),"")</f>
        <v/>
      </c>
      <c r="E36" s="2" t="n">
        <v>7868</v>
      </c>
      <c r="F36" s="2" t="inlineStr">
        <is>
          <t>Revenue - AUD Million</t>
        </is>
      </c>
      <c r="H36" s="2">
        <f>CONCATENATE("FY27REV_",'FY27 Revenue'!B36)</f>
        <v/>
      </c>
      <c r="I36" s="2">
        <f>CONCATENATE("FY27REV_",'FY27 Revenue'!B36)</f>
        <v/>
      </c>
      <c r="J36" s="2" t="inlineStr">
        <is>
          <t>Downer</t>
        </is>
      </c>
      <c r="K36" s="2" t="inlineStr">
        <is>
          <t>Revenue</t>
        </is>
      </c>
      <c r="L36" s="2" t="inlineStr">
        <is>
          <t>2026-07-01</t>
        </is>
      </c>
      <c r="M36" s="2" t="inlineStr">
        <is>
          <t>2026-07-31</t>
        </is>
      </c>
      <c r="N36" s="2" t="inlineStr">
        <is>
          <t>Actual</t>
        </is>
      </c>
      <c r="O36" s="2" t="inlineStr">
        <is>
          <t>Standard</t>
        </is>
      </c>
      <c r="Q36" s="2" t="inlineStr">
        <is>
          <t>Insert</t>
        </is>
      </c>
      <c r="R36" s="2">
        <f>'FY27 Revenue'!C36</f>
        <v/>
      </c>
      <c r="S36" s="2">
        <f>'FY27 Revenue'!C36</f>
        <v/>
      </c>
      <c r="T36" s="2">
        <f>'FY27 Revenue'!D36</f>
        <v/>
      </c>
    </row>
    <row r="37">
      <c r="A37" s="2" t="n">
        <v>37395</v>
      </c>
      <c r="B37" s="2" t="inlineStr">
        <is>
          <t>Downer</t>
        </is>
      </c>
      <c r="C37" s="2">
        <f>'FY27 Revenue'!E37</f>
        <v/>
      </c>
      <c r="D37" s="2">
        <f>IFERROR(INDEX('Extract_for_Locations 1 Oct 25'!$E$2:$E$3450,MATCH(C37,'Extract_for_Locations 1 Oct 25'!$B$2:$B$3450,0)),"")</f>
        <v/>
      </c>
      <c r="E37" s="2" t="n">
        <v>7868</v>
      </c>
      <c r="F37" s="2" t="inlineStr">
        <is>
          <t>Revenue - AUD Million</t>
        </is>
      </c>
      <c r="H37" s="2">
        <f>CONCATENATE("FY27REV_",'FY27 Revenue'!B37)</f>
        <v/>
      </c>
      <c r="I37" s="2">
        <f>CONCATENATE("FY27REV_",'FY27 Revenue'!B37)</f>
        <v/>
      </c>
      <c r="J37" s="2" t="inlineStr">
        <is>
          <t>Downer</t>
        </is>
      </c>
      <c r="K37" s="2" t="inlineStr">
        <is>
          <t>Revenue</t>
        </is>
      </c>
      <c r="L37" s="2" t="inlineStr">
        <is>
          <t>2026-07-01</t>
        </is>
      </c>
      <c r="M37" s="2" t="inlineStr">
        <is>
          <t>2026-07-31</t>
        </is>
      </c>
      <c r="N37" s="2" t="inlineStr">
        <is>
          <t>Actual</t>
        </is>
      </c>
      <c r="O37" s="2" t="inlineStr">
        <is>
          <t>Standard</t>
        </is>
      </c>
      <c r="Q37" s="2" t="inlineStr">
        <is>
          <t>Insert</t>
        </is>
      </c>
      <c r="R37" s="2">
        <f>'FY27 Revenue'!C37</f>
        <v/>
      </c>
      <c r="S37" s="2">
        <f>'FY27 Revenue'!C37</f>
        <v/>
      </c>
      <c r="T37" s="2">
        <f>'FY27 Revenue'!D37</f>
        <v/>
      </c>
    </row>
    <row r="38">
      <c r="A38" s="2" t="n">
        <v>37395</v>
      </c>
      <c r="B38" s="2" t="inlineStr">
        <is>
          <t>Downer</t>
        </is>
      </c>
      <c r="C38" s="2">
        <f>'FY27 Revenue'!E38</f>
        <v/>
      </c>
      <c r="D38" s="2">
        <f>IFERROR(INDEX('Extract_for_Locations 1 Oct 25'!$E$2:$E$3450,MATCH(C38,'Extract_for_Locations 1 Oct 25'!$B$2:$B$3450,0)),"")</f>
        <v/>
      </c>
      <c r="E38" s="2" t="n">
        <v>7868</v>
      </c>
      <c r="F38" s="2" t="inlineStr">
        <is>
          <t>Revenue - AUD Million</t>
        </is>
      </c>
      <c r="H38" s="2">
        <f>CONCATENATE("FY27REV_",'FY27 Revenue'!B38)</f>
        <v/>
      </c>
      <c r="I38" s="2">
        <f>CONCATENATE("FY27REV_",'FY27 Revenue'!B38)</f>
        <v/>
      </c>
      <c r="J38" s="2" t="inlineStr">
        <is>
          <t>Downer</t>
        </is>
      </c>
      <c r="K38" s="2" t="inlineStr">
        <is>
          <t>Revenue</t>
        </is>
      </c>
      <c r="L38" s="2" t="inlineStr">
        <is>
          <t>2026-07-01</t>
        </is>
      </c>
      <c r="M38" s="2" t="inlineStr">
        <is>
          <t>2026-07-31</t>
        </is>
      </c>
      <c r="N38" s="2" t="inlineStr">
        <is>
          <t>Actual</t>
        </is>
      </c>
      <c r="O38" s="2" t="inlineStr">
        <is>
          <t>Standard</t>
        </is>
      </c>
      <c r="Q38" s="2" t="inlineStr">
        <is>
          <t>Insert</t>
        </is>
      </c>
      <c r="R38" s="2">
        <f>'FY27 Revenue'!C38</f>
        <v/>
      </c>
      <c r="S38" s="2">
        <f>'FY27 Revenue'!C38</f>
        <v/>
      </c>
      <c r="T38" s="2">
        <f>'FY27 Revenue'!D38</f>
        <v/>
      </c>
    </row>
    <row r="39">
      <c r="A39" s="2" t="n">
        <v>37395</v>
      </c>
      <c r="B39" s="2" t="inlineStr">
        <is>
          <t>Downer</t>
        </is>
      </c>
      <c r="C39" s="2">
        <f>'FY27 Revenue'!E39</f>
        <v/>
      </c>
      <c r="D39" s="2">
        <f>IFERROR(INDEX('Extract_for_Locations 1 Oct 25'!$E$2:$E$3450,MATCH(C39,'Extract_for_Locations 1 Oct 25'!$B$2:$B$3450,0)),"")</f>
        <v/>
      </c>
      <c r="E39" s="2" t="n">
        <v>7868</v>
      </c>
      <c r="F39" s="2" t="inlineStr">
        <is>
          <t>Revenue - AUD Million</t>
        </is>
      </c>
      <c r="H39" s="2">
        <f>CONCATENATE("FY27REV_",'FY27 Revenue'!B39)</f>
        <v/>
      </c>
      <c r="I39" s="2">
        <f>CONCATENATE("FY27REV_",'FY27 Revenue'!B39)</f>
        <v/>
      </c>
      <c r="J39" s="2" t="inlineStr">
        <is>
          <t>Downer</t>
        </is>
      </c>
      <c r="K39" s="2" t="inlineStr">
        <is>
          <t>Revenue</t>
        </is>
      </c>
      <c r="L39" s="2" t="inlineStr">
        <is>
          <t>2026-07-01</t>
        </is>
      </c>
      <c r="M39" s="2" t="inlineStr">
        <is>
          <t>2026-07-31</t>
        </is>
      </c>
      <c r="N39" s="2" t="inlineStr">
        <is>
          <t>Actual</t>
        </is>
      </c>
      <c r="O39" s="2" t="inlineStr">
        <is>
          <t>Standard</t>
        </is>
      </c>
      <c r="Q39" s="2" t="inlineStr">
        <is>
          <t>Insert</t>
        </is>
      </c>
      <c r="R39" s="2">
        <f>'FY27 Revenue'!C39</f>
        <v/>
      </c>
      <c r="S39" s="2">
        <f>'FY27 Revenue'!C39</f>
        <v/>
      </c>
      <c r="T39" s="2">
        <f>'FY27 Revenue'!D39</f>
        <v/>
      </c>
    </row>
    <row r="40">
      <c r="A40" s="2" t="n">
        <v>37395</v>
      </c>
      <c r="B40" s="2" t="inlineStr">
        <is>
          <t>Downer</t>
        </is>
      </c>
      <c r="C40" s="2">
        <f>'FY27 Revenue'!E40</f>
        <v/>
      </c>
      <c r="D40" s="2">
        <f>IFERROR(INDEX('Extract_for_Locations 1 Oct 25'!$E$2:$E$3450,MATCH(C40,'Extract_for_Locations 1 Oct 25'!$B$2:$B$3450,0)),"")</f>
        <v/>
      </c>
      <c r="E40" s="2" t="n">
        <v>7868</v>
      </c>
      <c r="F40" s="2" t="inlineStr">
        <is>
          <t>Revenue - AUD Million</t>
        </is>
      </c>
      <c r="H40" s="2">
        <f>CONCATENATE("FY27REV_",'FY27 Revenue'!B40)</f>
        <v/>
      </c>
      <c r="I40" s="2">
        <f>CONCATENATE("FY27REV_",'FY27 Revenue'!B40)</f>
        <v/>
      </c>
      <c r="J40" s="2" t="inlineStr">
        <is>
          <t>Downer</t>
        </is>
      </c>
      <c r="K40" s="2" t="inlineStr">
        <is>
          <t>Revenue</t>
        </is>
      </c>
      <c r="L40" s="2" t="inlineStr">
        <is>
          <t>2026-07-01</t>
        </is>
      </c>
      <c r="M40" s="2" t="inlineStr">
        <is>
          <t>2026-07-31</t>
        </is>
      </c>
      <c r="N40" s="2" t="inlineStr">
        <is>
          <t>Actual</t>
        </is>
      </c>
      <c r="O40" s="2" t="inlineStr">
        <is>
          <t>Standard</t>
        </is>
      </c>
      <c r="Q40" s="2" t="inlineStr">
        <is>
          <t>Insert</t>
        </is>
      </c>
      <c r="R40" s="2">
        <f>'FY27 Revenue'!C40</f>
        <v/>
      </c>
      <c r="S40" s="2">
        <f>'FY27 Revenue'!C40</f>
        <v/>
      </c>
      <c r="T40" s="2">
        <f>'FY27 Revenue'!D40</f>
        <v/>
      </c>
    </row>
    <row r="41">
      <c r="A41" s="2" t="n">
        <v>37395</v>
      </c>
      <c r="B41" s="2" t="inlineStr">
        <is>
          <t>Downer</t>
        </is>
      </c>
      <c r="C41" s="2">
        <f>'FY27 Revenue'!E41</f>
        <v/>
      </c>
      <c r="D41" s="2">
        <f>IFERROR(INDEX('Extract_for_Locations 1 Oct 25'!$E$2:$E$3450,MATCH(C41,'Extract_for_Locations 1 Oct 25'!$B$2:$B$3450,0)),"")</f>
        <v/>
      </c>
      <c r="E41" s="2" t="n">
        <v>7868</v>
      </c>
      <c r="F41" s="2" t="inlineStr">
        <is>
          <t>Revenue - AUD Million</t>
        </is>
      </c>
      <c r="H41" s="2">
        <f>CONCATENATE("FY27REV_",'FY27 Revenue'!B41)</f>
        <v/>
      </c>
      <c r="I41" s="2">
        <f>CONCATENATE("FY27REV_",'FY27 Revenue'!B41)</f>
        <v/>
      </c>
      <c r="J41" s="2" t="inlineStr">
        <is>
          <t>Downer</t>
        </is>
      </c>
      <c r="K41" s="2" t="inlineStr">
        <is>
          <t>Revenue</t>
        </is>
      </c>
      <c r="L41" s="2" t="inlineStr">
        <is>
          <t>2026-07-01</t>
        </is>
      </c>
      <c r="M41" s="2" t="inlineStr">
        <is>
          <t>2026-07-31</t>
        </is>
      </c>
      <c r="N41" s="2" t="inlineStr">
        <is>
          <t>Actual</t>
        </is>
      </c>
      <c r="O41" s="2" t="inlineStr">
        <is>
          <t>Standard</t>
        </is>
      </c>
      <c r="Q41" s="2" t="inlineStr">
        <is>
          <t>Insert</t>
        </is>
      </c>
      <c r="R41" s="2">
        <f>'FY27 Revenue'!C41</f>
        <v/>
      </c>
      <c r="S41" s="2">
        <f>'FY27 Revenue'!C41</f>
        <v/>
      </c>
      <c r="T41" s="2">
        <f>'FY27 Revenue'!D41</f>
        <v/>
      </c>
    </row>
    <row r="42">
      <c r="A42" s="2" t="n">
        <v>37395</v>
      </c>
      <c r="B42" s="2" t="inlineStr">
        <is>
          <t>Downer</t>
        </is>
      </c>
      <c r="C42" s="2">
        <f>'FY27 Revenue'!E42</f>
        <v/>
      </c>
      <c r="D42" s="2">
        <f>IFERROR(INDEX('Extract_for_Locations 1 Oct 25'!$E$2:$E$3450,MATCH(C42,'Extract_for_Locations 1 Oct 25'!$B$2:$B$3450,0)),"")</f>
        <v/>
      </c>
      <c r="E42" s="2" t="n">
        <v>7868</v>
      </c>
      <c r="F42" s="2" t="inlineStr">
        <is>
          <t>Revenue - AUD Million</t>
        </is>
      </c>
      <c r="H42" s="2">
        <f>CONCATENATE("FY27REV_",'FY27 Revenue'!B42)</f>
        <v/>
      </c>
      <c r="I42" s="2">
        <f>CONCATENATE("FY27REV_",'FY27 Revenue'!B42)</f>
        <v/>
      </c>
      <c r="J42" s="2" t="inlineStr">
        <is>
          <t>Downer</t>
        </is>
      </c>
      <c r="K42" s="2" t="inlineStr">
        <is>
          <t>Revenue</t>
        </is>
      </c>
      <c r="L42" s="2" t="inlineStr">
        <is>
          <t>2026-07-01</t>
        </is>
      </c>
      <c r="M42" s="2" t="inlineStr">
        <is>
          <t>2026-07-31</t>
        </is>
      </c>
      <c r="N42" s="2" t="inlineStr">
        <is>
          <t>Actual</t>
        </is>
      </c>
      <c r="O42" s="2" t="inlineStr">
        <is>
          <t>Standard</t>
        </is>
      </c>
      <c r="Q42" s="2" t="inlineStr">
        <is>
          <t>Insert</t>
        </is>
      </c>
      <c r="R42" s="2">
        <f>'FY27 Revenue'!C42</f>
        <v/>
      </c>
      <c r="S42" s="2">
        <f>'FY27 Revenue'!C42</f>
        <v/>
      </c>
      <c r="T42" s="2">
        <f>'FY27 Revenue'!D42</f>
        <v/>
      </c>
    </row>
    <row r="43">
      <c r="A43" s="2" t="n">
        <v>37395</v>
      </c>
      <c r="B43" s="2" t="inlineStr">
        <is>
          <t>Downer</t>
        </is>
      </c>
      <c r="C43" s="2">
        <f>'FY27 Revenue'!E43</f>
        <v/>
      </c>
      <c r="D43" s="2">
        <f>IFERROR(INDEX('Extract_for_Locations 1 Oct 25'!$E$2:$E$3450,MATCH(C43,'Extract_for_Locations 1 Oct 25'!$B$2:$B$3450,0)),"")</f>
        <v/>
      </c>
      <c r="E43" s="2" t="n">
        <v>7868</v>
      </c>
      <c r="F43" s="2" t="inlineStr">
        <is>
          <t>Revenue - AUD Million</t>
        </is>
      </c>
      <c r="H43" s="2">
        <f>CONCATENATE("FY27REV_",'FY27 Revenue'!B43)</f>
        <v/>
      </c>
      <c r="I43" s="2">
        <f>CONCATENATE("FY27REV_",'FY27 Revenue'!B43)</f>
        <v/>
      </c>
      <c r="J43" s="2" t="inlineStr">
        <is>
          <t>Downer</t>
        </is>
      </c>
      <c r="K43" s="2" t="inlineStr">
        <is>
          <t>Revenue</t>
        </is>
      </c>
      <c r="L43" s="2" t="inlineStr">
        <is>
          <t>2026-07-01</t>
        </is>
      </c>
      <c r="M43" s="2" t="inlineStr">
        <is>
          <t>2026-07-31</t>
        </is>
      </c>
      <c r="N43" s="2" t="inlineStr">
        <is>
          <t>Actual</t>
        </is>
      </c>
      <c r="O43" s="2" t="inlineStr">
        <is>
          <t>Standard</t>
        </is>
      </c>
      <c r="Q43" s="2" t="inlineStr">
        <is>
          <t>Insert</t>
        </is>
      </c>
      <c r="R43" s="2">
        <f>'FY27 Revenue'!C43</f>
        <v/>
      </c>
      <c r="S43" s="2">
        <f>'FY27 Revenue'!C43</f>
        <v/>
      </c>
      <c r="T43" s="2">
        <f>'FY27 Revenue'!D43</f>
        <v/>
      </c>
    </row>
    <row r="44">
      <c r="A44" s="2" t="n">
        <v>37395</v>
      </c>
      <c r="B44" s="2" t="inlineStr">
        <is>
          <t>Downer</t>
        </is>
      </c>
      <c r="C44" s="2">
        <f>'FY27 Revenue'!E44</f>
        <v/>
      </c>
      <c r="D44" s="2">
        <f>IFERROR(INDEX('Extract_for_Locations 1 Oct 25'!$E$2:$E$3450,MATCH(C44,'Extract_for_Locations 1 Oct 25'!$B$2:$B$3450,0)),"")</f>
        <v/>
      </c>
      <c r="E44" s="2" t="n">
        <v>7868</v>
      </c>
      <c r="F44" s="2" t="inlineStr">
        <is>
          <t>Revenue - AUD Million</t>
        </is>
      </c>
      <c r="H44" s="2">
        <f>CONCATENATE("FY27REV_",'FY27 Revenue'!B44)</f>
        <v/>
      </c>
      <c r="I44" s="2">
        <f>CONCATENATE("FY27REV_",'FY27 Revenue'!B44)</f>
        <v/>
      </c>
      <c r="J44" s="2" t="inlineStr">
        <is>
          <t>Downer</t>
        </is>
      </c>
      <c r="K44" s="2" t="inlineStr">
        <is>
          <t>Revenue</t>
        </is>
      </c>
      <c r="L44" s="2" t="inlineStr">
        <is>
          <t>2026-07-01</t>
        </is>
      </c>
      <c r="M44" s="2" t="inlineStr">
        <is>
          <t>2026-07-31</t>
        </is>
      </c>
      <c r="N44" s="2" t="inlineStr">
        <is>
          <t>Actual</t>
        </is>
      </c>
      <c r="O44" s="2" t="inlineStr">
        <is>
          <t>Standard</t>
        </is>
      </c>
      <c r="Q44" s="2" t="inlineStr">
        <is>
          <t>Insert</t>
        </is>
      </c>
      <c r="R44" s="2">
        <f>'FY27 Revenue'!C44</f>
        <v/>
      </c>
      <c r="S44" s="2">
        <f>'FY27 Revenue'!C44</f>
        <v/>
      </c>
      <c r="T44" s="2">
        <f>'FY27 Revenue'!D44</f>
        <v/>
      </c>
    </row>
    <row r="45">
      <c r="A45" s="2" t="n">
        <v>37395</v>
      </c>
      <c r="B45" s="2" t="inlineStr">
        <is>
          <t>Downer</t>
        </is>
      </c>
      <c r="C45" s="2">
        <f>'FY27 Revenue'!E45</f>
        <v/>
      </c>
      <c r="D45" s="2">
        <f>IFERROR(INDEX('Extract_for_Locations 1 Oct 25'!$E$2:$E$3450,MATCH(C45,'Extract_for_Locations 1 Oct 25'!$B$2:$B$3450,0)),"")</f>
        <v/>
      </c>
      <c r="E45" s="2" t="n">
        <v>7868</v>
      </c>
      <c r="F45" s="2" t="inlineStr">
        <is>
          <t>Revenue - AUD Million</t>
        </is>
      </c>
      <c r="H45" s="2">
        <f>CONCATENATE("FY27REV_",'FY27 Revenue'!B45)</f>
        <v/>
      </c>
      <c r="I45" s="2">
        <f>CONCATENATE("FY27REV_",'FY27 Revenue'!B45)</f>
        <v/>
      </c>
      <c r="J45" s="2" t="inlineStr">
        <is>
          <t>Downer</t>
        </is>
      </c>
      <c r="K45" s="2" t="inlineStr">
        <is>
          <t>Revenue</t>
        </is>
      </c>
      <c r="L45" s="2" t="inlineStr">
        <is>
          <t>2026-07-01</t>
        </is>
      </c>
      <c r="M45" s="2" t="inlineStr">
        <is>
          <t>2026-07-31</t>
        </is>
      </c>
      <c r="N45" s="2" t="inlineStr">
        <is>
          <t>Actual</t>
        </is>
      </c>
      <c r="O45" s="2" t="inlineStr">
        <is>
          <t>Standard</t>
        </is>
      </c>
      <c r="Q45" s="2" t="inlineStr">
        <is>
          <t>Insert</t>
        </is>
      </c>
      <c r="R45" s="2">
        <f>'FY27 Revenue'!C45</f>
        <v/>
      </c>
      <c r="S45" s="2">
        <f>'FY27 Revenue'!C45</f>
        <v/>
      </c>
      <c r="T45" s="2">
        <f>'FY27 Revenue'!D45</f>
        <v/>
      </c>
    </row>
    <row r="46">
      <c r="A46" s="2" t="n">
        <v>37395</v>
      </c>
      <c r="B46" s="2" t="inlineStr">
        <is>
          <t>Downer</t>
        </is>
      </c>
      <c r="C46" s="2">
        <f>'FY27 Revenue'!E46</f>
        <v/>
      </c>
      <c r="D46" s="2">
        <f>IFERROR(INDEX('Extract_for_Locations 1 Oct 25'!$E$2:$E$3450,MATCH(C46,'Extract_for_Locations 1 Oct 25'!$B$2:$B$3450,0)),"")</f>
        <v/>
      </c>
      <c r="E46" s="2" t="n">
        <v>7868</v>
      </c>
      <c r="F46" s="2" t="inlineStr">
        <is>
          <t>Revenue - AUD Million</t>
        </is>
      </c>
      <c r="H46" s="2">
        <f>CONCATENATE("FY27REV_",'FY27 Revenue'!B46)</f>
        <v/>
      </c>
      <c r="I46" s="2">
        <f>CONCATENATE("FY27REV_",'FY27 Revenue'!B46)</f>
        <v/>
      </c>
      <c r="J46" s="2" t="inlineStr">
        <is>
          <t>Downer</t>
        </is>
      </c>
      <c r="K46" s="2" t="inlineStr">
        <is>
          <t>Revenue</t>
        </is>
      </c>
      <c r="L46" s="2" t="inlineStr">
        <is>
          <t>2026-07-01</t>
        </is>
      </c>
      <c r="M46" s="2" t="inlineStr">
        <is>
          <t>2026-07-31</t>
        </is>
      </c>
      <c r="N46" s="2" t="inlineStr">
        <is>
          <t>Actual</t>
        </is>
      </c>
      <c r="O46" s="2" t="inlineStr">
        <is>
          <t>Standard</t>
        </is>
      </c>
      <c r="Q46" s="2" t="inlineStr">
        <is>
          <t>Insert</t>
        </is>
      </c>
      <c r="R46" s="2">
        <f>'FY27 Revenue'!C46</f>
        <v/>
      </c>
      <c r="S46" s="2">
        <f>'FY27 Revenue'!C46</f>
        <v/>
      </c>
      <c r="T46" s="2">
        <f>'FY27 Revenue'!D46</f>
        <v/>
      </c>
    </row>
    <row r="47">
      <c r="A47" s="2" t="n">
        <v>37395</v>
      </c>
      <c r="B47" s="2" t="inlineStr">
        <is>
          <t>Downer</t>
        </is>
      </c>
      <c r="C47" s="2">
        <f>'FY27 Revenue'!E47</f>
        <v/>
      </c>
      <c r="D47" s="2">
        <f>IFERROR(INDEX('Extract_for_Locations 1 Oct 25'!$E$2:$E$3450,MATCH(C47,'Extract_for_Locations 1 Oct 25'!$B$2:$B$3450,0)),"")</f>
        <v/>
      </c>
      <c r="E47" s="2" t="n">
        <v>7868</v>
      </c>
      <c r="F47" s="2" t="inlineStr">
        <is>
          <t>Revenue - AUD Million</t>
        </is>
      </c>
      <c r="H47" s="2">
        <f>CONCATENATE("FY27REV_",'FY27 Revenue'!B47)</f>
        <v/>
      </c>
      <c r="I47" s="2">
        <f>CONCATENATE("FY27REV_",'FY27 Revenue'!B47)</f>
        <v/>
      </c>
      <c r="J47" s="2" t="inlineStr">
        <is>
          <t>Downer</t>
        </is>
      </c>
      <c r="K47" s="2" t="inlineStr">
        <is>
          <t>Revenue</t>
        </is>
      </c>
      <c r="L47" s="2" t="inlineStr">
        <is>
          <t>2026-07-01</t>
        </is>
      </c>
      <c r="M47" s="2" t="inlineStr">
        <is>
          <t>2026-07-31</t>
        </is>
      </c>
      <c r="N47" s="2" t="inlineStr">
        <is>
          <t>Actual</t>
        </is>
      </c>
      <c r="O47" s="2" t="inlineStr">
        <is>
          <t>Standard</t>
        </is>
      </c>
      <c r="Q47" s="2" t="inlineStr">
        <is>
          <t>Insert</t>
        </is>
      </c>
      <c r="R47" s="2">
        <f>'FY27 Revenue'!C47</f>
        <v/>
      </c>
      <c r="S47" s="2">
        <f>'FY27 Revenue'!C47</f>
        <v/>
      </c>
      <c r="T47" s="2">
        <f>'FY27 Revenue'!D47</f>
        <v/>
      </c>
    </row>
    <row r="48">
      <c r="A48" s="2" t="n">
        <v>37395</v>
      </c>
      <c r="B48" s="2" t="inlineStr">
        <is>
          <t>Downer</t>
        </is>
      </c>
      <c r="C48" s="2">
        <f>'FY27 Revenue'!E48</f>
        <v/>
      </c>
      <c r="D48" s="2">
        <f>IFERROR(INDEX('Extract_for_Locations 1 Oct 25'!$E$2:$E$3450,MATCH(C48,'Extract_for_Locations 1 Oct 25'!$B$2:$B$3450,0)),"")</f>
        <v/>
      </c>
      <c r="E48" s="2" t="n">
        <v>7868</v>
      </c>
      <c r="F48" s="2" t="inlineStr">
        <is>
          <t>Revenue - AUD Million</t>
        </is>
      </c>
      <c r="H48" s="2">
        <f>CONCATENATE("FY27REV_",'FY27 Revenue'!B48)</f>
        <v/>
      </c>
      <c r="I48" s="2">
        <f>CONCATENATE("FY27REV_",'FY27 Revenue'!B48)</f>
        <v/>
      </c>
      <c r="J48" s="2" t="inlineStr">
        <is>
          <t>Downer</t>
        </is>
      </c>
      <c r="K48" s="2" t="inlineStr">
        <is>
          <t>Revenue</t>
        </is>
      </c>
      <c r="L48" s="2" t="inlineStr">
        <is>
          <t>2026-07-01</t>
        </is>
      </c>
      <c r="M48" s="2" t="inlineStr">
        <is>
          <t>2026-07-31</t>
        </is>
      </c>
      <c r="N48" s="2" t="inlineStr">
        <is>
          <t>Actual</t>
        </is>
      </c>
      <c r="O48" s="2" t="inlineStr">
        <is>
          <t>Standard</t>
        </is>
      </c>
      <c r="Q48" s="2" t="inlineStr">
        <is>
          <t>Insert</t>
        </is>
      </c>
      <c r="R48" s="2">
        <f>'FY27 Revenue'!C48</f>
        <v/>
      </c>
      <c r="S48" s="2">
        <f>'FY27 Revenue'!C48</f>
        <v/>
      </c>
      <c r="T48" s="2">
        <f>'FY27 Revenue'!D48</f>
        <v/>
      </c>
    </row>
    <row r="49">
      <c r="A49" s="2" t="n">
        <v>37395</v>
      </c>
      <c r="B49" s="2" t="inlineStr">
        <is>
          <t>Downer</t>
        </is>
      </c>
      <c r="C49" s="2">
        <f>'FY27 Revenue'!E49</f>
        <v/>
      </c>
      <c r="D49" s="2">
        <f>IFERROR(INDEX('Extract_for_Locations 1 Oct 25'!$E$2:$E$3450,MATCH(C49,'Extract_for_Locations 1 Oct 25'!$B$2:$B$3450,0)),"")</f>
        <v/>
      </c>
      <c r="E49" s="2" t="n">
        <v>7868</v>
      </c>
      <c r="F49" s="2" t="inlineStr">
        <is>
          <t>Revenue - AUD Million</t>
        </is>
      </c>
      <c r="H49" s="2">
        <f>CONCATENATE("FY27REV_",'FY27 Revenue'!B49)</f>
        <v/>
      </c>
      <c r="I49" s="2">
        <f>CONCATENATE("FY27REV_",'FY27 Revenue'!B49)</f>
        <v/>
      </c>
      <c r="J49" s="2" t="inlineStr">
        <is>
          <t>Downer</t>
        </is>
      </c>
      <c r="K49" s="2" t="inlineStr">
        <is>
          <t>Revenue</t>
        </is>
      </c>
      <c r="L49" s="2" t="inlineStr">
        <is>
          <t>2026-07-01</t>
        </is>
      </c>
      <c r="M49" s="2" t="inlineStr">
        <is>
          <t>2026-07-31</t>
        </is>
      </c>
      <c r="N49" s="2" t="inlineStr">
        <is>
          <t>Actual</t>
        </is>
      </c>
      <c r="O49" s="2" t="inlineStr">
        <is>
          <t>Standard</t>
        </is>
      </c>
      <c r="Q49" s="2" t="inlineStr">
        <is>
          <t>Insert</t>
        </is>
      </c>
      <c r="R49" s="2">
        <f>'FY27 Revenue'!C49</f>
        <v/>
      </c>
      <c r="S49" s="2">
        <f>'FY27 Revenue'!C49</f>
        <v/>
      </c>
      <c r="T49" s="2">
        <f>'FY27 Revenue'!D49</f>
        <v/>
      </c>
    </row>
    <row r="50">
      <c r="A50" s="2" t="n">
        <v>37395</v>
      </c>
      <c r="B50" s="2" t="inlineStr">
        <is>
          <t>Downer</t>
        </is>
      </c>
      <c r="C50" s="2">
        <f>'FY27 Revenue'!E50</f>
        <v/>
      </c>
      <c r="D50" s="2">
        <f>IFERROR(INDEX('Extract_for_Locations 1 Oct 25'!$E$2:$E$3450,MATCH(C50,'Extract_for_Locations 1 Oct 25'!$B$2:$B$3450,0)),"")</f>
        <v/>
      </c>
      <c r="E50" s="2" t="n">
        <v>7868</v>
      </c>
      <c r="F50" s="2" t="inlineStr">
        <is>
          <t>Revenue - AUD Million</t>
        </is>
      </c>
      <c r="H50" s="2">
        <f>CONCATENATE("FY27REV_",'FY27 Revenue'!B50)</f>
        <v/>
      </c>
      <c r="I50" s="2">
        <f>CONCATENATE("FY27REV_",'FY27 Revenue'!B50)</f>
        <v/>
      </c>
      <c r="J50" s="2" t="inlineStr">
        <is>
          <t>Downer</t>
        </is>
      </c>
      <c r="K50" s="2" t="inlineStr">
        <is>
          <t>Revenue</t>
        </is>
      </c>
      <c r="L50" s="2" t="inlineStr">
        <is>
          <t>2026-07-01</t>
        </is>
      </c>
      <c r="M50" s="2" t="inlineStr">
        <is>
          <t>2026-07-31</t>
        </is>
      </c>
      <c r="N50" s="2" t="inlineStr">
        <is>
          <t>Actual</t>
        </is>
      </c>
      <c r="O50" s="2" t="inlineStr">
        <is>
          <t>Standard</t>
        </is>
      </c>
      <c r="Q50" s="2" t="inlineStr">
        <is>
          <t>Insert</t>
        </is>
      </c>
      <c r="R50" s="2">
        <f>'FY27 Revenue'!C50</f>
        <v/>
      </c>
      <c r="S50" s="2">
        <f>'FY27 Revenue'!C50</f>
        <v/>
      </c>
      <c r="T50" s="2">
        <f>'FY27 Revenue'!D50</f>
        <v/>
      </c>
    </row>
    <row r="51">
      <c r="A51" s="2" t="n">
        <v>37395</v>
      </c>
      <c r="B51" s="2" t="inlineStr">
        <is>
          <t>Downer</t>
        </is>
      </c>
      <c r="C51" s="2">
        <f>'FY27 Revenue'!E51</f>
        <v/>
      </c>
      <c r="D51" s="2">
        <f>IFERROR(INDEX('Extract_for_Locations 1 Oct 25'!$E$2:$E$3450,MATCH(C51,'Extract_for_Locations 1 Oct 25'!$B$2:$B$3450,0)),"")</f>
        <v/>
      </c>
      <c r="E51" s="2" t="n">
        <v>7868</v>
      </c>
      <c r="F51" s="2" t="inlineStr">
        <is>
          <t>Revenue - AUD Million</t>
        </is>
      </c>
      <c r="H51" s="2">
        <f>CONCATENATE("FY27REV_",'FY27 Revenue'!B51)</f>
        <v/>
      </c>
      <c r="I51" s="2">
        <f>CONCATENATE("FY27REV_",'FY27 Revenue'!B51)</f>
        <v/>
      </c>
      <c r="J51" s="2" t="inlineStr">
        <is>
          <t>Downer</t>
        </is>
      </c>
      <c r="K51" s="2" t="inlineStr">
        <is>
          <t>Revenue</t>
        </is>
      </c>
      <c r="L51" s="2" t="inlineStr">
        <is>
          <t>2026-07-01</t>
        </is>
      </c>
      <c r="M51" s="2" t="inlineStr">
        <is>
          <t>2026-07-31</t>
        </is>
      </c>
      <c r="N51" s="2" t="inlineStr">
        <is>
          <t>Actual</t>
        </is>
      </c>
      <c r="O51" s="2" t="inlineStr">
        <is>
          <t>Standard</t>
        </is>
      </c>
      <c r="Q51" s="2" t="inlineStr">
        <is>
          <t>Insert</t>
        </is>
      </c>
      <c r="R51" s="2">
        <f>'FY27 Revenue'!C51</f>
        <v/>
      </c>
      <c r="S51" s="2">
        <f>'FY27 Revenue'!C51</f>
        <v/>
      </c>
      <c r="T51" s="2">
        <f>'FY27 Revenue'!D51</f>
        <v/>
      </c>
    </row>
    <row r="52">
      <c r="A52" s="2" t="n">
        <v>37395</v>
      </c>
      <c r="B52" s="2" t="inlineStr">
        <is>
          <t>Downer</t>
        </is>
      </c>
      <c r="C52" s="2">
        <f>'FY27 Revenue'!E52</f>
        <v/>
      </c>
      <c r="D52" s="2">
        <f>IFERROR(INDEX('Extract_for_Locations 1 Oct 25'!$E$2:$E$3450,MATCH(C52,'Extract_for_Locations 1 Oct 25'!$B$2:$B$3450,0)),"")</f>
        <v/>
      </c>
      <c r="E52" s="2" t="n">
        <v>7868</v>
      </c>
      <c r="F52" s="2" t="inlineStr">
        <is>
          <t>Revenue - AUD Million</t>
        </is>
      </c>
      <c r="H52" s="2">
        <f>CONCATENATE("FY27REV_",'FY27 Revenue'!B52)</f>
        <v/>
      </c>
      <c r="I52" s="2">
        <f>CONCATENATE("FY27REV_",'FY27 Revenue'!B52)</f>
        <v/>
      </c>
      <c r="J52" s="2" t="inlineStr">
        <is>
          <t>Downer</t>
        </is>
      </c>
      <c r="K52" s="2" t="inlineStr">
        <is>
          <t>Revenue</t>
        </is>
      </c>
      <c r="L52" s="2" t="inlineStr">
        <is>
          <t>2026-07-01</t>
        </is>
      </c>
      <c r="M52" s="2" t="inlineStr">
        <is>
          <t>2026-07-31</t>
        </is>
      </c>
      <c r="N52" s="2" t="inlineStr">
        <is>
          <t>Actual</t>
        </is>
      </c>
      <c r="O52" s="2" t="inlineStr">
        <is>
          <t>Standard</t>
        </is>
      </c>
      <c r="Q52" s="2" t="inlineStr">
        <is>
          <t>Insert</t>
        </is>
      </c>
      <c r="R52" s="2">
        <f>'FY27 Revenue'!C52</f>
        <v/>
      </c>
      <c r="S52" s="2">
        <f>'FY27 Revenue'!C52</f>
        <v/>
      </c>
      <c r="T52" s="2">
        <f>'FY27 Revenue'!D52</f>
        <v/>
      </c>
    </row>
    <row r="53">
      <c r="A53" s="2" t="n">
        <v>37395</v>
      </c>
      <c r="B53" s="2" t="inlineStr">
        <is>
          <t>Downer</t>
        </is>
      </c>
      <c r="C53" s="2">
        <f>'FY27 Revenue'!E53</f>
        <v/>
      </c>
      <c r="D53" s="2">
        <f>IFERROR(INDEX('Extract_for_Locations 1 Oct 25'!$E$2:$E$3450,MATCH(C53,'Extract_for_Locations 1 Oct 25'!$B$2:$B$3450,0)),"")</f>
        <v/>
      </c>
      <c r="E53" s="2" t="n">
        <v>7868</v>
      </c>
      <c r="F53" s="2" t="inlineStr">
        <is>
          <t>Revenue - AUD Million</t>
        </is>
      </c>
      <c r="H53" s="2">
        <f>CONCATENATE("FY27REV_",'FY27 Revenue'!B53)</f>
        <v/>
      </c>
      <c r="I53" s="2">
        <f>CONCATENATE("FY27REV_",'FY27 Revenue'!B53)</f>
        <v/>
      </c>
      <c r="J53" s="2" t="inlineStr">
        <is>
          <t>Downer</t>
        </is>
      </c>
      <c r="K53" s="2" t="inlineStr">
        <is>
          <t>Revenue</t>
        </is>
      </c>
      <c r="L53" s="2" t="inlineStr">
        <is>
          <t>2026-07-01</t>
        </is>
      </c>
      <c r="M53" s="2" t="inlineStr">
        <is>
          <t>2026-07-31</t>
        </is>
      </c>
      <c r="N53" s="2" t="inlineStr">
        <is>
          <t>Actual</t>
        </is>
      </c>
      <c r="O53" s="2" t="inlineStr">
        <is>
          <t>Standard</t>
        </is>
      </c>
      <c r="Q53" s="2" t="inlineStr">
        <is>
          <t>Insert</t>
        </is>
      </c>
      <c r="R53" s="2">
        <f>'FY27 Revenue'!C53</f>
        <v/>
      </c>
      <c r="S53" s="2">
        <f>'FY27 Revenue'!C53</f>
        <v/>
      </c>
      <c r="T53" s="2">
        <f>'FY27 Revenue'!D53</f>
        <v/>
      </c>
    </row>
    <row r="54">
      <c r="A54" s="2" t="n">
        <v>37395</v>
      </c>
      <c r="B54" s="2" t="inlineStr">
        <is>
          <t>Downer</t>
        </is>
      </c>
      <c r="C54" s="2">
        <f>'FY27 Revenue'!E54</f>
        <v/>
      </c>
      <c r="D54" s="2">
        <f>IFERROR(INDEX('Extract_for_Locations 1 Oct 25'!$E$2:$E$3450,MATCH(C54,'Extract_for_Locations 1 Oct 25'!$B$2:$B$3450,0)),"")</f>
        <v/>
      </c>
      <c r="E54" s="2" t="n">
        <v>7868</v>
      </c>
      <c r="F54" s="2" t="inlineStr">
        <is>
          <t>Revenue - AUD Million</t>
        </is>
      </c>
      <c r="H54" s="2">
        <f>CONCATENATE("FY27REV_",'FY27 Revenue'!B54)</f>
        <v/>
      </c>
      <c r="I54" s="2">
        <f>CONCATENATE("FY27REV_",'FY27 Revenue'!B54)</f>
        <v/>
      </c>
      <c r="J54" s="2" t="inlineStr">
        <is>
          <t>Downer</t>
        </is>
      </c>
      <c r="K54" s="2" t="inlineStr">
        <is>
          <t>Revenue</t>
        </is>
      </c>
      <c r="L54" s="2" t="inlineStr">
        <is>
          <t>2026-07-01</t>
        </is>
      </c>
      <c r="M54" s="2" t="inlineStr">
        <is>
          <t>2026-07-31</t>
        </is>
      </c>
      <c r="N54" s="2" t="inlineStr">
        <is>
          <t>Actual</t>
        </is>
      </c>
      <c r="O54" s="2" t="inlineStr">
        <is>
          <t>Standard</t>
        </is>
      </c>
      <c r="Q54" s="2" t="inlineStr">
        <is>
          <t>Insert</t>
        </is>
      </c>
      <c r="R54" s="2">
        <f>'FY27 Revenue'!C54</f>
        <v/>
      </c>
      <c r="S54" s="2">
        <f>'FY27 Revenue'!C54</f>
        <v/>
      </c>
      <c r="T54" s="2">
        <f>'FY27 Revenue'!D54</f>
        <v/>
      </c>
    </row>
    <row r="55">
      <c r="A55" s="2" t="n">
        <v>37395</v>
      </c>
      <c r="B55" s="2" t="inlineStr">
        <is>
          <t>Downer</t>
        </is>
      </c>
      <c r="C55" s="2">
        <f>'FY27 Revenue'!E55</f>
        <v/>
      </c>
      <c r="D55" s="2">
        <f>IFERROR(INDEX('Extract_for_Locations 1 Oct 25'!$E$2:$E$3450,MATCH(C55,'Extract_for_Locations 1 Oct 25'!$B$2:$B$3450,0)),"")</f>
        <v/>
      </c>
      <c r="E55" s="2" t="n">
        <v>7868</v>
      </c>
      <c r="F55" s="2" t="inlineStr">
        <is>
          <t>Revenue - AUD Million</t>
        </is>
      </c>
      <c r="H55" s="2">
        <f>CONCATENATE("FY27REV_",'FY27 Revenue'!B55)</f>
        <v/>
      </c>
      <c r="I55" s="2">
        <f>CONCATENATE("FY27REV_",'FY27 Revenue'!B55)</f>
        <v/>
      </c>
      <c r="J55" s="2" t="inlineStr">
        <is>
          <t>Downer</t>
        </is>
      </c>
      <c r="K55" s="2" t="inlineStr">
        <is>
          <t>Revenue</t>
        </is>
      </c>
      <c r="L55" s="2" t="inlineStr">
        <is>
          <t>2026-07-01</t>
        </is>
      </c>
      <c r="M55" s="2" t="inlineStr">
        <is>
          <t>2026-07-31</t>
        </is>
      </c>
      <c r="N55" s="2" t="inlineStr">
        <is>
          <t>Actual</t>
        </is>
      </c>
      <c r="O55" s="2" t="inlineStr">
        <is>
          <t>Standard</t>
        </is>
      </c>
      <c r="Q55" s="2" t="inlineStr">
        <is>
          <t>Insert</t>
        </is>
      </c>
      <c r="R55" s="2">
        <f>'FY27 Revenue'!C55</f>
        <v/>
      </c>
      <c r="S55" s="2">
        <f>'FY27 Revenue'!C55</f>
        <v/>
      </c>
      <c r="T55" s="2">
        <f>'FY27 Revenue'!D55</f>
        <v/>
      </c>
    </row>
    <row r="56">
      <c r="A56" s="2" t="n">
        <v>37395</v>
      </c>
      <c r="B56" s="2" t="inlineStr">
        <is>
          <t>Downer</t>
        </is>
      </c>
      <c r="C56" s="2">
        <f>'FY27 Revenue'!E56</f>
        <v/>
      </c>
      <c r="D56" s="2">
        <f>IFERROR(INDEX('Extract_for_Locations 1 Oct 25'!$E$2:$E$3450,MATCH(C56,'Extract_for_Locations 1 Oct 25'!$B$2:$B$3450,0)),"")</f>
        <v/>
      </c>
      <c r="E56" s="2" t="n">
        <v>7868</v>
      </c>
      <c r="F56" s="2" t="inlineStr">
        <is>
          <t>Revenue - AUD Million</t>
        </is>
      </c>
      <c r="H56" s="2">
        <f>CONCATENATE("FY27REV_",'FY27 Revenue'!B56)</f>
        <v/>
      </c>
      <c r="I56" s="2">
        <f>CONCATENATE("FY27REV_",'FY27 Revenue'!B56)</f>
        <v/>
      </c>
      <c r="J56" s="2" t="inlineStr">
        <is>
          <t>Downer</t>
        </is>
      </c>
      <c r="K56" s="2" t="inlineStr">
        <is>
          <t>Revenue</t>
        </is>
      </c>
      <c r="L56" s="2" t="inlineStr">
        <is>
          <t>2026-07-01</t>
        </is>
      </c>
      <c r="M56" s="2" t="inlineStr">
        <is>
          <t>2026-07-31</t>
        </is>
      </c>
      <c r="N56" s="2" t="inlineStr">
        <is>
          <t>Actual</t>
        </is>
      </c>
      <c r="O56" s="2" t="inlineStr">
        <is>
          <t>Standard</t>
        </is>
      </c>
      <c r="Q56" s="2" t="inlineStr">
        <is>
          <t>Insert</t>
        </is>
      </c>
      <c r="R56" s="2">
        <f>'FY27 Revenue'!C56</f>
        <v/>
      </c>
      <c r="S56" s="2">
        <f>'FY27 Revenue'!C56</f>
        <v/>
      </c>
      <c r="T56" s="2">
        <f>'FY27 Revenue'!D56</f>
        <v/>
      </c>
    </row>
    <row r="57">
      <c r="A57" s="2" t="n">
        <v>37395</v>
      </c>
      <c r="B57" s="2" t="inlineStr">
        <is>
          <t>Downer</t>
        </is>
      </c>
      <c r="C57" s="2">
        <f>'FY27 Revenue'!E57</f>
        <v/>
      </c>
      <c r="D57" s="2">
        <f>IFERROR(INDEX('Extract_for_Locations 1 Oct 25'!$E$2:$E$3450,MATCH(C57,'Extract_for_Locations 1 Oct 25'!$B$2:$B$3450,0)),"")</f>
        <v/>
      </c>
      <c r="E57" s="2" t="n">
        <v>7868</v>
      </c>
      <c r="F57" s="2" t="inlineStr">
        <is>
          <t>Revenue - AUD Million</t>
        </is>
      </c>
      <c r="H57" s="2">
        <f>CONCATENATE("FY27REV_",'FY27 Revenue'!B57)</f>
        <v/>
      </c>
      <c r="I57" s="2">
        <f>CONCATENATE("FY27REV_",'FY27 Revenue'!B57)</f>
        <v/>
      </c>
      <c r="J57" s="2" t="inlineStr">
        <is>
          <t>Downer</t>
        </is>
      </c>
      <c r="K57" s="2" t="inlineStr">
        <is>
          <t>Revenue</t>
        </is>
      </c>
      <c r="L57" s="2" t="inlineStr">
        <is>
          <t>2026-07-01</t>
        </is>
      </c>
      <c r="M57" s="2" t="inlineStr">
        <is>
          <t>2026-07-31</t>
        </is>
      </c>
      <c r="N57" s="2" t="inlineStr">
        <is>
          <t>Actual</t>
        </is>
      </c>
      <c r="O57" s="2" t="inlineStr">
        <is>
          <t>Standard</t>
        </is>
      </c>
      <c r="Q57" s="2" t="inlineStr">
        <is>
          <t>Insert</t>
        </is>
      </c>
      <c r="R57" s="2">
        <f>'FY27 Revenue'!C57</f>
        <v/>
      </c>
      <c r="S57" s="2">
        <f>'FY27 Revenue'!C57</f>
        <v/>
      </c>
      <c r="T57" s="2">
        <f>'FY27 Revenue'!D57</f>
        <v/>
      </c>
    </row>
    <row r="58">
      <c r="A58" s="2" t="n">
        <v>37395</v>
      </c>
      <c r="B58" s="2" t="inlineStr">
        <is>
          <t>Downer</t>
        </is>
      </c>
      <c r="C58" s="2">
        <f>'FY27 Revenue'!E58</f>
        <v/>
      </c>
      <c r="D58" s="2">
        <f>IFERROR(INDEX('Extract_for_Locations 1 Oct 25'!$E$2:$E$3450,MATCH(C58,'Extract_for_Locations 1 Oct 25'!$B$2:$B$3450,0)),"")</f>
        <v/>
      </c>
      <c r="E58" s="2" t="n">
        <v>7868</v>
      </c>
      <c r="F58" s="2" t="inlineStr">
        <is>
          <t>Revenue - AUD Million</t>
        </is>
      </c>
      <c r="H58" s="2">
        <f>CONCATENATE("FY27REV_",'FY27 Revenue'!B58)</f>
        <v/>
      </c>
      <c r="I58" s="2">
        <f>CONCATENATE("FY27REV_",'FY27 Revenue'!B58)</f>
        <v/>
      </c>
      <c r="J58" s="2" t="inlineStr">
        <is>
          <t>Downer</t>
        </is>
      </c>
      <c r="K58" s="2" t="inlineStr">
        <is>
          <t>Revenue</t>
        </is>
      </c>
      <c r="L58" s="2" t="inlineStr">
        <is>
          <t>2026-07-01</t>
        </is>
      </c>
      <c r="M58" s="2" t="inlineStr">
        <is>
          <t>2026-07-31</t>
        </is>
      </c>
      <c r="N58" s="2" t="inlineStr">
        <is>
          <t>Actual</t>
        </is>
      </c>
      <c r="O58" s="2" t="inlineStr">
        <is>
          <t>Standard</t>
        </is>
      </c>
      <c r="Q58" s="2" t="inlineStr">
        <is>
          <t>Insert</t>
        </is>
      </c>
      <c r="R58" s="2">
        <f>'FY27 Revenue'!C58</f>
        <v/>
      </c>
      <c r="S58" s="2">
        <f>'FY27 Revenue'!C58</f>
        <v/>
      </c>
      <c r="T58" s="2">
        <f>'FY27 Revenue'!D58</f>
        <v/>
      </c>
    </row>
    <row r="59">
      <c r="A59" s="2" t="n">
        <v>37395</v>
      </c>
      <c r="B59" s="2" t="inlineStr">
        <is>
          <t>Downer</t>
        </is>
      </c>
      <c r="C59" s="2">
        <f>'FY27 Revenue'!E59</f>
        <v/>
      </c>
      <c r="D59" s="2">
        <f>IFERROR(INDEX('Extract_for_Locations 1 Oct 25'!$E$2:$E$3450,MATCH(C59,'Extract_for_Locations 1 Oct 25'!$B$2:$B$3450,0)),"")</f>
        <v/>
      </c>
      <c r="E59" s="2" t="n">
        <v>7868</v>
      </c>
      <c r="F59" s="2" t="inlineStr">
        <is>
          <t>Revenue - AUD Million</t>
        </is>
      </c>
      <c r="H59" s="2">
        <f>CONCATENATE("FY27REV_",'FY27 Revenue'!B59)</f>
        <v/>
      </c>
      <c r="I59" s="2">
        <f>CONCATENATE("FY27REV_",'FY27 Revenue'!B59)</f>
        <v/>
      </c>
      <c r="J59" s="2" t="inlineStr">
        <is>
          <t>Downer</t>
        </is>
      </c>
      <c r="K59" s="2" t="inlineStr">
        <is>
          <t>Revenue</t>
        </is>
      </c>
      <c r="L59" s="2" t="inlineStr">
        <is>
          <t>2026-07-01</t>
        </is>
      </c>
      <c r="M59" s="2" t="inlineStr">
        <is>
          <t>2026-07-31</t>
        </is>
      </c>
      <c r="N59" s="2" t="inlineStr">
        <is>
          <t>Actual</t>
        </is>
      </c>
      <c r="O59" s="2" t="inlineStr">
        <is>
          <t>Standard</t>
        </is>
      </c>
      <c r="Q59" s="2" t="inlineStr">
        <is>
          <t>Insert</t>
        </is>
      </c>
      <c r="R59" s="2">
        <f>'FY27 Revenue'!C59</f>
        <v/>
      </c>
      <c r="S59" s="2">
        <f>'FY27 Revenue'!C59</f>
        <v/>
      </c>
      <c r="T59" s="2">
        <f>'FY27 Revenue'!D59</f>
        <v/>
      </c>
    </row>
    <row r="60">
      <c r="A60" s="2" t="n">
        <v>37395</v>
      </c>
      <c r="B60" s="2" t="inlineStr">
        <is>
          <t>Downer</t>
        </is>
      </c>
      <c r="C60" s="2">
        <f>'FY27 Revenue'!E60</f>
        <v/>
      </c>
      <c r="D60" s="2">
        <f>IFERROR(INDEX('Extract_for_Locations 1 Oct 25'!$E$2:$E$3450,MATCH(C60,'Extract_for_Locations 1 Oct 25'!$B$2:$B$3450,0)),"")</f>
        <v/>
      </c>
      <c r="E60" s="2" t="n">
        <v>7868</v>
      </c>
      <c r="F60" s="2" t="inlineStr">
        <is>
          <t>Revenue - AUD Million</t>
        </is>
      </c>
      <c r="H60" s="2">
        <f>CONCATENATE("FY27REV_",'FY27 Revenue'!B60)</f>
        <v/>
      </c>
      <c r="I60" s="2">
        <f>CONCATENATE("FY27REV_",'FY27 Revenue'!B60)</f>
        <v/>
      </c>
      <c r="J60" s="2" t="inlineStr">
        <is>
          <t>Downer</t>
        </is>
      </c>
      <c r="K60" s="2" t="inlineStr">
        <is>
          <t>Revenue</t>
        </is>
      </c>
      <c r="L60" s="2" t="inlineStr">
        <is>
          <t>2026-07-01</t>
        </is>
      </c>
      <c r="M60" s="2" t="inlineStr">
        <is>
          <t>2026-07-31</t>
        </is>
      </c>
      <c r="N60" s="2" t="inlineStr">
        <is>
          <t>Actual</t>
        </is>
      </c>
      <c r="O60" s="2" t="inlineStr">
        <is>
          <t>Standard</t>
        </is>
      </c>
      <c r="Q60" s="2" t="inlineStr">
        <is>
          <t>Insert</t>
        </is>
      </c>
      <c r="R60" s="2">
        <f>'FY27 Revenue'!C60</f>
        <v/>
      </c>
      <c r="S60" s="2">
        <f>'FY27 Revenue'!C60</f>
        <v/>
      </c>
      <c r="T60" s="2">
        <f>'FY27 Revenue'!D60</f>
        <v/>
      </c>
    </row>
    <row r="61">
      <c r="A61" s="2" t="n">
        <v>37395</v>
      </c>
      <c r="B61" s="2" t="inlineStr">
        <is>
          <t>Downer</t>
        </is>
      </c>
      <c r="C61" s="2">
        <f>'FY27 Revenue'!E61</f>
        <v/>
      </c>
      <c r="D61" s="2">
        <f>IFERROR(INDEX('Extract_for_Locations 1 Oct 25'!$E$2:$E$3450,MATCH(C61,'Extract_for_Locations 1 Oct 25'!$B$2:$B$3450,0)),"")</f>
        <v/>
      </c>
      <c r="E61" s="2" t="n">
        <v>7868</v>
      </c>
      <c r="F61" s="2" t="inlineStr">
        <is>
          <t>Revenue - AUD Million</t>
        </is>
      </c>
      <c r="H61" s="2">
        <f>CONCATENATE("FY27REV_",'FY27 Revenue'!B61)</f>
        <v/>
      </c>
      <c r="I61" s="2">
        <f>CONCATENATE("FY27REV_",'FY27 Revenue'!B61)</f>
        <v/>
      </c>
      <c r="J61" s="2" t="inlineStr">
        <is>
          <t>Downer</t>
        </is>
      </c>
      <c r="K61" s="2" t="inlineStr">
        <is>
          <t>Revenue</t>
        </is>
      </c>
      <c r="L61" s="2" t="inlineStr">
        <is>
          <t>2026-07-01</t>
        </is>
      </c>
      <c r="M61" s="2" t="inlineStr">
        <is>
          <t>2026-07-31</t>
        </is>
      </c>
      <c r="N61" s="2" t="inlineStr">
        <is>
          <t>Actual</t>
        </is>
      </c>
      <c r="O61" s="2" t="inlineStr">
        <is>
          <t>Standard</t>
        </is>
      </c>
      <c r="Q61" s="2" t="inlineStr">
        <is>
          <t>Insert</t>
        </is>
      </c>
      <c r="R61" s="2">
        <f>'FY27 Revenue'!C61</f>
        <v/>
      </c>
      <c r="S61" s="2">
        <f>'FY27 Revenue'!C61</f>
        <v/>
      </c>
      <c r="T61" s="2">
        <f>'FY27 Revenue'!D61</f>
        <v/>
      </c>
    </row>
    <row r="62">
      <c r="A62" s="2" t="n">
        <v>37395</v>
      </c>
      <c r="B62" s="2" t="inlineStr">
        <is>
          <t>Downer</t>
        </is>
      </c>
      <c r="C62" s="2">
        <f>'FY27 Revenue'!E62</f>
        <v/>
      </c>
      <c r="D62" s="2">
        <f>IFERROR(INDEX('Extract_for_Locations 1 Oct 25'!$E$2:$E$3450,MATCH(C62,'Extract_for_Locations 1 Oct 25'!$B$2:$B$3450,0)),"")</f>
        <v/>
      </c>
      <c r="E62" s="2" t="n">
        <v>7868</v>
      </c>
      <c r="F62" s="2" t="inlineStr">
        <is>
          <t>Revenue - AUD Million</t>
        </is>
      </c>
      <c r="H62" s="2">
        <f>CONCATENATE("FY27REV_",'FY27 Revenue'!B62)</f>
        <v/>
      </c>
      <c r="I62" s="2">
        <f>CONCATENATE("FY27REV_",'FY27 Revenue'!B62)</f>
        <v/>
      </c>
      <c r="J62" s="2" t="inlineStr">
        <is>
          <t>Downer</t>
        </is>
      </c>
      <c r="K62" s="2" t="inlineStr">
        <is>
          <t>Revenue</t>
        </is>
      </c>
      <c r="L62" s="2" t="inlineStr">
        <is>
          <t>2026-07-01</t>
        </is>
      </c>
      <c r="M62" s="2" t="inlineStr">
        <is>
          <t>2026-07-31</t>
        </is>
      </c>
      <c r="N62" s="2" t="inlineStr">
        <is>
          <t>Actual</t>
        </is>
      </c>
      <c r="O62" s="2" t="inlineStr">
        <is>
          <t>Standard</t>
        </is>
      </c>
      <c r="Q62" s="2" t="inlineStr">
        <is>
          <t>Insert</t>
        </is>
      </c>
      <c r="R62" s="2">
        <f>'FY27 Revenue'!C62</f>
        <v/>
      </c>
      <c r="S62" s="2">
        <f>'FY27 Revenue'!C62</f>
        <v/>
      </c>
      <c r="T62" s="2">
        <f>'FY27 Revenue'!D62</f>
        <v/>
      </c>
    </row>
    <row r="63">
      <c r="A63" s="2" t="n">
        <v>37395</v>
      </c>
      <c r="B63" s="2" t="inlineStr">
        <is>
          <t>Downer</t>
        </is>
      </c>
      <c r="C63" s="2">
        <f>'FY27 Revenue'!E63</f>
        <v/>
      </c>
      <c r="D63" s="2">
        <f>IFERROR(INDEX('Extract_for_Locations 1 Oct 25'!$E$2:$E$3450,MATCH(C63,'Extract_for_Locations 1 Oct 25'!$B$2:$B$3450,0)),"")</f>
        <v/>
      </c>
      <c r="E63" s="2" t="n">
        <v>7868</v>
      </c>
      <c r="F63" s="2" t="inlineStr">
        <is>
          <t>Revenue - AUD Million</t>
        </is>
      </c>
      <c r="H63" s="2">
        <f>CONCATENATE("FY27REV_",'FY27 Revenue'!B63)</f>
        <v/>
      </c>
      <c r="I63" s="2">
        <f>CONCATENATE("FY27REV_",'FY27 Revenue'!B63)</f>
        <v/>
      </c>
      <c r="J63" s="2" t="inlineStr">
        <is>
          <t>Downer</t>
        </is>
      </c>
      <c r="K63" s="2" t="inlineStr">
        <is>
          <t>Revenue</t>
        </is>
      </c>
      <c r="L63" s="2" t="inlineStr">
        <is>
          <t>2026-07-01</t>
        </is>
      </c>
      <c r="M63" s="2" t="inlineStr">
        <is>
          <t>2026-07-31</t>
        </is>
      </c>
      <c r="N63" s="2" t="inlineStr">
        <is>
          <t>Actual</t>
        </is>
      </c>
      <c r="O63" s="2" t="inlineStr">
        <is>
          <t>Standard</t>
        </is>
      </c>
      <c r="Q63" s="2" t="inlineStr">
        <is>
          <t>Insert</t>
        </is>
      </c>
      <c r="R63" s="2">
        <f>'FY27 Revenue'!C63</f>
        <v/>
      </c>
      <c r="S63" s="2">
        <f>'FY27 Revenue'!C63</f>
        <v/>
      </c>
      <c r="T63" s="2">
        <f>'FY27 Revenue'!D63</f>
        <v/>
      </c>
    </row>
    <row r="64">
      <c r="A64" s="2" t="n">
        <v>37395</v>
      </c>
      <c r="B64" s="2" t="inlineStr">
        <is>
          <t>Downer</t>
        </is>
      </c>
      <c r="C64" s="2">
        <f>'FY27 Revenue'!E64</f>
        <v/>
      </c>
      <c r="D64" s="2">
        <f>IFERROR(INDEX('Extract_for_Locations 1 Oct 25'!$E$2:$E$3450,MATCH(C64,'Extract_for_Locations 1 Oct 25'!$B$2:$B$3450,0)),"")</f>
        <v/>
      </c>
      <c r="E64" s="2" t="n">
        <v>7868</v>
      </c>
      <c r="F64" s="2" t="inlineStr">
        <is>
          <t>Revenue - AUD Million</t>
        </is>
      </c>
      <c r="H64" s="2">
        <f>CONCATENATE("FY27REV_",'FY27 Revenue'!B64)</f>
        <v/>
      </c>
      <c r="I64" s="2">
        <f>CONCATENATE("FY27REV_",'FY27 Revenue'!B64)</f>
        <v/>
      </c>
      <c r="J64" s="2" t="inlineStr">
        <is>
          <t>Downer</t>
        </is>
      </c>
      <c r="K64" s="2" t="inlineStr">
        <is>
          <t>Revenue</t>
        </is>
      </c>
      <c r="L64" s="2" t="inlineStr">
        <is>
          <t>2026-07-01</t>
        </is>
      </c>
      <c r="M64" s="2" t="inlineStr">
        <is>
          <t>2026-07-31</t>
        </is>
      </c>
      <c r="N64" s="2" t="inlineStr">
        <is>
          <t>Actual</t>
        </is>
      </c>
      <c r="O64" s="2" t="inlineStr">
        <is>
          <t>Standard</t>
        </is>
      </c>
      <c r="Q64" s="2" t="inlineStr">
        <is>
          <t>Insert</t>
        </is>
      </c>
      <c r="R64" s="2">
        <f>'FY27 Revenue'!C64</f>
        <v/>
      </c>
      <c r="S64" s="2">
        <f>'FY27 Revenue'!C64</f>
        <v/>
      </c>
      <c r="T64" s="2">
        <f>'FY27 Revenue'!D64</f>
        <v/>
      </c>
    </row>
    <row r="65">
      <c r="A65" s="2" t="n">
        <v>37395</v>
      </c>
      <c r="B65" s="2" t="inlineStr">
        <is>
          <t>Downer</t>
        </is>
      </c>
      <c r="C65" s="2">
        <f>'FY27 Revenue'!E65</f>
        <v/>
      </c>
      <c r="D65" s="2">
        <f>IFERROR(INDEX('Extract_for_Locations 1 Oct 25'!$E$2:$E$3450,MATCH(C65,'Extract_for_Locations 1 Oct 25'!$B$2:$B$3450,0)),"")</f>
        <v/>
      </c>
      <c r="E65" s="2" t="n">
        <v>7868</v>
      </c>
      <c r="F65" s="2" t="inlineStr">
        <is>
          <t>Revenue - AUD Million</t>
        </is>
      </c>
      <c r="H65" s="2">
        <f>CONCATENATE("FY27REV_",'FY27 Revenue'!B65)</f>
        <v/>
      </c>
      <c r="I65" s="2">
        <f>CONCATENATE("FY27REV_",'FY27 Revenue'!B65)</f>
        <v/>
      </c>
      <c r="J65" s="2" t="inlineStr">
        <is>
          <t>Downer</t>
        </is>
      </c>
      <c r="K65" s="2" t="inlineStr">
        <is>
          <t>Revenue</t>
        </is>
      </c>
      <c r="L65" s="2" t="inlineStr">
        <is>
          <t>2026-07-01</t>
        </is>
      </c>
      <c r="M65" s="2" t="inlineStr">
        <is>
          <t>2026-07-31</t>
        </is>
      </c>
      <c r="N65" s="2" t="inlineStr">
        <is>
          <t>Actual</t>
        </is>
      </c>
      <c r="O65" s="2" t="inlineStr">
        <is>
          <t>Standard</t>
        </is>
      </c>
      <c r="Q65" s="2" t="inlineStr">
        <is>
          <t>Insert</t>
        </is>
      </c>
      <c r="R65" s="2">
        <f>'FY27 Revenue'!C65</f>
        <v/>
      </c>
      <c r="S65" s="2">
        <f>'FY27 Revenue'!C65</f>
        <v/>
      </c>
      <c r="T65" s="2">
        <f>'FY27 Revenue'!D65</f>
        <v/>
      </c>
    </row>
    <row r="66">
      <c r="A66" s="2" t="n">
        <v>37395</v>
      </c>
      <c r="B66" s="2" t="inlineStr">
        <is>
          <t>Downer</t>
        </is>
      </c>
      <c r="C66" s="2">
        <f>'FY27 Revenue'!E66</f>
        <v/>
      </c>
      <c r="D66" s="2">
        <f>IFERROR(INDEX('Extract_for_Locations 1 Oct 25'!$E$2:$E$3450,MATCH(C66,'Extract_for_Locations 1 Oct 25'!$B$2:$B$3450,0)),"")</f>
        <v/>
      </c>
      <c r="E66" s="2" t="n">
        <v>7868</v>
      </c>
      <c r="F66" s="2" t="inlineStr">
        <is>
          <t>Revenue - AUD Million</t>
        </is>
      </c>
      <c r="H66" s="2">
        <f>CONCATENATE("FY27REV_",'FY27 Revenue'!B66)</f>
        <v/>
      </c>
      <c r="I66" s="2">
        <f>CONCATENATE("FY27REV_",'FY27 Revenue'!B66)</f>
        <v/>
      </c>
      <c r="J66" s="2" t="inlineStr">
        <is>
          <t>Downer</t>
        </is>
      </c>
      <c r="K66" s="2" t="inlineStr">
        <is>
          <t>Revenue</t>
        </is>
      </c>
      <c r="L66" s="2" t="inlineStr">
        <is>
          <t>2026-07-01</t>
        </is>
      </c>
      <c r="M66" s="2" t="inlineStr">
        <is>
          <t>2026-07-31</t>
        </is>
      </c>
      <c r="N66" s="2" t="inlineStr">
        <is>
          <t>Actual</t>
        </is>
      </c>
      <c r="O66" s="2" t="inlineStr">
        <is>
          <t>Standard</t>
        </is>
      </c>
      <c r="Q66" s="2" t="inlineStr">
        <is>
          <t>Insert</t>
        </is>
      </c>
      <c r="R66" s="2">
        <f>'FY27 Revenue'!C66</f>
        <v/>
      </c>
      <c r="S66" s="2">
        <f>'FY27 Revenue'!C66</f>
        <v/>
      </c>
      <c r="T66" s="2">
        <f>'FY27 Revenue'!D66</f>
        <v/>
      </c>
    </row>
    <row r="67">
      <c r="A67" s="2" t="n">
        <v>37395</v>
      </c>
      <c r="B67" s="2" t="inlineStr">
        <is>
          <t>Downer</t>
        </is>
      </c>
      <c r="C67" s="2">
        <f>'FY27 Revenue'!E67</f>
        <v/>
      </c>
      <c r="D67" s="2">
        <f>IFERROR(INDEX('Extract_for_Locations 1 Oct 25'!$E$2:$E$3450,MATCH(C67,'Extract_for_Locations 1 Oct 25'!$B$2:$B$3450,0)),"")</f>
        <v/>
      </c>
      <c r="E67" s="2" t="n">
        <v>7868</v>
      </c>
      <c r="F67" s="2" t="inlineStr">
        <is>
          <t>Revenue - AUD Million</t>
        </is>
      </c>
      <c r="H67" s="2">
        <f>CONCATENATE("FY27REV_",'FY27 Revenue'!B67)</f>
        <v/>
      </c>
      <c r="I67" s="2">
        <f>CONCATENATE("FY27REV_",'FY27 Revenue'!B67)</f>
        <v/>
      </c>
      <c r="J67" s="2" t="inlineStr">
        <is>
          <t>Downer</t>
        </is>
      </c>
      <c r="K67" s="2" t="inlineStr">
        <is>
          <t>Revenue</t>
        </is>
      </c>
      <c r="L67" s="2" t="inlineStr">
        <is>
          <t>2026-07-01</t>
        </is>
      </c>
      <c r="M67" s="2" t="inlineStr">
        <is>
          <t>2026-07-31</t>
        </is>
      </c>
      <c r="N67" s="2" t="inlineStr">
        <is>
          <t>Actual</t>
        </is>
      </c>
      <c r="O67" s="2" t="inlineStr">
        <is>
          <t>Standard</t>
        </is>
      </c>
      <c r="Q67" s="2" t="inlineStr">
        <is>
          <t>Insert</t>
        </is>
      </c>
      <c r="R67" s="2">
        <f>'FY27 Revenue'!C67</f>
        <v/>
      </c>
      <c r="S67" s="2">
        <f>'FY27 Revenue'!C67</f>
        <v/>
      </c>
      <c r="T67" s="2">
        <f>'FY27 Revenue'!D67</f>
        <v/>
      </c>
    </row>
    <row r="68">
      <c r="A68" s="2" t="n">
        <v>37395</v>
      </c>
      <c r="B68" s="2" t="inlineStr">
        <is>
          <t>Downer</t>
        </is>
      </c>
      <c r="C68" s="2">
        <f>'FY27 Revenue'!E68</f>
        <v/>
      </c>
      <c r="D68" s="2">
        <f>IFERROR(INDEX('Extract_for_Locations 1 Oct 25'!$E$2:$E$3450,MATCH(C68,'Extract_for_Locations 1 Oct 25'!$B$2:$B$3450,0)),"")</f>
        <v/>
      </c>
      <c r="E68" s="2" t="n">
        <v>7868</v>
      </c>
      <c r="F68" s="2" t="inlineStr">
        <is>
          <t>Revenue - AUD Million</t>
        </is>
      </c>
      <c r="H68" s="2">
        <f>CONCATENATE("FY27REV_",'FY27 Revenue'!B68)</f>
        <v/>
      </c>
      <c r="I68" s="2">
        <f>CONCATENATE("FY27REV_",'FY27 Revenue'!B68)</f>
        <v/>
      </c>
      <c r="J68" s="2" t="inlineStr">
        <is>
          <t>Downer</t>
        </is>
      </c>
      <c r="K68" s="2" t="inlineStr">
        <is>
          <t>Revenue</t>
        </is>
      </c>
      <c r="L68" s="2" t="inlineStr">
        <is>
          <t>2026-07-01</t>
        </is>
      </c>
      <c r="M68" s="2" t="inlineStr">
        <is>
          <t>2026-07-31</t>
        </is>
      </c>
      <c r="N68" s="2" t="inlineStr">
        <is>
          <t>Actual</t>
        </is>
      </c>
      <c r="O68" s="2" t="inlineStr">
        <is>
          <t>Standard</t>
        </is>
      </c>
      <c r="Q68" s="2" t="inlineStr">
        <is>
          <t>Insert</t>
        </is>
      </c>
      <c r="R68" s="2">
        <f>'FY27 Revenue'!C68</f>
        <v/>
      </c>
      <c r="S68" s="2">
        <f>'FY27 Revenue'!C68</f>
        <v/>
      </c>
      <c r="T68" s="2">
        <f>'FY27 Revenue'!D68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2"/>
  <sheetViews>
    <sheetView tabSelected="0" workbookViewId="0">
      <selection activeCell="A1" sqref="A1"/>
    </sheetView>
  </sheetViews>
  <sheetFormatPr baseColWidth="8" defaultRowHeight="15"/>
  <cols>
    <col width="30" customWidth="1" min="1" max="1"/>
    <col width="30" customWidth="1" min="2" max="2"/>
    <col width="38" customWidth="1" min="3" max="3"/>
    <col width="30" customWidth="1" min="5" max="5"/>
  </cols>
  <sheetData>
    <row r="1">
      <c r="A1" s="1" t="inlineStr">
        <is>
          <t>Entity Name/Division</t>
        </is>
      </c>
      <c r="B1" s="1" t="inlineStr">
        <is>
          <t>UD1 Name/Sub-LOB</t>
        </is>
      </c>
      <c r="C1" s="1" t="inlineStr">
        <is>
          <t>UD1 Name/Sub-LOB Level 2</t>
        </is>
      </c>
      <c r="D1" s="1" t="inlineStr">
        <is>
          <t>Jul</t>
        </is>
      </c>
      <c r="E1" s="1" t="inlineStr">
        <is>
          <t>Location Name</t>
        </is>
      </c>
    </row>
    <row r="2">
      <c r="A2" s="2" t="inlineStr">
        <is>
          <t>Transport &amp; Infrastructure</t>
        </is>
      </c>
      <c r="B2" s="2" t="inlineStr">
        <is>
          <t>Transport &amp; Infrastructure NZ</t>
        </is>
      </c>
      <c r="C2" s="2" t="inlineStr">
        <is>
          <t>T&amp;I NZ North</t>
        </is>
      </c>
      <c r="D2" s="3" t="n">
        <v>27.5</v>
      </c>
      <c r="E2" s="2">
        <f>CONCATENATE("REV","_",B2)</f>
        <v/>
      </c>
    </row>
    <row r="3">
      <c r="A3" s="2" t="inlineStr">
        <is>
          <t>Transport &amp; Infrastructure</t>
        </is>
      </c>
      <c r="B3" s="2" t="inlineStr">
        <is>
          <t>Transport &amp; Infrastructure NZ</t>
        </is>
      </c>
      <c r="C3" s="2" t="inlineStr">
        <is>
          <t>T&amp;I NZ South</t>
        </is>
      </c>
      <c r="D3" s="3" t="n">
        <v>22.6</v>
      </c>
      <c r="E3" s="2">
        <f>CONCATENATE("REV","_",B3)</f>
        <v/>
      </c>
    </row>
    <row r="4">
      <c r="A4" s="2" t="inlineStr">
        <is>
          <t>Transport &amp; Infrastructure</t>
        </is>
      </c>
      <c r="B4" s="2" t="inlineStr">
        <is>
          <t>Transport &amp; Infrastructure NZ</t>
        </is>
      </c>
      <c r="C4" s="2" t="inlineStr">
        <is>
          <t>T&amp;I NZ Infrastructure Delivery</t>
        </is>
      </c>
      <c r="D4" s="3" t="n">
        <v>20.6</v>
      </c>
      <c r="E4" s="2">
        <f>CONCATENATE("REV","_",B4)</f>
        <v/>
      </c>
    </row>
    <row r="5">
      <c r="A5" s="2" t="inlineStr">
        <is>
          <t>Transport &amp; Infrastructure</t>
        </is>
      </c>
      <c r="B5" s="2" t="inlineStr">
        <is>
          <t>Transport &amp; Infrastructure NZ</t>
        </is>
      </c>
      <c r="C5" s="2" t="inlineStr">
        <is>
          <t>T&amp;I NZ Hawkins</t>
        </is>
      </c>
      <c r="D5" s="3" t="n">
        <v>52.5</v>
      </c>
      <c r="E5" s="2">
        <f>CONCATENATE("REV","_",B5)</f>
        <v/>
      </c>
    </row>
    <row r="6">
      <c r="A6" s="2" t="inlineStr">
        <is>
          <t>Transport &amp; Infrastructure</t>
        </is>
      </c>
      <c r="B6" s="2" t="inlineStr">
        <is>
          <t>Transport &amp; Infrastructure NZ</t>
        </is>
      </c>
      <c r="C6" s="2" t="inlineStr">
        <is>
          <t>T&amp;I NZ National Operations</t>
        </is>
      </c>
      <c r="D6" s="3" t="n">
        <v>8.1</v>
      </c>
      <c r="E6" s="2">
        <f>CONCATENATE("REV","_",B6)</f>
        <v/>
      </c>
    </row>
    <row r="7">
      <c r="A7" s="2" t="inlineStr">
        <is>
          <t>Transport &amp; Infrastructure</t>
        </is>
      </c>
      <c r="B7" s="2" t="inlineStr">
        <is>
          <t>Transport &amp; Infrastructure NZ</t>
        </is>
      </c>
      <c r="C7" s="2" t="inlineStr">
        <is>
          <t>T&amp;I NZ Overheads</t>
        </is>
      </c>
      <c r="D7" s="3" t="n">
        <v>0.2</v>
      </c>
      <c r="E7" s="2">
        <f>CONCATENATE("REV","_",B7)</f>
        <v/>
      </c>
    </row>
    <row r="8">
      <c r="A8" s="2" t="inlineStr">
        <is>
          <t>Transport &amp; Infrastructure</t>
        </is>
      </c>
      <c r="B8" s="2" t="inlineStr">
        <is>
          <t>Transport &amp; Infrastructure AU</t>
        </is>
      </c>
      <c r="C8" s="2" t="inlineStr">
        <is>
          <t>T&amp;I AU Asphalt &amp; Products</t>
        </is>
      </c>
      <c r="D8" s="3" t="n">
        <v>67.40000000000001</v>
      </c>
      <c r="E8" s="2">
        <f>CONCATENATE("REV","_",B8)</f>
        <v/>
      </c>
    </row>
    <row r="9">
      <c r="A9" s="2" t="inlineStr">
        <is>
          <t>Transport &amp; Infrastructure</t>
        </is>
      </c>
      <c r="B9" s="2" t="inlineStr">
        <is>
          <t>Transport &amp; Infrastructure AU</t>
        </is>
      </c>
      <c r="C9" s="2" t="inlineStr">
        <is>
          <t>Maintenance &amp; ITS</t>
        </is>
      </c>
      <c r="D9" s="3" t="n">
        <v>28.2</v>
      </c>
      <c r="E9" s="2">
        <f>CONCATENATE("REV","_",B9)</f>
        <v/>
      </c>
    </row>
    <row r="10">
      <c r="A10" s="2" t="inlineStr">
        <is>
          <t>Transport &amp; Infrastructure</t>
        </is>
      </c>
      <c r="B10" s="2" t="inlineStr">
        <is>
          <t>Transport &amp; Infrastructure AU</t>
        </is>
      </c>
      <c r="C10" s="2" t="inlineStr">
        <is>
          <t>Pavement Rehabilitation &amp; Civils</t>
        </is>
      </c>
      <c r="D10" s="3" t="n">
        <v>8.699999999999999</v>
      </c>
      <c r="E10" s="2">
        <f>CONCATENATE("REV","_",B10)</f>
        <v/>
      </c>
    </row>
    <row r="11">
      <c r="A11" s="2" t="inlineStr">
        <is>
          <t>Transport &amp; Infrastructure</t>
        </is>
      </c>
      <c r="B11" s="2" t="inlineStr">
        <is>
          <t>Transport &amp; Infrastructure AU</t>
        </is>
      </c>
      <c r="C11" s="2" t="inlineStr">
        <is>
          <t>Specialised Pavements &amp; Projects</t>
        </is>
      </c>
      <c r="D11" s="3" t="n">
        <v>1.4</v>
      </c>
      <c r="E11" s="2">
        <f>CONCATENATE("REV","_",B11)</f>
        <v/>
      </c>
    </row>
    <row r="12">
      <c r="A12" s="2" t="inlineStr">
        <is>
          <t>Transport &amp; Infrastructure</t>
        </is>
      </c>
      <c r="B12" s="2" t="inlineStr">
        <is>
          <t>Transport &amp; Infrastructure AU</t>
        </is>
      </c>
      <c r="C12" s="2" t="inlineStr">
        <is>
          <t>Thin Surfacing</t>
        </is>
      </c>
      <c r="D12" s="3" t="n">
        <v>25.2</v>
      </c>
      <c r="E12" s="2">
        <f>CONCATENATE("REV","_",B12)</f>
        <v/>
      </c>
    </row>
    <row r="13">
      <c r="A13" s="2" t="inlineStr">
        <is>
          <t>Transport &amp; Infrastructure</t>
        </is>
      </c>
      <c r="B13" s="2" t="inlineStr">
        <is>
          <t>Transport &amp; Infrastructure AU</t>
        </is>
      </c>
      <c r="C13" s="2" t="inlineStr">
        <is>
          <t>BIA</t>
        </is>
      </c>
      <c r="D13" s="3" t="n">
        <v>3.8</v>
      </c>
      <c r="E13" s="2">
        <f>CONCATENATE("REV","_",B13)</f>
        <v/>
      </c>
    </row>
    <row r="14">
      <c r="A14" s="2" t="inlineStr">
        <is>
          <t>Transport &amp; Infrastructure</t>
        </is>
      </c>
      <c r="B14" s="2" t="inlineStr">
        <is>
          <t>Fleet &amp; Assets</t>
        </is>
      </c>
      <c r="C14" s="2" t="inlineStr">
        <is>
          <t>AU Fleet T&amp;I Plant</t>
        </is>
      </c>
      <c r="D14" s="3" t="n">
        <v>0</v>
      </c>
      <c r="E14" s="2">
        <f>CONCATENATE("REV","_",B14)</f>
        <v/>
      </c>
    </row>
    <row r="15">
      <c r="A15" s="2" t="inlineStr">
        <is>
          <t>Transport &amp; Infrastructure</t>
        </is>
      </c>
      <c r="B15" s="2" t="inlineStr">
        <is>
          <t>Fleet &amp; Assets</t>
        </is>
      </c>
      <c r="C15" s="2" t="inlineStr">
        <is>
          <t>AU Fleet Light Vehicles</t>
        </is>
      </c>
      <c r="D15" s="3" t="n">
        <v>0</v>
      </c>
      <c r="E15" s="2">
        <f>CONCATENATE("REV","_",B15)</f>
        <v/>
      </c>
    </row>
    <row r="16">
      <c r="A16" s="2" t="inlineStr">
        <is>
          <t>Transport &amp; Infrastructure</t>
        </is>
      </c>
      <c r="B16" s="2" t="inlineStr">
        <is>
          <t>Fleet &amp; Assets</t>
        </is>
      </c>
      <c r="C16" s="2" t="inlineStr">
        <is>
          <t>NZ Fleet</t>
        </is>
      </c>
      <c r="D16" s="3" t="n">
        <v>0.1</v>
      </c>
      <c r="E16" s="2">
        <f>CONCATENATE("REV","_",B16)</f>
        <v/>
      </c>
    </row>
    <row r="17">
      <c r="A17" s="2" t="inlineStr">
        <is>
          <t>Energy &amp; Utilities</t>
        </is>
      </c>
      <c r="B17" s="2" t="inlineStr">
        <is>
          <t>Telecommunications &amp; Networks</t>
        </is>
      </c>
      <c r="C17" s="2" t="inlineStr">
        <is>
          <t>Telco Incl. MS</t>
        </is>
      </c>
      <c r="D17" s="3" t="n">
        <v>20.3</v>
      </c>
      <c r="E17" s="2">
        <f>CONCATENATE("REV","_",B17)</f>
        <v/>
      </c>
    </row>
    <row r="18">
      <c r="A18" s="2" t="inlineStr">
        <is>
          <t>Energy &amp; Utilities</t>
        </is>
      </c>
      <c r="B18" s="2" t="inlineStr">
        <is>
          <t>Telecommunications &amp; Networks</t>
        </is>
      </c>
      <c r="C18" s="2" t="inlineStr">
        <is>
          <t>Telco</t>
        </is>
      </c>
      <c r="D18" s="3" t="n">
        <v>13.3</v>
      </c>
      <c r="E18" s="2">
        <f>CONCATENATE("REV","_",B18)</f>
        <v/>
      </c>
    </row>
    <row r="19">
      <c r="A19" s="2" t="inlineStr">
        <is>
          <t>Energy &amp; Utilities</t>
        </is>
      </c>
      <c r="B19" s="2" t="inlineStr">
        <is>
          <t>Telecommunications &amp; Networks</t>
        </is>
      </c>
      <c r="C19" s="2" t="inlineStr">
        <is>
          <t>Network Services</t>
        </is>
      </c>
      <c r="D19" s="3" t="n">
        <v>12.5</v>
      </c>
      <c r="E19" s="2">
        <f>CONCATENATE("REV","_",B19)</f>
        <v/>
      </c>
    </row>
    <row r="20">
      <c r="A20" s="2" t="inlineStr">
        <is>
          <t>Energy &amp; Utilities</t>
        </is>
      </c>
      <c r="B20" s="2" t="inlineStr">
        <is>
          <t>Water</t>
        </is>
      </c>
      <c r="C20" s="2" t="inlineStr">
        <is>
          <t>Water Services</t>
        </is>
      </c>
      <c r="D20" s="3" t="n">
        <v>48.3</v>
      </c>
      <c r="E20" s="2">
        <f>CONCATENATE("REV","_",B20)</f>
        <v/>
      </c>
    </row>
    <row r="21">
      <c r="A21" s="2" t="inlineStr">
        <is>
          <t>Energy &amp; Utilities</t>
        </is>
      </c>
      <c r="B21" s="2" t="inlineStr">
        <is>
          <t>Water</t>
        </is>
      </c>
      <c r="C21" s="2" t="inlineStr">
        <is>
          <t>Water NZ</t>
        </is>
      </c>
      <c r="D21" s="3" t="n">
        <v>16.2</v>
      </c>
      <c r="E21" s="2">
        <f>CONCATENATE("REV","_",B21)</f>
        <v/>
      </c>
    </row>
    <row r="22">
      <c r="A22" s="2" t="inlineStr">
        <is>
          <t>Energy &amp; Utilities</t>
        </is>
      </c>
      <c r="B22" s="2" t="inlineStr">
        <is>
          <t>Power Projects</t>
        </is>
      </c>
      <c r="C22" s="2" t="inlineStr">
        <is>
          <t>Power Projects</t>
        </is>
      </c>
      <c r="D22" s="3" t="n">
        <v>19.6</v>
      </c>
      <c r="E22" s="2">
        <f>CONCATENATE("REV","_",B22)</f>
        <v/>
      </c>
    </row>
    <row r="23">
      <c r="A23" s="2" t="inlineStr">
        <is>
          <t>Energy &amp; Utilities</t>
        </is>
      </c>
      <c r="B23" s="2" t="inlineStr">
        <is>
          <t>Energy &amp; Industrial</t>
        </is>
      </c>
      <c r="C23" s="2" t="inlineStr">
        <is>
          <t>Energy &amp; Industrial West</t>
        </is>
      </c>
      <c r="D23" s="3" t="n">
        <v>10.6</v>
      </c>
      <c r="E23" s="2">
        <f>CONCATENATE("REV","_",B23)</f>
        <v/>
      </c>
    </row>
    <row r="24">
      <c r="A24" s="2" t="inlineStr">
        <is>
          <t>Energy &amp; Utilities</t>
        </is>
      </c>
      <c r="B24" s="2" t="inlineStr">
        <is>
          <t>Energy &amp; Industrial</t>
        </is>
      </c>
      <c r="C24" s="2" t="inlineStr">
        <is>
          <t>Energy &amp; Industrial East</t>
        </is>
      </c>
      <c r="D24" s="3" t="n">
        <v>18.1</v>
      </c>
      <c r="E24" s="2">
        <f>CONCATENATE("REV","_",B24)</f>
        <v/>
      </c>
    </row>
    <row r="25">
      <c r="A25" s="2" t="inlineStr">
        <is>
          <t>Energy &amp; Utilities</t>
        </is>
      </c>
      <c r="B25" s="2" t="inlineStr">
        <is>
          <t>Energy &amp; Industrial</t>
        </is>
      </c>
      <c r="C25" s="2" t="inlineStr">
        <is>
          <t>Energy Solutions</t>
        </is>
      </c>
      <c r="D25" s="3" t="n">
        <v>5</v>
      </c>
      <c r="E25" s="2">
        <f>CONCATENATE("REV","_",B25)</f>
        <v/>
      </c>
    </row>
    <row r="26">
      <c r="A26" s="2" t="inlineStr">
        <is>
          <t>Energy &amp; Utilities</t>
        </is>
      </c>
      <c r="B26" s="2" t="inlineStr">
        <is>
          <t>Energy &amp; Industrial</t>
        </is>
      </c>
      <c r="C26" s="2" t="inlineStr">
        <is>
          <t>Energy Networks</t>
        </is>
      </c>
      <c r="D26" s="3" t="n">
        <v>17.2</v>
      </c>
      <c r="E26" s="2">
        <f>CONCATENATE("REV","_",B26)</f>
        <v/>
      </c>
    </row>
    <row r="27">
      <c r="A27" s="2" t="inlineStr">
        <is>
          <t>Energy &amp; Utilities</t>
        </is>
      </c>
      <c r="B27" s="2" t="inlineStr">
        <is>
          <t>Mineral Technologies</t>
        </is>
      </c>
      <c r="C27" s="2" t="inlineStr">
        <is>
          <t>Metallurgical Lab</t>
        </is>
      </c>
      <c r="D27" s="3" t="n">
        <v>0.2</v>
      </c>
      <c r="E27" s="2">
        <f>CONCATENATE("REV","_",B27)</f>
        <v/>
      </c>
    </row>
    <row r="28">
      <c r="A28" s="2" t="inlineStr">
        <is>
          <t>Energy &amp; Utilities</t>
        </is>
      </c>
      <c r="B28" s="2" t="inlineStr">
        <is>
          <t>Mineral Technologies</t>
        </is>
      </c>
      <c r="C28" s="2" t="inlineStr">
        <is>
          <t>MT Equipment and R&amp;D Aus</t>
        </is>
      </c>
      <c r="D28" s="3" t="n">
        <v>8</v>
      </c>
      <c r="E28" s="2">
        <f>CONCATENATE("REV","_",B28)</f>
        <v/>
      </c>
    </row>
    <row r="29">
      <c r="A29" s="2" t="inlineStr">
        <is>
          <t>Energy &amp; Utilities</t>
        </is>
      </c>
      <c r="B29" s="2" t="inlineStr">
        <is>
          <t>Mineral Technologies</t>
        </is>
      </c>
      <c r="C29" s="2" t="inlineStr">
        <is>
          <t>MT Engineering Services Aus</t>
        </is>
      </c>
      <c r="D29" s="3" t="n">
        <v>1.9</v>
      </c>
      <c r="E29" s="2">
        <f>CONCATENATE("REV","_",B29)</f>
        <v/>
      </c>
    </row>
    <row r="30">
      <c r="A30" s="2" t="inlineStr">
        <is>
          <t>Energy &amp; Utilities</t>
        </is>
      </c>
      <c r="B30" s="2" t="inlineStr">
        <is>
          <t>Mineral Technologies</t>
        </is>
      </c>
      <c r="C30" s="2" t="inlineStr">
        <is>
          <t>MT Geology</t>
        </is>
      </c>
      <c r="D30" s="3" t="n">
        <v>0</v>
      </c>
      <c r="E30" s="2">
        <f>CONCATENATE("REV","_",B30)</f>
        <v/>
      </c>
    </row>
    <row r="31">
      <c r="A31" s="2" t="inlineStr">
        <is>
          <t>Energy &amp; Utilities</t>
        </is>
      </c>
      <c r="B31" s="2" t="inlineStr">
        <is>
          <t>Mineral Technologies</t>
        </is>
      </c>
      <c r="C31" s="2" t="inlineStr">
        <is>
          <t>MT Overheads</t>
        </is>
      </c>
      <c r="D31" s="3" t="n">
        <v>-0.1</v>
      </c>
      <c r="E31" s="2">
        <f>CONCATENATE("REV","_",B31)</f>
        <v/>
      </c>
    </row>
    <row r="32">
      <c r="A32" s="2" t="inlineStr">
        <is>
          <t>Energy &amp; Utilities</t>
        </is>
      </c>
      <c r="B32" s="2" t="inlineStr">
        <is>
          <t>E&amp;U Asset Management (ANZ)</t>
        </is>
      </c>
      <c r="C32" s="2" t="inlineStr">
        <is>
          <t>E&amp;U Asset Management (Australia)</t>
        </is>
      </c>
      <c r="D32" s="3" t="n">
        <v>0.2</v>
      </c>
      <c r="E32" s="2">
        <f>CONCATENATE("REV","_",B32)</f>
        <v/>
      </c>
    </row>
    <row r="33">
      <c r="A33" s="2" t="inlineStr">
        <is>
          <t>Social Infrastructure &amp; Citizen Services</t>
        </is>
      </c>
      <c r="B33" s="2" t="inlineStr">
        <is>
          <t>Downer Professional Services</t>
        </is>
      </c>
      <c r="C33" s="2" t="inlineStr">
        <is>
          <t>Downer Professional Services</t>
        </is>
      </c>
      <c r="D33" s="3" t="n">
        <v>23.5</v>
      </c>
      <c r="E33" s="2">
        <f>CONCATENATE("REV","_",B33)</f>
        <v/>
      </c>
    </row>
    <row r="34">
      <c r="A34" s="2" t="inlineStr">
        <is>
          <t>Social Infrastructure &amp; Citizen Services</t>
        </is>
      </c>
      <c r="B34" s="2" t="inlineStr">
        <is>
          <t>Base &amp; Estate Management</t>
        </is>
      </c>
      <c r="C34" s="2" t="inlineStr">
        <is>
          <t>PAS</t>
        </is>
      </c>
      <c r="D34" s="3" t="n">
        <v>34.5</v>
      </c>
      <c r="E34" s="2">
        <f>CONCATENATE("REV","_",B34)</f>
        <v/>
      </c>
    </row>
    <row r="35">
      <c r="A35" s="2" t="inlineStr">
        <is>
          <t>Social Infrastructure &amp; Citizen Services</t>
        </is>
      </c>
      <c r="B35" s="2" t="inlineStr">
        <is>
          <t>Base &amp; Estate Management</t>
        </is>
      </c>
      <c r="C35" s="2" t="inlineStr">
        <is>
          <t>HQJOC</t>
        </is>
      </c>
      <c r="D35" s="3" t="n">
        <v>1.9</v>
      </c>
      <c r="E35" s="2">
        <f>CONCATENATE("REV","_",B35)</f>
        <v/>
      </c>
    </row>
    <row r="36">
      <c r="A36" s="2" t="inlineStr">
        <is>
          <t>Social Infrastructure &amp; Citizen Services</t>
        </is>
      </c>
      <c r="B36" s="2" t="inlineStr">
        <is>
          <t>Base &amp; Estate Management</t>
        </is>
      </c>
      <c r="C36" s="2" t="inlineStr">
        <is>
          <t>Manuwatu Hub</t>
        </is>
      </c>
      <c r="D36" s="3" t="n">
        <v>4.3</v>
      </c>
      <c r="E36" s="2">
        <f>CONCATENATE("REV","_",B36)</f>
        <v/>
      </c>
    </row>
    <row r="37">
      <c r="A37" s="2" t="inlineStr">
        <is>
          <t>Social Infrastructure &amp; Citizen Services</t>
        </is>
      </c>
      <c r="B37" s="2" t="inlineStr">
        <is>
          <t>Base &amp; Estate Management</t>
        </is>
      </c>
      <c r="C37" s="2" t="inlineStr">
        <is>
          <t>DEWPO</t>
        </is>
      </c>
      <c r="D37" s="3" t="n">
        <v>0.3</v>
      </c>
      <c r="E37" s="2">
        <f>CONCATENATE("REV","_",B37)</f>
        <v/>
      </c>
    </row>
    <row r="38">
      <c r="A38" s="2" t="inlineStr">
        <is>
          <t>Social Infrastructure &amp; Citizen Services</t>
        </is>
      </c>
      <c r="B38" s="2" t="inlineStr">
        <is>
          <t>Managing Contracts</t>
        </is>
      </c>
      <c r="C38" s="2" t="inlineStr">
        <is>
          <t>Riverina Redevelopment Program</t>
        </is>
      </c>
      <c r="D38" s="3" t="n">
        <v>1.9</v>
      </c>
      <c r="E38" s="2">
        <f>CONCATENATE("REV","_",B38)</f>
        <v/>
      </c>
    </row>
    <row r="39">
      <c r="A39" s="2" t="inlineStr">
        <is>
          <t>Social Infrastructure &amp; Citizen Services</t>
        </is>
      </c>
      <c r="B39" s="2" t="inlineStr">
        <is>
          <t>Managing Contracts</t>
        </is>
      </c>
      <c r="C39" s="2" t="inlineStr">
        <is>
          <t>Woomera Redevelopment Program</t>
        </is>
      </c>
      <c r="D39" s="3" t="n">
        <v>0</v>
      </c>
      <c r="E39" s="2">
        <f>CONCATENATE("REV","_",B39)</f>
        <v/>
      </c>
    </row>
    <row r="40">
      <c r="A40" s="2" t="inlineStr">
        <is>
          <t>Social Infrastructure &amp; Citizen Services</t>
        </is>
      </c>
      <c r="B40" s="2" t="inlineStr">
        <is>
          <t>Government &amp; IFM</t>
        </is>
      </c>
      <c r="C40" s="2" t="inlineStr">
        <is>
          <t>Government Integrated Facilities Management &amp; Infrastructure Property</t>
        </is>
      </c>
      <c r="D40" s="3" t="n">
        <v>9.4</v>
      </c>
      <c r="E40" s="2">
        <f>CONCATENATE("REV","_",B40)</f>
        <v/>
      </c>
    </row>
    <row r="41">
      <c r="A41" s="2" t="inlineStr">
        <is>
          <t>Social Infrastructure &amp; Citizen Services</t>
        </is>
      </c>
      <c r="B41" s="2" t="inlineStr">
        <is>
          <t>Government &amp; IFM</t>
        </is>
      </c>
      <c r="C41" s="2" t="inlineStr">
        <is>
          <t>Justice &amp; IFM</t>
        </is>
      </c>
      <c r="D41" s="3" t="n">
        <v>22</v>
      </c>
      <c r="E41" s="2">
        <f>CONCATENATE("REV","_",B41)</f>
        <v/>
      </c>
    </row>
    <row r="42">
      <c r="A42" s="2" t="inlineStr">
        <is>
          <t>Social Infrastructure &amp; Citizen Services</t>
        </is>
      </c>
      <c r="B42" s="2" t="inlineStr">
        <is>
          <t>Government &amp; IFM</t>
        </is>
      </c>
      <c r="C42" s="2" t="inlineStr">
        <is>
          <t>Government Projects &amp; Operational Solutions</t>
        </is>
      </c>
      <c r="D42" s="3" t="n">
        <v>0.1</v>
      </c>
      <c r="E42" s="2">
        <f>CONCATENATE("REV","_",B42)</f>
        <v/>
      </c>
    </row>
    <row r="43">
      <c r="A43" s="2" t="inlineStr">
        <is>
          <t>Social Infrastructure &amp; Citizen Services</t>
        </is>
      </c>
      <c r="B43" s="2" t="inlineStr">
        <is>
          <t>Government &amp; IFM</t>
        </is>
      </c>
      <c r="C43" s="2" t="inlineStr">
        <is>
          <t>Government Housing</t>
        </is>
      </c>
      <c r="D43" s="3" t="n">
        <v>27.4</v>
      </c>
      <c r="E43" s="2">
        <f>CONCATENATE("REV","_",B43)</f>
        <v/>
      </c>
    </row>
    <row r="44">
      <c r="A44" s="2" t="inlineStr">
        <is>
          <t>Social Infrastructure &amp; Citizen Services</t>
        </is>
      </c>
      <c r="B44" s="2" t="inlineStr">
        <is>
          <t>Government &amp; IFM</t>
        </is>
      </c>
      <c r="C44" s="2" t="inlineStr">
        <is>
          <t>Governments Soft FM Services</t>
        </is>
      </c>
      <c r="D44" s="3" t="n">
        <v>11</v>
      </c>
      <c r="E44" s="2">
        <f>CONCATENATE("REV","_",B44)</f>
        <v/>
      </c>
    </row>
    <row r="45">
      <c r="A45" s="2" t="inlineStr">
        <is>
          <t>Social Infrastructure &amp; Citizen Services</t>
        </is>
      </c>
      <c r="B45" s="2" t="inlineStr">
        <is>
          <t>Government &amp; IFM</t>
        </is>
      </c>
      <c r="C45" s="2" t="inlineStr">
        <is>
          <t>Government &amp; IFM New Business</t>
        </is>
      </c>
      <c r="D45" s="3" t="n">
        <v>0</v>
      </c>
      <c r="E45" s="2">
        <f>CONCATENATE("REV","_",B45)</f>
        <v/>
      </c>
    </row>
    <row r="46">
      <c r="A46" s="2" t="inlineStr">
        <is>
          <t>Social Infrastructure &amp; Citizen Services</t>
        </is>
      </c>
      <c r="B46" s="2" t="inlineStr">
        <is>
          <t>Government &amp; IFM</t>
        </is>
      </c>
      <c r="C46" s="2" t="inlineStr">
        <is>
          <t>Stockland IFM</t>
        </is>
      </c>
      <c r="D46" s="3" t="n">
        <v>1.7</v>
      </c>
      <c r="E46" s="2">
        <f>CONCATENATE("REV","_",B46)</f>
        <v/>
      </c>
    </row>
    <row r="47">
      <c r="A47" s="2" t="inlineStr">
        <is>
          <t>Social Infrastructure &amp; Citizen Services</t>
        </is>
      </c>
      <c r="B47" s="2" t="inlineStr">
        <is>
          <t>Health &amp; Education</t>
        </is>
      </c>
      <c r="C47" s="2" t="inlineStr">
        <is>
          <t>Education PPP</t>
        </is>
      </c>
      <c r="D47" s="3" t="n">
        <v>10</v>
      </c>
      <c r="E47" s="2">
        <f>CONCATENATE("REV","_",B47)</f>
        <v/>
      </c>
    </row>
    <row r="48">
      <c r="A48" s="2" t="inlineStr">
        <is>
          <t>Social Infrastructure &amp; Citizen Services</t>
        </is>
      </c>
      <c r="B48" s="2" t="inlineStr">
        <is>
          <t>Health &amp; Education</t>
        </is>
      </c>
      <c r="C48" s="2" t="inlineStr">
        <is>
          <t>Health Non PPP</t>
        </is>
      </c>
      <c r="D48" s="3" t="n">
        <v>3.3</v>
      </c>
      <c r="E48" s="2">
        <f>CONCATENATE("REV","_",B48)</f>
        <v/>
      </c>
    </row>
    <row r="49">
      <c r="A49" s="2" t="inlineStr">
        <is>
          <t>Social Infrastructure &amp; Citizen Services</t>
        </is>
      </c>
      <c r="B49" s="2" t="inlineStr">
        <is>
          <t>Health &amp; Education</t>
        </is>
      </c>
      <c r="C49" s="2" t="inlineStr">
        <is>
          <t>Health PPP</t>
        </is>
      </c>
      <c r="D49" s="3" t="n">
        <v>31.3</v>
      </c>
      <c r="E49" s="2">
        <f>CONCATENATE("REV","_",B49)</f>
        <v/>
      </c>
    </row>
    <row r="50">
      <c r="A50" s="2" t="inlineStr">
        <is>
          <t>Social Infrastructure &amp; Citizen Services</t>
        </is>
      </c>
      <c r="B50" s="2" t="inlineStr">
        <is>
          <t>Social Infrastructure &amp; Citizen Services Support</t>
        </is>
      </c>
      <c r="C50" s="2" t="inlineStr">
        <is>
          <t>Social Infrastructure &amp; Citizen Services Support</t>
        </is>
      </c>
      <c r="D50" s="3" t="n">
        <v>-0.1</v>
      </c>
      <c r="E50" s="2">
        <f>CONCATENATE("REV","_",B50)</f>
        <v/>
      </c>
    </row>
    <row r="51">
      <c r="A51" s="2" t="inlineStr">
        <is>
          <t>Rail &amp; Transit Systems</t>
        </is>
      </c>
      <c r="B51" s="2" t="inlineStr">
        <is>
          <t>Passenger New Supply and Delivery</t>
        </is>
      </c>
      <c r="C51" s="2" t="inlineStr">
        <is>
          <t>RTS QLD</t>
        </is>
      </c>
      <c r="D51" s="3" t="n">
        <v>49.3</v>
      </c>
      <c r="E51" s="2">
        <f>CONCATENATE("REV","_",B51)</f>
        <v/>
      </c>
    </row>
    <row r="52">
      <c r="A52" s="2" t="inlineStr">
        <is>
          <t>Rail &amp; Transit Systems</t>
        </is>
      </c>
      <c r="B52" s="2" t="inlineStr">
        <is>
          <t>Passenger Refurbishment</t>
        </is>
      </c>
      <c r="C52" s="2" t="inlineStr">
        <is>
          <t>Maryborough Refurbishment</t>
        </is>
      </c>
      <c r="D52" s="3" t="n">
        <v>7.4</v>
      </c>
      <c r="E52" s="2">
        <f>CONCATENATE("REV","_",B52)</f>
        <v/>
      </c>
    </row>
    <row r="53">
      <c r="A53" s="2" t="inlineStr">
        <is>
          <t>Rail &amp; Transit Systems</t>
        </is>
      </c>
      <c r="B53" s="2" t="inlineStr">
        <is>
          <t>Passenger Through Life Support</t>
        </is>
      </c>
      <c r="C53" s="2" t="inlineStr">
        <is>
          <t>TLS Fleet</t>
        </is>
      </c>
      <c r="D53" s="3" t="n">
        <v>30.4</v>
      </c>
      <c r="E53" s="2">
        <f>CONCATENATE("REV","_",B53)</f>
        <v/>
      </c>
    </row>
    <row r="54">
      <c r="A54" s="2" t="inlineStr">
        <is>
          <t>Rail &amp; Transit Systems</t>
        </is>
      </c>
      <c r="B54" s="2" t="inlineStr">
        <is>
          <t>Passenger Through Life Support</t>
        </is>
      </c>
      <c r="C54" s="2" t="inlineStr">
        <is>
          <t>TLS Projects</t>
        </is>
      </c>
      <c r="D54" s="3" t="n">
        <v>3.7</v>
      </c>
      <c r="E54" s="2">
        <f>CONCATENATE("REV","_",B54)</f>
        <v/>
      </c>
    </row>
    <row r="55">
      <c r="A55" s="2" t="inlineStr">
        <is>
          <t>Rail &amp; Transit Systems</t>
        </is>
      </c>
      <c r="B55" s="2" t="inlineStr">
        <is>
          <t>Emerging Markets</t>
        </is>
      </c>
      <c r="C55" s="2" t="inlineStr">
        <is>
          <t>RTS FREIGHT</t>
        </is>
      </c>
      <c r="D55" s="3" t="n">
        <v>0.3</v>
      </c>
      <c r="E55" s="2">
        <f>CONCATENATE("REV","_",B55)</f>
        <v/>
      </c>
    </row>
    <row r="56">
      <c r="A56" s="2" t="inlineStr">
        <is>
          <t>Rail &amp; Transit Systems</t>
        </is>
      </c>
      <c r="B56" s="2" t="inlineStr">
        <is>
          <t>Emerging Markets</t>
        </is>
      </c>
      <c r="C56" s="2" t="inlineStr">
        <is>
          <t>Engineering Consulting</t>
        </is>
      </c>
      <c r="D56" s="3" t="n">
        <v>1.1</v>
      </c>
      <c r="E56" s="2">
        <f>CONCATENATE("REV","_",B56)</f>
        <v/>
      </c>
    </row>
    <row r="57">
      <c r="A57" s="2" t="inlineStr">
        <is>
          <t>Rail &amp; Transit Systems</t>
        </is>
      </c>
      <c r="B57" s="2" t="inlineStr">
        <is>
          <t>Emerging Markets</t>
        </is>
      </c>
      <c r="C57" s="2" t="inlineStr">
        <is>
          <t>RTS Digital</t>
        </is>
      </c>
      <c r="D57" s="3" t="n">
        <v>1.5</v>
      </c>
      <c r="E57" s="2">
        <f>CONCATENATE("REV","_",B57)</f>
        <v/>
      </c>
    </row>
    <row r="58">
      <c r="A58" s="2" t="inlineStr">
        <is>
          <t>Rail &amp; Transit Systems</t>
        </is>
      </c>
      <c r="B58" s="2" t="inlineStr">
        <is>
          <t>RTS Head Office</t>
        </is>
      </c>
      <c r="C58" s="2" t="inlineStr">
        <is>
          <t>Central HO</t>
        </is>
      </c>
      <c r="D58" s="3" t="n">
        <v>0.4</v>
      </c>
      <c r="E58" s="2">
        <f>CONCATENATE("REV","_",B58)</f>
        <v/>
      </c>
    </row>
    <row r="59">
      <c r="A59" s="2" t="inlineStr">
        <is>
          <t>Rail &amp; Transit Systems</t>
        </is>
      </c>
      <c r="B59" s="2" t="inlineStr">
        <is>
          <t>Intercompany Elimination</t>
        </is>
      </c>
      <c r="C59" s="2" t="inlineStr">
        <is>
          <t>Intercompany Elimination</t>
        </is>
      </c>
      <c r="D59" s="3" t="n">
        <v>-1</v>
      </c>
      <c r="E59" s="2">
        <f>CONCATENATE("REV","_",B59)</f>
        <v/>
      </c>
    </row>
    <row r="60">
      <c r="A60" s="2" t="inlineStr">
        <is>
          <t>Corporate Group</t>
        </is>
      </c>
      <c r="B60" s="2" t="inlineStr">
        <is>
          <t>Corporate Australia</t>
        </is>
      </c>
      <c r="C60" s="2" t="n"/>
      <c r="D60" s="3" t="n">
        <v>-1.8</v>
      </c>
      <c r="E60" s="2">
        <f>CONCATENATE("REV","_",B60)</f>
        <v/>
      </c>
    </row>
    <row r="61">
      <c r="A61" s="2" t="inlineStr">
        <is>
          <t>Corporate Group</t>
        </is>
      </c>
      <c r="B61" s="2" t="inlineStr">
        <is>
          <t>NZ NSC, IT, Property, WF &amp; Elins</t>
        </is>
      </c>
      <c r="C61" s="2" t="n"/>
      <c r="D61" s="3" t="n">
        <v>0.1</v>
      </c>
      <c r="E61" s="2">
        <f>CONCATENATE("REV","_",B61)</f>
        <v/>
      </c>
    </row>
    <row r="62">
      <c r="A62" s="2" t="inlineStr">
        <is>
          <t>Non-core business</t>
        </is>
      </c>
      <c r="B62" s="2" t="inlineStr">
        <is>
          <t>Infrastructure Projects</t>
        </is>
      </c>
      <c r="C62" s="2" t="n"/>
      <c r="D62" s="3" t="n">
        <v>0</v>
      </c>
      <c r="E62" s="2">
        <f>CONCATENATE("REV","_",B62)</f>
        <v/>
      </c>
    </row>
    <row r="63">
      <c r="A63" s="2" t="inlineStr">
        <is>
          <t>Intra Elim</t>
        </is>
      </c>
      <c r="B63" s="2" t="inlineStr">
        <is>
          <t>Intra Elim</t>
        </is>
      </c>
      <c r="C63" s="2" t="n"/>
      <c r="D63" s="3" t="n">
        <v>0.4</v>
      </c>
      <c r="E63" s="2">
        <f>CONCATENATE("REV","_",B63)</f>
        <v/>
      </c>
    </row>
    <row r="64">
      <c r="A64" s="2" t="inlineStr">
        <is>
          <t>Transport &amp; Infrastructure</t>
        </is>
      </c>
      <c r="B64" s="2" t="inlineStr">
        <is>
          <t>Transport &amp; Infrastructure AU</t>
        </is>
      </c>
      <c r="C64" s="2" t="inlineStr">
        <is>
          <t>T&amp;I AU GAP</t>
        </is>
      </c>
      <c r="D64" s="3" t="n">
        <v>0</v>
      </c>
      <c r="E64" s="2">
        <f>CONCATENATE("REV","_",B64)</f>
        <v/>
      </c>
    </row>
    <row r="65">
      <c r="A65" s="2" t="inlineStr">
        <is>
          <t>Transport &amp; Infrastructure</t>
        </is>
      </c>
      <c r="B65" s="2" t="inlineStr">
        <is>
          <t>T&amp;I Gap</t>
        </is>
      </c>
      <c r="C65" s="2" t="inlineStr">
        <is>
          <t>T&amp;I Gap AU</t>
        </is>
      </c>
      <c r="D65" s="3" t="n">
        <v>0</v>
      </c>
      <c r="E65" s="2">
        <f>CONCATENATE("REV","_",B65)</f>
        <v/>
      </c>
    </row>
    <row r="66">
      <c r="A66" s="2" t="inlineStr">
        <is>
          <t>Transport &amp; Infrastructure</t>
        </is>
      </c>
      <c r="B66" s="2" t="inlineStr">
        <is>
          <t>T&amp;I Head Office</t>
        </is>
      </c>
      <c r="C66" s="2" t="inlineStr">
        <is>
          <t>T&amp;I Head Office NZ</t>
        </is>
      </c>
      <c r="D66" s="3" t="n">
        <v>0</v>
      </c>
      <c r="E66" s="2">
        <f>CONCATENATE("REV","_",B66)</f>
        <v/>
      </c>
    </row>
    <row r="67">
      <c r="A67" s="2" t="inlineStr">
        <is>
          <t>Social Infrastructure &amp; Citizen Services</t>
        </is>
      </c>
      <c r="B67" s="2" t="inlineStr">
        <is>
          <t>Health &amp; Education</t>
        </is>
      </c>
      <c r="C67" s="2" t="inlineStr">
        <is>
          <t>Health &amp; Education New Business</t>
        </is>
      </c>
      <c r="D67" s="3" t="n">
        <v>0</v>
      </c>
      <c r="E67" s="2">
        <f>CONCATENATE("REV","_",B67)</f>
        <v/>
      </c>
    </row>
    <row r="68">
      <c r="A68" s="2" t="inlineStr">
        <is>
          <t>Rail &amp; Transit Systems</t>
        </is>
      </c>
      <c r="B68" s="2" t="inlineStr">
        <is>
          <t>RTS Opportunities</t>
        </is>
      </c>
      <c r="C68" s="2" t="inlineStr">
        <is>
          <t>RTS Opportunities</t>
        </is>
      </c>
      <c r="D68" s="3" t="n">
        <v>0</v>
      </c>
      <c r="E68" s="2">
        <f>CONCATENATE("REV","_",B68)</f>
        <v/>
      </c>
    </row>
    <row r="69">
      <c r="C69" s="1" t="inlineStr">
        <is>
          <t>Total</t>
        </is>
      </c>
      <c r="D69" s="4">
        <f>SUM(D2:D68)</f>
        <v/>
      </c>
    </row>
    <row r="71">
      <c r="A71" s="5" t="inlineStr">
        <is>
          <t>NOTE: FY27 is a single-month setup (Jul-26 only, month 1 of FY27 Jul26-Jun27). Filename range "REVJUL26toJUL26" is an assumption: no prior FY26 setup workbook in this repo's history covered a single month (the earliest committed FY26 setup file already spanned Jul25-Apr26), so the single-month convention was inferred by analogy to the multi-month "REVJUL25toJUN26" pattern with start month = end month.</t>
        </is>
      </c>
    </row>
    <row r="72">
      <c r="A72" s="5" t="inlineStr">
        <is>
          <t>Line items dropped vs FY26 template (absent from Jul-26 FY27 actuals, value would be 0): 16 lines. Line items added vs FY26 template (new in Jul-26 FY27 actuals): 5 lines (see cell comments in column C).</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B2643"/>
  <sheetViews>
    <sheetView tabSelected="0" workbookViewId="0">
      <selection activeCell="A1" sqref="A1"/>
    </sheetView>
  </sheetViews>
  <sheetFormatPr baseColWidth="8" defaultRowHeight="15"/>
  <cols>
    <col width="108.7109375" customWidth="1" min="2" max="2"/>
    <col width="26" customWidth="1" min="3" max="3"/>
    <col width="23.5703125" customWidth="1" min="4" max="4"/>
    <col width="33.85546875" customWidth="1" min="5" max="5"/>
  </cols>
  <sheetData>
    <row r="1">
      <c r="A1" s="2" t="inlineStr">
        <is>
          <t>Associate</t>
        </is>
      </c>
      <c r="B1" s="2" t="inlineStr">
        <is>
          <t>Location_Name</t>
        </is>
      </c>
      <c r="C1" s="2" t="inlineStr">
        <is>
          <t>Type</t>
        </is>
      </c>
      <c r="D1" s="2" t="inlineStr">
        <is>
          <t>Ref_No</t>
        </is>
      </c>
      <c r="E1" s="2" t="inlineStr">
        <is>
          <t>Location Ref</t>
        </is>
      </c>
      <c r="F1" s="2" t="inlineStr">
        <is>
          <t>Id</t>
        </is>
      </c>
      <c r="G1" s="2" t="inlineStr">
        <is>
          <t>Notes</t>
        </is>
      </c>
      <c r="H1" s="2" t="inlineStr">
        <is>
          <t>Address</t>
        </is>
      </c>
      <c r="I1" s="2" t="inlineStr">
        <is>
          <t>City</t>
        </is>
      </c>
      <c r="J1" s="2" t="inlineStr">
        <is>
          <t>State</t>
        </is>
      </c>
      <c r="K1" s="2" t="inlineStr">
        <is>
          <t>Postal_Code</t>
        </is>
      </c>
      <c r="L1" s="2" t="inlineStr">
        <is>
          <t>Address Country</t>
        </is>
      </c>
      <c r="M1" s="2" t="inlineStr">
        <is>
          <t>Region</t>
        </is>
      </c>
      <c r="N1" s="2" t="inlineStr">
        <is>
          <t>Country</t>
        </is>
      </c>
      <c r="O1" s="2" t="inlineStr">
        <is>
          <t>Alternate Factor Region</t>
        </is>
      </c>
      <c r="P1" s="2" t="inlineStr">
        <is>
          <t>Group Level 1</t>
        </is>
      </c>
      <c r="Q1" s="2" t="inlineStr">
        <is>
          <t>Group Level 2</t>
        </is>
      </c>
      <c r="R1" s="2" t="inlineStr">
        <is>
          <t>Group Level 3</t>
        </is>
      </c>
      <c r="S1" s="2" t="inlineStr">
        <is>
          <t>Group_Associate</t>
        </is>
      </c>
      <c r="T1" s="2" t="inlineStr">
        <is>
          <t>Report_Percent</t>
        </is>
      </c>
      <c r="U1" s="2" t="inlineStr">
        <is>
          <t>Effective_From</t>
        </is>
      </c>
      <c r="V1" s="2" t="inlineStr">
        <is>
          <t>Effective_To</t>
        </is>
      </c>
      <c r="W1" s="2" t="inlineStr">
        <is>
          <t>Group_Type</t>
        </is>
      </c>
      <c r="X1" s="2" t="inlineStr">
        <is>
          <t>Latitude</t>
        </is>
      </c>
      <c r="Y1" s="2" t="inlineStr">
        <is>
          <t>Longitude</t>
        </is>
      </c>
      <c r="Z1" s="2" t="inlineStr">
        <is>
          <t>ANZSIC Code</t>
        </is>
      </c>
      <c r="AA1" s="2" t="inlineStr">
        <is>
          <t>Opened On</t>
        </is>
      </c>
      <c r="AB1" s="2" t="inlineStr">
        <is>
          <t>Closed On</t>
        </is>
      </c>
    </row>
    <row r="2">
      <c r="A2" s="2" t="inlineStr">
        <is>
          <t>Downer</t>
        </is>
      </c>
      <c r="B2" s="2" t="inlineStr">
        <is>
          <t>[CLOSED] Hobart Airport Upgrade Project</t>
        </is>
      </c>
      <c r="C2" s="2" t="inlineStr">
        <is>
          <t>Airport</t>
        </is>
      </c>
      <c r="D2" s="2" t="inlineStr">
        <is>
          <t>L9.J.170751</t>
        </is>
      </c>
      <c r="E2" s="2" t="n">
        <v>170751</v>
      </c>
      <c r="G2" s="2" t="inlineStr">
        <is>
          <t>TI-170751 - Airports General Delivery</t>
        </is>
      </c>
      <c r="H2" s="2" t="inlineStr">
        <is>
          <t>250 Surf Road, Seven Mile Beach</t>
        </is>
      </c>
      <c r="I2" s="2" t="inlineStr">
        <is>
          <t>Tasmania</t>
        </is>
      </c>
      <c r="J2" s="2" t="inlineStr">
        <is>
          <t>TAS</t>
        </is>
      </c>
      <c r="K2" s="2" t="n">
        <v>7170</v>
      </c>
      <c r="M2" s="2" t="inlineStr">
        <is>
          <t>Tasmania</t>
        </is>
      </c>
      <c r="N2" s="2" t="inlineStr">
        <is>
          <t>Australia</t>
        </is>
      </c>
      <c r="P2" s="2" t="inlineStr">
        <is>
          <t>Operational Control</t>
        </is>
      </c>
      <c r="Q2" s="2" t="inlineStr">
        <is>
          <t>Operational Control</t>
        </is>
      </c>
      <c r="R2" s="2" t="inlineStr">
        <is>
          <t>Transport &amp; Infrastructure (T&amp;I)</t>
        </is>
      </c>
      <c r="S2" s="2" t="inlineStr">
        <is>
          <t>Downer</t>
        </is>
      </c>
      <c r="T2" s="2" t="n">
        <v>100</v>
      </c>
      <c r="W2" s="2" t="inlineStr">
        <is>
          <t>Classification</t>
        </is>
      </c>
      <c r="AB2" s="11" t="n">
        <v>45808</v>
      </c>
    </row>
    <row r="3">
      <c r="A3" s="2" t="inlineStr">
        <is>
          <t>Downer</t>
        </is>
      </c>
      <c r="B3" s="2" t="inlineStr">
        <is>
          <t>_CLOSED_ AGIS Braddon</t>
        </is>
      </c>
      <c r="C3" s="2" t="inlineStr">
        <is>
          <t>Office</t>
        </is>
      </c>
      <c r="D3" s="2" t="inlineStr">
        <is>
          <t>L9.J.502002</t>
        </is>
      </c>
      <c r="E3" s="2" t="n">
        <v>2001</v>
      </c>
      <c r="F3" s="2" t="n">
        <v>2001</v>
      </c>
      <c r="G3" s="2" t="inlineStr">
        <is>
          <t>electricity data only from landlord accounts</t>
        </is>
      </c>
      <c r="M3" s="2" t="inlineStr">
        <is>
          <t>Australian Capital Territory</t>
        </is>
      </c>
      <c r="N3" s="2" t="inlineStr">
        <is>
          <t>Australia</t>
        </is>
      </c>
      <c r="P3" s="2" t="inlineStr">
        <is>
          <t>Operational Control</t>
        </is>
      </c>
      <c r="Q3" s="2" t="inlineStr">
        <is>
          <t>Operational Control</t>
        </is>
      </c>
      <c r="R3" s="2" t="inlineStr">
        <is>
          <t>Social Infra &amp; Citizen Serv (SICS)</t>
        </is>
      </c>
      <c r="S3" s="2" t="inlineStr">
        <is>
          <t>Downer</t>
        </is>
      </c>
      <c r="T3" s="2" t="n">
        <v>100</v>
      </c>
      <c r="U3" s="11" t="n">
        <v>43405</v>
      </c>
      <c r="V3" s="11" t="n">
        <v>44500</v>
      </c>
      <c r="W3" s="2" t="inlineStr">
        <is>
          <t>Classification</t>
        </is>
      </c>
      <c r="X3" s="2" t="n">
        <v>-35.273</v>
      </c>
      <c r="Y3" s="2" t="n">
        <v>149.133</v>
      </c>
      <c r="Z3" s="2" t="n">
        <v>760</v>
      </c>
      <c r="AA3" s="11" t="n">
        <v>42583</v>
      </c>
      <c r="AB3" s="11" t="n">
        <v>44901</v>
      </c>
    </row>
    <row r="4">
      <c r="A4" s="2" t="inlineStr">
        <is>
          <t>Downer</t>
        </is>
      </c>
      <c r="B4" s="2" t="inlineStr">
        <is>
          <t>_CLOSED_ OSM_Waitaki</t>
        </is>
      </c>
      <c r="C4" s="2" t="inlineStr">
        <is>
          <t>Other</t>
        </is>
      </c>
      <c r="D4" s="2" t="inlineStr">
        <is>
          <t>L9.DNZJ.55876</t>
        </is>
      </c>
      <c r="E4" s="2" t="n">
        <v>5088</v>
      </c>
      <c r="G4" s="2" t="inlineStr">
        <is>
          <t>Outside Space Management (Gardening) - New facilities established for more granular reporting and to reflect new structure for FY17. See facility named "NZ-Infrastructure Services" for historical data.</t>
        </is>
      </c>
      <c r="H4" s="2" t="inlineStr">
        <is>
          <t>Chelmer Street</t>
        </is>
      </c>
      <c r="I4" s="2" t="inlineStr">
        <is>
          <t>Oamaru</t>
        </is>
      </c>
      <c r="J4" s="2" t="inlineStr">
        <is>
          <t>Otago</t>
        </is>
      </c>
      <c r="K4" s="2" t="n">
        <v>2104</v>
      </c>
      <c r="L4" s="2" t="inlineStr">
        <is>
          <t>New Zealand</t>
        </is>
      </c>
      <c r="M4" s="2" t="inlineStr">
        <is>
          <t>Oamaru</t>
        </is>
      </c>
      <c r="N4" s="2" t="inlineStr">
        <is>
          <t>New Zealand</t>
        </is>
      </c>
      <c r="P4" s="2" t="inlineStr">
        <is>
          <t>Operational Control</t>
        </is>
      </c>
      <c r="Q4" s="2" t="inlineStr">
        <is>
          <t>Operational Control</t>
        </is>
      </c>
      <c r="R4" s="2" t="inlineStr">
        <is>
          <t>Transport &amp; Infrastructure (T&amp;I)</t>
        </is>
      </c>
      <c r="S4" s="2" t="inlineStr">
        <is>
          <t>Downer</t>
        </is>
      </c>
      <c r="T4" s="2" t="n">
        <v>100</v>
      </c>
      <c r="W4" s="2" t="inlineStr">
        <is>
          <t>Classification</t>
        </is>
      </c>
      <c r="X4" s="2" t="n">
        <v>-45.0978481999999</v>
      </c>
      <c r="Y4" s="2" t="n">
        <v>170.9606991</v>
      </c>
      <c r="Z4" s="2" t="n">
        <v>731</v>
      </c>
      <c r="AA4" s="11" t="n">
        <v>42917</v>
      </c>
    </row>
    <row r="5">
      <c r="A5" s="2" t="inlineStr">
        <is>
          <t>Downer</t>
        </is>
      </c>
      <c r="B5" s="2" t="inlineStr">
        <is>
          <t>_CLOSED_25820008 - Winneke Main Substation Switchboard Replacement</t>
        </is>
      </c>
      <c r="C5" s="2" t="inlineStr">
        <is>
          <t>Site</t>
        </is>
      </c>
      <c r="D5" s="2" t="inlineStr">
        <is>
          <t>L9.J.25820008</t>
        </is>
      </c>
      <c r="E5" s="2" t="inlineStr">
        <is>
          <t>UTIL-25820008</t>
        </is>
      </c>
      <c r="G5" s="2" t="inlineStr">
        <is>
          <t>Main Substation Switchboard Replacement - Project finished in September 2022.</t>
        </is>
      </c>
      <c r="M5" s="2" t="inlineStr">
        <is>
          <t>Victoria</t>
        </is>
      </c>
      <c r="N5" s="2" t="inlineStr">
        <is>
          <t>Australia</t>
        </is>
      </c>
      <c r="P5" s="2" t="inlineStr">
        <is>
          <t>Operational Control</t>
        </is>
      </c>
      <c r="Q5" s="2" t="inlineStr">
        <is>
          <t>Operational Control</t>
        </is>
      </c>
      <c r="R5" s="2" t="inlineStr">
        <is>
          <t>Energy and Utilities (EU)</t>
        </is>
      </c>
      <c r="S5" s="2" t="inlineStr">
        <is>
          <t>Downer</t>
        </is>
      </c>
      <c r="T5" s="2" t="n">
        <v>100</v>
      </c>
      <c r="W5" s="2" t="inlineStr">
        <is>
          <t>Classification</t>
        </is>
      </c>
      <c r="AB5" s="11" t="n">
        <v>44835</v>
      </c>
    </row>
    <row r="6">
      <c r="A6" s="2" t="inlineStr">
        <is>
          <t>Downer</t>
        </is>
      </c>
      <c r="B6" s="2" t="inlineStr">
        <is>
          <t>_CLOSED_25820012 - WTP 25W Lagoon Pond 1 HV and LV Renewals</t>
        </is>
      </c>
      <c r="C6" s="2" t="inlineStr">
        <is>
          <t>Site</t>
        </is>
      </c>
      <c r="D6" s="2" t="inlineStr">
        <is>
          <t>L9.J.25820012</t>
        </is>
      </c>
      <c r="E6" s="2" t="inlineStr">
        <is>
          <t>UTIL-25820012</t>
        </is>
      </c>
      <c r="G6" s="2" t="inlineStr">
        <is>
          <t>WTP 25W Lagoon Pond 1 HV and LV Renewals</t>
        </is>
      </c>
      <c r="M6" s="2" t="inlineStr">
        <is>
          <t>Victoria</t>
        </is>
      </c>
      <c r="N6" s="2" t="inlineStr">
        <is>
          <t>Australia</t>
        </is>
      </c>
      <c r="P6" s="2" t="inlineStr">
        <is>
          <t>Operational Control</t>
        </is>
      </c>
      <c r="Q6" s="2" t="inlineStr">
        <is>
          <t>Operational Control</t>
        </is>
      </c>
      <c r="R6" s="2" t="inlineStr">
        <is>
          <t>Energy and Utilities (EU)</t>
        </is>
      </c>
      <c r="S6" s="2" t="inlineStr">
        <is>
          <t>Downer</t>
        </is>
      </c>
      <c r="T6" s="2" t="n">
        <v>100</v>
      </c>
      <c r="W6" s="2" t="inlineStr">
        <is>
          <t>Classification</t>
        </is>
      </c>
      <c r="AB6" s="11" t="n">
        <v>45629</v>
      </c>
    </row>
    <row r="7">
      <c r="A7" s="2" t="inlineStr">
        <is>
          <t>Downer</t>
        </is>
      </c>
      <c r="B7" s="2" t="inlineStr">
        <is>
          <t>_CLOSED_86 Collins St Tas</t>
        </is>
      </c>
      <c r="C7" s="2" t="inlineStr">
        <is>
          <t>Branch Office</t>
        </is>
      </c>
      <c r="D7" s="2" t="inlineStr">
        <is>
          <t>L9.J.105001</t>
        </is>
      </c>
      <c r="E7" s="2" t="n">
        <v>9164</v>
      </c>
      <c r="G7" s="2" t="inlineStr">
        <is>
          <t>Level 12, 86 Collins Street
HOBART  TAS  7000</t>
        </is>
      </c>
      <c r="M7" s="2" t="inlineStr">
        <is>
          <t>Hobart</t>
        </is>
      </c>
      <c r="N7" s="2" t="inlineStr">
        <is>
          <t>Australia</t>
        </is>
      </c>
      <c r="P7" s="2" t="inlineStr">
        <is>
          <t>Operational Control</t>
        </is>
      </c>
      <c r="Q7" s="2" t="inlineStr">
        <is>
          <t>Operational Control</t>
        </is>
      </c>
      <c r="R7" s="2" t="inlineStr">
        <is>
          <t>Corporate</t>
        </is>
      </c>
      <c r="S7" s="2" t="inlineStr">
        <is>
          <t>Downer</t>
        </is>
      </c>
      <c r="T7" s="2" t="n">
        <v>100</v>
      </c>
      <c r="W7" s="2" t="inlineStr">
        <is>
          <t>Classification</t>
        </is>
      </c>
      <c r="Z7" s="2" t="n">
        <v>692</v>
      </c>
    </row>
    <row r="8">
      <c r="A8" s="2" t="inlineStr">
        <is>
          <t>Downer</t>
        </is>
      </c>
      <c r="B8" s="2" t="inlineStr">
        <is>
          <t>_CLOSED_Accommodation - NZ</t>
        </is>
      </c>
      <c r="C8" s="2" t="inlineStr">
        <is>
          <t>Hotel</t>
        </is>
      </c>
      <c r="D8" s="2" t="inlineStr">
        <is>
          <t>L9.WAU.000887</t>
        </is>
      </c>
      <c r="E8" s="2" t="inlineStr">
        <is>
          <t>L9.WAU.000887</t>
        </is>
      </c>
      <c r="M8" s="2" t="inlineStr">
        <is>
          <t>Auckland</t>
        </is>
      </c>
      <c r="N8" s="2" t="inlineStr">
        <is>
          <t>New Zealand</t>
        </is>
      </c>
      <c r="P8" s="2" t="inlineStr">
        <is>
          <t>Operational Control</t>
        </is>
      </c>
      <c r="Q8" s="2" t="inlineStr">
        <is>
          <t>Operational Control</t>
        </is>
      </c>
      <c r="R8" s="2" t="inlineStr">
        <is>
          <t>Corporate</t>
        </is>
      </c>
      <c r="S8" s="2" t="inlineStr">
        <is>
          <t>Downer</t>
        </is>
      </c>
      <c r="T8" s="2" t="n">
        <v>100</v>
      </c>
      <c r="W8" s="2" t="inlineStr">
        <is>
          <t>Classification</t>
        </is>
      </c>
    </row>
    <row r="9">
      <c r="A9" s="2" t="inlineStr">
        <is>
          <t>Downer</t>
        </is>
      </c>
      <c r="B9" s="2" t="inlineStr">
        <is>
          <t>_CLOSED_ACES - North Queensland Region</t>
        </is>
      </c>
      <c r="C9" s="2" t="inlineStr">
        <is>
          <t>Depot</t>
        </is>
      </c>
      <c r="D9" s="2" t="inlineStr">
        <is>
          <t>L9.DUA.12005</t>
        </is>
      </c>
      <c r="E9" s="2" t="inlineStr">
        <is>
          <t>L9.DUA.12005</t>
        </is>
      </c>
      <c r="G9" s="2" t="inlineStr">
        <is>
          <t>Contract ended June 2022.</t>
        </is>
      </c>
      <c r="M9" s="2" t="inlineStr">
        <is>
          <t>Queensland</t>
        </is>
      </c>
      <c r="N9" s="2" t="inlineStr">
        <is>
          <t>Australia</t>
        </is>
      </c>
      <c r="P9" s="2" t="inlineStr">
        <is>
          <t>Operational Control</t>
        </is>
      </c>
      <c r="Q9" s="2" t="inlineStr">
        <is>
          <t>Operational Control</t>
        </is>
      </c>
      <c r="R9" s="2" t="inlineStr">
        <is>
          <t>Energy and Utilities (EU)</t>
        </is>
      </c>
      <c r="S9" s="2" t="inlineStr">
        <is>
          <t>Downer</t>
        </is>
      </c>
      <c r="T9" s="2" t="n">
        <v>100</v>
      </c>
      <c r="W9" s="2" t="inlineStr">
        <is>
          <t>Classification</t>
        </is>
      </c>
      <c r="AB9" s="11" t="n">
        <v>44742</v>
      </c>
    </row>
    <row r="10">
      <c r="A10" s="2" t="inlineStr">
        <is>
          <t>Downer</t>
        </is>
      </c>
      <c r="B10" s="2" t="inlineStr">
        <is>
          <t>_CLOSED_Adelaide Light Rail - North Terrace Tramli</t>
        </is>
      </c>
      <c r="C10" s="2" t="inlineStr">
        <is>
          <t>Other</t>
        </is>
      </c>
      <c r="D10" s="2" t="inlineStr">
        <is>
          <t>L9.D.20143004</t>
        </is>
      </c>
      <c r="E10" s="2" t="inlineStr">
        <is>
          <t>L9.D.20143004</t>
        </is>
      </c>
      <c r="H10" s="2" t="inlineStr">
        <is>
          <t>SA</t>
        </is>
      </c>
      <c r="I10" s="2" t="inlineStr">
        <is>
          <t>Adelaide</t>
        </is>
      </c>
      <c r="J10" s="2" t="inlineStr">
        <is>
          <t>SA</t>
        </is>
      </c>
      <c r="M10" s="2" t="inlineStr">
        <is>
          <t>South Australia</t>
        </is>
      </c>
      <c r="N10" s="2" t="inlineStr">
        <is>
          <t>Australia</t>
        </is>
      </c>
      <c r="P10" s="2" t="inlineStr">
        <is>
          <t>Operational Control</t>
        </is>
      </c>
      <c r="Q10" s="2" t="inlineStr">
        <is>
          <t>Operational Control</t>
        </is>
      </c>
      <c r="R10" s="2" t="inlineStr">
        <is>
          <t>DT Infrastructure (pre Sept 23 divestment)</t>
        </is>
      </c>
      <c r="S10" s="2" t="inlineStr">
        <is>
          <t>Downer</t>
        </is>
      </c>
      <c r="T10" s="2" t="n">
        <v>100</v>
      </c>
      <c r="V10" s="11" t="n">
        <v>45199</v>
      </c>
      <c r="W10" s="2" t="inlineStr">
        <is>
          <t>Classification</t>
        </is>
      </c>
      <c r="X10" s="2" t="n">
        <v>-34.921297</v>
      </c>
      <c r="Y10" s="2" t="n">
        <v>138.604655</v>
      </c>
      <c r="Z10" s="2" t="n">
        <v>310</v>
      </c>
    </row>
    <row r="11">
      <c r="A11" s="2" t="inlineStr">
        <is>
          <t>Downer</t>
        </is>
      </c>
      <c r="B11" s="2" t="inlineStr">
        <is>
          <t>_CLOSED_AE Smith - Burleigh</t>
        </is>
      </c>
      <c r="C11" s="2" t="inlineStr">
        <is>
          <t>Branch Office</t>
        </is>
      </c>
      <c r="D11" s="2" t="inlineStr">
        <is>
          <t>L9.S.13000757</t>
        </is>
      </c>
      <c r="E11" s="2" t="n">
        <v>9165</v>
      </c>
      <c r="G11" s="2" t="inlineStr">
        <is>
          <t>12/8 Fortitude Crescent
BURLEIGH HEADS  QLD  4220</t>
        </is>
      </c>
      <c r="M11" s="2" t="inlineStr">
        <is>
          <t>New South Wales</t>
        </is>
      </c>
      <c r="N11" s="2" t="inlineStr">
        <is>
          <t>Australia</t>
        </is>
      </c>
      <c r="P11" s="2" t="inlineStr">
        <is>
          <t>Operational Control</t>
        </is>
      </c>
      <c r="Q11" s="2" t="inlineStr">
        <is>
          <t>Operational Control</t>
        </is>
      </c>
      <c r="R11" s="2" t="inlineStr">
        <is>
          <t>Asset &amp; Development Services (Baseline)</t>
        </is>
      </c>
      <c r="S11" s="2" t="inlineStr">
        <is>
          <t>Downer</t>
        </is>
      </c>
      <c r="T11" s="2" t="n">
        <v>100</v>
      </c>
      <c r="V11" s="11" t="n">
        <v>45107</v>
      </c>
      <c r="W11" s="2" t="inlineStr">
        <is>
          <t>Classification</t>
        </is>
      </c>
      <c r="Z11" s="2" t="n">
        <v>692</v>
      </c>
    </row>
    <row r="12">
      <c r="A12" s="2" t="inlineStr">
        <is>
          <t>Downer</t>
        </is>
      </c>
      <c r="B12" s="2" t="inlineStr">
        <is>
          <t>_CLOSED_AE Smith - Eagle Farm</t>
        </is>
      </c>
      <c r="C12" s="2" t="inlineStr">
        <is>
          <t>Branch Office</t>
        </is>
      </c>
      <c r="D12" s="2" t="inlineStr">
        <is>
          <t>L9.S.16015125</t>
        </is>
      </c>
      <c r="E12" s="2" t="n">
        <v>9013</v>
      </c>
      <c r="H12" s="2" t="inlineStr">
        <is>
          <t>Lot 801 65 Links Ave</t>
        </is>
      </c>
      <c r="I12" s="2" t="inlineStr">
        <is>
          <t>Eagle Farm</t>
        </is>
      </c>
      <c r="J12" s="2" t="inlineStr">
        <is>
          <t>QLD</t>
        </is>
      </c>
      <c r="K12" s="2" t="n">
        <v>4009</v>
      </c>
      <c r="M12" s="2" t="inlineStr">
        <is>
          <t>Queensland</t>
        </is>
      </c>
      <c r="N12" s="2" t="inlineStr">
        <is>
          <t>Australia</t>
        </is>
      </c>
      <c r="P12" s="2" t="inlineStr">
        <is>
          <t>Operational Control</t>
        </is>
      </c>
      <c r="Q12" s="2" t="inlineStr">
        <is>
          <t>Operational Control</t>
        </is>
      </c>
      <c r="R12" s="2" t="inlineStr">
        <is>
          <t>Asset &amp; Development Services (Baseline)</t>
        </is>
      </c>
      <c r="S12" s="2" t="inlineStr">
        <is>
          <t>Downer</t>
        </is>
      </c>
      <c r="T12" s="2" t="n">
        <v>100</v>
      </c>
      <c r="V12" s="11" t="n">
        <v>45107</v>
      </c>
      <c r="W12" s="2" t="inlineStr">
        <is>
          <t>Classification</t>
        </is>
      </c>
      <c r="X12" s="2" t="n">
        <v>-27.436443</v>
      </c>
      <c r="Y12" s="2" t="n">
        <v>153.086368</v>
      </c>
      <c r="Z12" s="2" t="n">
        <v>692</v>
      </c>
    </row>
    <row r="13">
      <c r="A13" s="2" t="inlineStr">
        <is>
          <t>Downer</t>
        </is>
      </c>
      <c r="B13" s="2" t="inlineStr">
        <is>
          <t>_CLOSED_AE Smith - Eagle Farm, Harvey St</t>
        </is>
      </c>
      <c r="C13" s="2" t="inlineStr">
        <is>
          <t>Office</t>
        </is>
      </c>
      <c r="D13" s="2" t="inlineStr">
        <is>
          <t>L9.S.13001004</t>
        </is>
      </c>
      <c r="E13" s="2" t="n">
        <v>9128</v>
      </c>
      <c r="H13" s="2" t="inlineStr">
        <is>
          <t>Harvey St</t>
        </is>
      </c>
      <c r="I13" s="2" t="inlineStr">
        <is>
          <t>Eagle Farm</t>
        </is>
      </c>
      <c r="J13" s="2" t="inlineStr">
        <is>
          <t>QLD</t>
        </is>
      </c>
      <c r="K13" s="2" t="n">
        <v>4009</v>
      </c>
      <c r="M13" s="2" t="inlineStr">
        <is>
          <t>Brisbane</t>
        </is>
      </c>
      <c r="N13" s="2" t="inlineStr">
        <is>
          <t>Australia</t>
        </is>
      </c>
      <c r="P13" s="2" t="inlineStr">
        <is>
          <t>Operational Control</t>
        </is>
      </c>
      <c r="Q13" s="2" t="inlineStr">
        <is>
          <t>Operational Control</t>
        </is>
      </c>
      <c r="R13" s="2" t="inlineStr">
        <is>
          <t>Asset &amp; Development Services (Baseline)</t>
        </is>
      </c>
      <c r="S13" s="2" t="inlineStr">
        <is>
          <t>Downer</t>
        </is>
      </c>
      <c r="T13" s="2" t="n">
        <v>100</v>
      </c>
      <c r="V13" s="11" t="n">
        <v>45107</v>
      </c>
      <c r="W13" s="2" t="inlineStr">
        <is>
          <t>Classification</t>
        </is>
      </c>
      <c r="X13" s="2" t="n">
        <v>-27.437252</v>
      </c>
      <c r="Y13" s="2" t="n">
        <v>153.093614</v>
      </c>
      <c r="Z13" s="2" t="n">
        <v>692</v>
      </c>
    </row>
    <row r="14">
      <c r="A14" s="2" t="inlineStr">
        <is>
          <t>Downer</t>
        </is>
      </c>
      <c r="B14" s="2" t="inlineStr">
        <is>
          <t>_CLOSED_AE Smith - Eagle Farm, Schneider Rd</t>
        </is>
      </c>
      <c r="C14" s="2" t="inlineStr">
        <is>
          <t>Branch Office</t>
        </is>
      </c>
      <c r="D14" s="2" t="inlineStr">
        <is>
          <t>L9.S.13001052</t>
        </is>
      </c>
      <c r="E14" s="2" t="n">
        <v>9127</v>
      </c>
      <c r="H14" s="2" t="inlineStr">
        <is>
          <t>80 Schneider Road</t>
        </is>
      </c>
      <c r="I14" s="2" t="inlineStr">
        <is>
          <t>Eagle Farm</t>
        </is>
      </c>
      <c r="J14" s="2" t="inlineStr">
        <is>
          <t>QLD</t>
        </is>
      </c>
      <c r="K14" s="2" t="n">
        <v>4009</v>
      </c>
      <c r="L14" s="2" t="inlineStr">
        <is>
          <t>Australia</t>
        </is>
      </c>
      <c r="M14" s="2" t="inlineStr">
        <is>
          <t>Brisbane</t>
        </is>
      </c>
      <c r="N14" s="2" t="inlineStr">
        <is>
          <t>Australia</t>
        </is>
      </c>
      <c r="P14" s="2" t="inlineStr">
        <is>
          <t>Operational Control</t>
        </is>
      </c>
      <c r="Q14" s="2" t="inlineStr">
        <is>
          <t>Operational Control</t>
        </is>
      </c>
      <c r="R14" s="2" t="inlineStr">
        <is>
          <t>Asset &amp; Development Services (Baseline)</t>
        </is>
      </c>
      <c r="S14" s="2" t="inlineStr">
        <is>
          <t>Downer</t>
        </is>
      </c>
      <c r="T14" s="2" t="n">
        <v>100</v>
      </c>
      <c r="V14" s="11" t="n">
        <v>45107</v>
      </c>
      <c r="W14" s="2" t="inlineStr">
        <is>
          <t>Classification</t>
        </is>
      </c>
      <c r="X14" s="2" t="n">
        <v>-27.423892</v>
      </c>
      <c r="Y14" s="2" t="n">
        <v>153.085062</v>
      </c>
      <c r="Z14" s="2" t="n">
        <v>692</v>
      </c>
    </row>
    <row r="15">
      <c r="A15" s="2" t="inlineStr">
        <is>
          <t>Downer</t>
        </is>
      </c>
      <c r="B15" s="2" t="inlineStr">
        <is>
          <t>_CLOSED_AE Smith - Mornington</t>
        </is>
      </c>
      <c r="C15" s="2" t="inlineStr">
        <is>
          <t>Branch Office</t>
        </is>
      </c>
      <c r="D15" s="2" t="inlineStr">
        <is>
          <t>L9.S.13001061</t>
        </is>
      </c>
      <c r="E15" s="2" t="n">
        <v>9014</v>
      </c>
      <c r="H15" s="2" t="inlineStr">
        <is>
          <t>U 2 4 Yamada Place</t>
        </is>
      </c>
      <c r="I15" s="2" t="inlineStr">
        <is>
          <t>Mornington</t>
        </is>
      </c>
      <c r="J15" s="2" t="inlineStr">
        <is>
          <t>TAS</t>
        </is>
      </c>
      <c r="K15" s="2" t="n">
        <v>7018</v>
      </c>
      <c r="L15" s="2" t="inlineStr">
        <is>
          <t>Australia</t>
        </is>
      </c>
      <c r="M15" s="2" t="inlineStr">
        <is>
          <t>Tasmania</t>
        </is>
      </c>
      <c r="N15" s="2" t="inlineStr">
        <is>
          <t>Australia</t>
        </is>
      </c>
      <c r="P15" s="2" t="inlineStr">
        <is>
          <t>Operational Control</t>
        </is>
      </c>
      <c r="Q15" s="2" t="inlineStr">
        <is>
          <t>Operational Control</t>
        </is>
      </c>
      <c r="R15" s="2" t="inlineStr">
        <is>
          <t>Asset &amp; Development Services (Baseline)</t>
        </is>
      </c>
      <c r="S15" s="2" t="inlineStr">
        <is>
          <t>Downer</t>
        </is>
      </c>
      <c r="T15" s="2" t="n">
        <v>100</v>
      </c>
      <c r="V15" s="11" t="n">
        <v>45107</v>
      </c>
      <c r="W15" s="2" t="inlineStr">
        <is>
          <t>Classification</t>
        </is>
      </c>
      <c r="X15" s="2" t="n">
        <v>-42.862696</v>
      </c>
      <c r="Y15" s="2" t="n">
        <v>147.399802</v>
      </c>
      <c r="Z15" s="2" t="n">
        <v>692</v>
      </c>
    </row>
    <row r="16">
      <c r="A16" s="2" t="inlineStr">
        <is>
          <t>Downer</t>
        </is>
      </c>
      <c r="B16" s="2" t="inlineStr">
        <is>
          <t>_CLOSED_AE Smith - Mulgrave</t>
        </is>
      </c>
      <c r="C16" s="2" t="inlineStr">
        <is>
          <t>Branch Office</t>
        </is>
      </c>
      <c r="D16" s="2" t="inlineStr">
        <is>
          <t>L9.S.16015131</t>
        </is>
      </c>
      <c r="E16" s="2" t="n">
        <v>9016</v>
      </c>
      <c r="G16" s="2" t="inlineStr">
        <is>
          <t>Lease ended 2/12/2021</t>
        </is>
      </c>
      <c r="H16" s="2" t="inlineStr">
        <is>
          <t>21-29 Miles St</t>
        </is>
      </c>
      <c r="I16" s="2" t="inlineStr">
        <is>
          <t>Mulgrave</t>
        </is>
      </c>
      <c r="J16" s="2" t="inlineStr">
        <is>
          <t>VIC</t>
        </is>
      </c>
      <c r="K16" s="2" t="n">
        <v>3170</v>
      </c>
      <c r="M16" s="2" t="inlineStr">
        <is>
          <t>Mulgrave</t>
        </is>
      </c>
      <c r="N16" s="2" t="inlineStr">
        <is>
          <t>Australia</t>
        </is>
      </c>
      <c r="P16" s="2" t="inlineStr">
        <is>
          <t>Operational Control</t>
        </is>
      </c>
      <c r="Q16" s="2" t="inlineStr">
        <is>
          <t>Operational Control</t>
        </is>
      </c>
      <c r="R16" s="2" t="inlineStr">
        <is>
          <t>Asset &amp; Development Services (Baseline)</t>
        </is>
      </c>
      <c r="S16" s="2" t="inlineStr">
        <is>
          <t>Downer</t>
        </is>
      </c>
      <c r="T16" s="2" t="n">
        <v>100</v>
      </c>
      <c r="V16" s="11" t="n">
        <v>45107</v>
      </c>
      <c r="W16" s="2" t="inlineStr">
        <is>
          <t>Classification</t>
        </is>
      </c>
      <c r="X16" s="2" t="n">
        <v>-37.923024</v>
      </c>
      <c r="Y16" s="2" t="n">
        <v>145.153374</v>
      </c>
      <c r="Z16" s="2" t="n">
        <v>692</v>
      </c>
    </row>
    <row r="17">
      <c r="A17" s="2" t="inlineStr">
        <is>
          <t>Downer</t>
        </is>
      </c>
      <c r="B17" s="2" t="inlineStr">
        <is>
          <t>_CLOSED_AE Smith - Scoresby</t>
        </is>
      </c>
      <c r="C17" s="2" t="inlineStr">
        <is>
          <t>Branch Office</t>
        </is>
      </c>
      <c r="D17" s="2" t="inlineStr">
        <is>
          <t>L9.S.13001039</t>
        </is>
      </c>
      <c r="E17" s="2" t="n">
        <v>9018</v>
      </c>
      <c r="H17" s="2" t="inlineStr">
        <is>
          <t>20-22 Janine St</t>
        </is>
      </c>
      <c r="I17" s="2" t="inlineStr">
        <is>
          <t>Scoresby</t>
        </is>
      </c>
      <c r="J17" s="2" t="inlineStr">
        <is>
          <t>VIC</t>
        </is>
      </c>
      <c r="K17" s="2" t="n">
        <v>3179</v>
      </c>
      <c r="M17" s="2" t="inlineStr">
        <is>
          <t>Victoria</t>
        </is>
      </c>
      <c r="N17" s="2" t="inlineStr">
        <is>
          <t>Australia</t>
        </is>
      </c>
      <c r="P17" s="2" t="inlineStr">
        <is>
          <t>Operational Control</t>
        </is>
      </c>
      <c r="Q17" s="2" t="inlineStr">
        <is>
          <t>Operational Control</t>
        </is>
      </c>
      <c r="R17" s="2" t="inlineStr">
        <is>
          <t>Asset &amp; Development Services (Baseline)</t>
        </is>
      </c>
      <c r="S17" s="2" t="inlineStr">
        <is>
          <t>Downer</t>
        </is>
      </c>
      <c r="T17" s="2" t="n">
        <v>100</v>
      </c>
      <c r="V17" s="11" t="n">
        <v>45107</v>
      </c>
      <c r="W17" s="2" t="inlineStr">
        <is>
          <t>Classification</t>
        </is>
      </c>
      <c r="X17" s="2" t="n">
        <v>-37.900965</v>
      </c>
      <c r="Y17" s="2" t="n">
        <v>145.230266</v>
      </c>
      <c r="Z17" s="2" t="n">
        <v>692</v>
      </c>
    </row>
    <row r="18">
      <c r="A18" s="2" t="inlineStr">
        <is>
          <t>Downer</t>
        </is>
      </c>
      <c r="B18" s="2" t="inlineStr">
        <is>
          <t>_CLOSED_Aldoga TL - Site</t>
        </is>
      </c>
      <c r="C18" s="2" t="inlineStr">
        <is>
          <t>Site</t>
        </is>
      </c>
      <c r="D18" s="2" t="inlineStr">
        <is>
          <t>L9.J.37740112</t>
        </is>
      </c>
      <c r="M18" s="2" t="inlineStr">
        <is>
          <t>Queensland</t>
        </is>
      </c>
      <c r="N18" s="2" t="inlineStr">
        <is>
          <t>Australia</t>
        </is>
      </c>
      <c r="P18" s="2" t="inlineStr">
        <is>
          <t>Operational Control</t>
        </is>
      </c>
      <c r="Q18" s="2" t="inlineStr">
        <is>
          <t>Operational Control</t>
        </is>
      </c>
      <c r="R18" s="2" t="inlineStr">
        <is>
          <t>Energy and Utilities (EU)</t>
        </is>
      </c>
      <c r="S18" s="2" t="inlineStr">
        <is>
          <t>Downer</t>
        </is>
      </c>
      <c r="T18" s="2" t="n">
        <v>100</v>
      </c>
      <c r="W18" s="2" t="inlineStr">
        <is>
          <t>Classification</t>
        </is>
      </c>
      <c r="AB18" s="11" t="n">
        <v>45112</v>
      </c>
    </row>
    <row r="19">
      <c r="A19" s="2" t="inlineStr">
        <is>
          <t>Downer</t>
        </is>
      </c>
      <c r="B19" s="2" t="inlineStr">
        <is>
          <t>_CLOSED_Anglo TXL</t>
        </is>
      </c>
      <c r="C19" s="2" t="inlineStr">
        <is>
          <t>Site</t>
        </is>
      </c>
      <c r="D19" s="2" t="inlineStr">
        <is>
          <t>L9.J.37240023</t>
        </is>
      </c>
      <c r="E19" s="2" t="n">
        <v>37240023</v>
      </c>
      <c r="M19" s="2" t="inlineStr">
        <is>
          <t>Moranbah</t>
        </is>
      </c>
      <c r="N19" s="2" t="inlineStr">
        <is>
          <t>Australia</t>
        </is>
      </c>
      <c r="P19" s="2" t="inlineStr">
        <is>
          <t>Operational Control</t>
        </is>
      </c>
      <c r="Q19" s="2" t="inlineStr">
        <is>
          <t>Operational Control</t>
        </is>
      </c>
      <c r="R19" s="2" t="inlineStr">
        <is>
          <t>Energy and Utilities (EU)</t>
        </is>
      </c>
      <c r="S19" s="2" t="inlineStr">
        <is>
          <t>Downer</t>
        </is>
      </c>
      <c r="T19" s="2" t="n">
        <v>100</v>
      </c>
      <c r="W19" s="2" t="inlineStr">
        <is>
          <t>Classification</t>
        </is>
      </c>
      <c r="Z19" s="2" t="n">
        <v>310</v>
      </c>
      <c r="AA19" s="11" t="n">
        <v>45266</v>
      </c>
      <c r="AB19" s="11" t="n">
        <v>45577</v>
      </c>
    </row>
    <row r="20">
      <c r="A20" s="2" t="inlineStr">
        <is>
          <t>Downer</t>
        </is>
      </c>
      <c r="B20" s="2" t="inlineStr">
        <is>
          <t>_CLOSED_APA SA</t>
        </is>
      </c>
      <c r="C20" s="2" t="inlineStr">
        <is>
          <t>Depot</t>
        </is>
      </c>
      <c r="D20" s="2" t="inlineStr">
        <is>
          <t>L9.J.24170135</t>
        </is>
      </c>
      <c r="E20" s="2" t="inlineStr">
        <is>
          <t>L9.J.24170135</t>
        </is>
      </c>
      <c r="G20" s="2" t="inlineStr">
        <is>
          <t>Duplicate location of Gepps Cross. (Part of the SA Gas business office)</t>
        </is>
      </c>
      <c r="M20" s="2" t="inlineStr">
        <is>
          <t>South Australia</t>
        </is>
      </c>
      <c r="N20" s="2" t="inlineStr">
        <is>
          <t>Australia</t>
        </is>
      </c>
      <c r="P20" s="2" t="inlineStr">
        <is>
          <t>Operational Control</t>
        </is>
      </c>
      <c r="Q20" s="2" t="inlineStr">
        <is>
          <t>Operational Control</t>
        </is>
      </c>
      <c r="R20" s="2" t="inlineStr">
        <is>
          <t>Energy and Utilities (EU)</t>
        </is>
      </c>
      <c r="S20" s="2" t="inlineStr">
        <is>
          <t>Downer</t>
        </is>
      </c>
      <c r="T20" s="2" t="n">
        <v>100</v>
      </c>
      <c r="W20" s="2" t="inlineStr">
        <is>
          <t>Classification</t>
        </is>
      </c>
      <c r="AB20" s="11" t="n">
        <v>44742</v>
      </c>
    </row>
    <row r="21">
      <c r="A21" s="2" t="inlineStr">
        <is>
          <t>Downer</t>
        </is>
      </c>
      <c r="B21" s="2" t="inlineStr">
        <is>
          <t>_CLOSED_Asphalt _Whangarei</t>
        </is>
      </c>
      <c r="C21" s="2" t="inlineStr">
        <is>
          <t>Other</t>
        </is>
      </c>
      <c r="D21" s="2" t="inlineStr">
        <is>
          <t>L9.DNZJ.3502</t>
        </is>
      </c>
      <c r="E21" s="2" t="n">
        <v>5010</v>
      </c>
      <c r="G21" s="2" t="inlineStr">
        <is>
          <t>Production of materials for road construction - New facilities established for more granular reporting and to reflect new structure for FY17. See facility named "NZ-Products" for historical data.</t>
        </is>
      </c>
      <c r="H21" s="2" t="inlineStr">
        <is>
          <t>116-118 Port Road</t>
        </is>
      </c>
      <c r="I21" s="2" t="inlineStr">
        <is>
          <t>Whangarei</t>
        </is>
      </c>
      <c r="J21" s="2" t="inlineStr">
        <is>
          <t>Northland</t>
        </is>
      </c>
      <c r="K21" s="2" t="n">
        <v>9016</v>
      </c>
      <c r="L21" s="2" t="inlineStr">
        <is>
          <t>New Zealand</t>
        </is>
      </c>
      <c r="M21" s="2" t="inlineStr">
        <is>
          <t>Whangarei</t>
        </is>
      </c>
      <c r="N21" s="2" t="inlineStr">
        <is>
          <t>New Zealand</t>
        </is>
      </c>
      <c r="P21" s="2" t="inlineStr">
        <is>
          <t>Operational Control</t>
        </is>
      </c>
      <c r="Q21" s="2" t="inlineStr">
        <is>
          <t>Operational Control</t>
        </is>
      </c>
      <c r="R21" s="2" t="inlineStr">
        <is>
          <t>Transport &amp; Infrastructure (T&amp;I)</t>
        </is>
      </c>
      <c r="S21" s="2" t="inlineStr">
        <is>
          <t>Downer</t>
        </is>
      </c>
      <c r="T21" s="2" t="n">
        <v>100</v>
      </c>
      <c r="U21" s="2" t="inlineStr">
        <is>
          <t>1899/12/31</t>
        </is>
      </c>
      <c r="W21" s="2" t="inlineStr">
        <is>
          <t>Classification</t>
        </is>
      </c>
      <c r="X21" s="2" t="n">
        <v>-35.7431694</v>
      </c>
      <c r="Y21" s="2" t="n">
        <v>174.3415903</v>
      </c>
      <c r="Z21" s="2" t="n">
        <v>310</v>
      </c>
      <c r="AA21" s="11" t="n">
        <v>42917</v>
      </c>
    </row>
    <row r="22">
      <c r="A22" s="2" t="inlineStr">
        <is>
          <t>Downer</t>
        </is>
      </c>
      <c r="B22" s="2" t="inlineStr">
        <is>
          <t>_CLOSED_Asphalt Prod - Mowbray (OLD)</t>
        </is>
      </c>
      <c r="C22" s="2" t="inlineStr">
        <is>
          <t>Asphalt Plant</t>
        </is>
      </c>
      <c r="D22" s="2" t="inlineStr">
        <is>
          <t>L9.J.170360</t>
        </is>
      </c>
      <c r="E22" s="2" t="n">
        <v>182</v>
      </c>
      <c r="G22" s="2" t="inlineStr">
        <is>
          <t>previously used L9.J.17030565, which has now transferred to New Mowbray Asphalt Envizi location. Replaced with L9.J.170360</t>
        </is>
      </c>
      <c r="H22" s="2" t="inlineStr">
        <is>
          <t>Remount Road</t>
        </is>
      </c>
      <c r="I22" s="2" t="inlineStr">
        <is>
          <t>Mowbray</t>
        </is>
      </c>
      <c r="J22" s="2" t="inlineStr">
        <is>
          <t>TAS</t>
        </is>
      </c>
      <c r="K22" s="2" t="n">
        <v>7248</v>
      </c>
      <c r="L22" s="2" t="inlineStr">
        <is>
          <t>Australia</t>
        </is>
      </c>
      <c r="M22" s="2" t="inlineStr">
        <is>
          <t>Tasmania</t>
        </is>
      </c>
      <c r="N22" s="2" t="inlineStr">
        <is>
          <t>Australia</t>
        </is>
      </c>
      <c r="P22" s="2" t="inlineStr">
        <is>
          <t>Operational Control</t>
        </is>
      </c>
      <c r="Q22" s="2" t="inlineStr">
        <is>
          <t>Operational Control</t>
        </is>
      </c>
      <c r="R22" s="2" t="inlineStr">
        <is>
          <t>Transport &amp; Infrastructure (T&amp;I)</t>
        </is>
      </c>
      <c r="S22" s="2" t="inlineStr">
        <is>
          <t>Downer</t>
        </is>
      </c>
      <c r="T22" s="2" t="n">
        <v>100</v>
      </c>
      <c r="W22" s="2" t="inlineStr">
        <is>
          <t>Classification</t>
        </is>
      </c>
      <c r="X22" s="2" t="n">
        <v>-41.399</v>
      </c>
      <c r="Y22" s="2" t="n">
        <v>147.162</v>
      </c>
      <c r="Z22" s="2" t="n">
        <v>170</v>
      </c>
    </row>
    <row r="23">
      <c r="A23" s="2" t="inlineStr">
        <is>
          <t>Downer</t>
        </is>
      </c>
      <c r="B23" s="2" t="inlineStr">
        <is>
          <t>_CLOSED_Asphalt Prod - Rosehill (OLD)</t>
        </is>
      </c>
      <c r="C23" s="2" t="inlineStr">
        <is>
          <t>Asphalt Plant</t>
        </is>
      </c>
      <c r="D23" s="2" t="inlineStr">
        <is>
          <t>L9.J.17010964</t>
        </is>
      </c>
      <c r="E23" s="2" t="n">
        <v>248</v>
      </c>
      <c r="G23" s="2" t="inlineStr">
        <is>
          <t>Vacated this location at the end of June 2022 and shifted operations to Rosehill - Devon St. Please refer to attachments for further information.</t>
        </is>
      </c>
      <c r="H23" s="2" t="inlineStr">
        <is>
          <t>1 Unwin Street</t>
        </is>
      </c>
      <c r="I23" s="2" t="inlineStr">
        <is>
          <t>Rosehill</t>
        </is>
      </c>
      <c r="J23" s="2" t="inlineStr">
        <is>
          <t>NSW</t>
        </is>
      </c>
      <c r="K23" s="2" t="n">
        <v>2142</v>
      </c>
      <c r="L23" s="2" t="inlineStr">
        <is>
          <t>Australia</t>
        </is>
      </c>
      <c r="M23" s="2" t="inlineStr">
        <is>
          <t>Lidcombe</t>
        </is>
      </c>
      <c r="N23" s="2" t="inlineStr">
        <is>
          <t>Australia</t>
        </is>
      </c>
      <c r="P23" s="2" t="inlineStr">
        <is>
          <t>Operational Control</t>
        </is>
      </c>
      <c r="Q23" s="2" t="inlineStr">
        <is>
          <t>Operational Control</t>
        </is>
      </c>
      <c r="R23" s="2" t="inlineStr">
        <is>
          <t>Transport &amp; Infrastructure (T&amp;I)</t>
        </is>
      </c>
      <c r="S23" s="2" t="inlineStr">
        <is>
          <t>Downer</t>
        </is>
      </c>
      <c r="T23" s="2" t="n">
        <v>100</v>
      </c>
      <c r="W23" s="2" t="inlineStr">
        <is>
          <t>Classification</t>
        </is>
      </c>
      <c r="X23" s="2" t="n">
        <v>-33.828</v>
      </c>
      <c r="Y23" s="2" t="n">
        <v>151.023</v>
      </c>
      <c r="Z23" s="2" t="n">
        <v>170</v>
      </c>
      <c r="AB23" s="11" t="n">
        <v>44985</v>
      </c>
    </row>
    <row r="24">
      <c r="A24" s="2" t="inlineStr">
        <is>
          <t>Downer</t>
        </is>
      </c>
      <c r="B24" s="2" t="inlineStr">
        <is>
          <t>_CLOSED_Asphalt_Auckland</t>
        </is>
      </c>
      <c r="C24" s="2" t="inlineStr">
        <is>
          <t>Other</t>
        </is>
      </c>
      <c r="D24" s="2" t="inlineStr">
        <is>
          <t>L9.DNZJ.3503</t>
        </is>
      </c>
      <c r="E24" s="2" t="n">
        <v>5011</v>
      </c>
      <c r="G24" s="2" t="inlineStr">
        <is>
          <t>Production of materials for road construction - New facilities established for more granular reporting and to reflect new structure for FY17. See facility named "NZ-Products" for historical data.</t>
        </is>
      </c>
      <c r="H24" s="2" t="inlineStr">
        <is>
          <t>645 Great South Rd, Penrose</t>
        </is>
      </c>
      <c r="I24" s="2" t="inlineStr">
        <is>
          <t>Auckland</t>
        </is>
      </c>
      <c r="J24" s="2" t="inlineStr">
        <is>
          <t>Auckland</t>
        </is>
      </c>
      <c r="K24" s="2" t="n">
        <v>3200</v>
      </c>
      <c r="L24" s="2" t="inlineStr">
        <is>
          <t>New Zealand</t>
        </is>
      </c>
      <c r="M24" s="2" t="inlineStr">
        <is>
          <t>Panmure</t>
        </is>
      </c>
      <c r="N24" s="2" t="inlineStr">
        <is>
          <t>New Zealand</t>
        </is>
      </c>
      <c r="P24" s="2" t="inlineStr">
        <is>
          <t>Operational Control</t>
        </is>
      </c>
      <c r="Q24" s="2" t="inlineStr">
        <is>
          <t>Operational Control</t>
        </is>
      </c>
      <c r="R24" s="2" t="inlineStr">
        <is>
          <t>Transport &amp; Infrastructure (T&amp;I)</t>
        </is>
      </c>
      <c r="S24" s="2" t="inlineStr">
        <is>
          <t>Downer</t>
        </is>
      </c>
      <c r="T24" s="2" t="n">
        <v>100</v>
      </c>
      <c r="U24" s="2" t="inlineStr">
        <is>
          <t>1899/12/31</t>
        </is>
      </c>
      <c r="W24" s="2" t="inlineStr">
        <is>
          <t>Classification</t>
        </is>
      </c>
      <c r="X24" s="2" t="n">
        <v>-36.9152136</v>
      </c>
      <c r="Y24" s="2" t="n">
        <v>174.820280899999</v>
      </c>
      <c r="Z24" s="2" t="n">
        <v>310</v>
      </c>
      <c r="AA24" s="11" t="n">
        <v>42917</v>
      </c>
    </row>
    <row r="25">
      <c r="A25" s="2" t="inlineStr">
        <is>
          <t>Downer</t>
        </is>
      </c>
      <c r="B25" s="2" t="inlineStr">
        <is>
          <t>_CLOSED_Asphalt_Dunedin</t>
        </is>
      </c>
      <c r="C25" s="2" t="inlineStr">
        <is>
          <t>Other</t>
        </is>
      </c>
      <c r="D25" s="2" t="inlineStr">
        <is>
          <t>L9.DNZJ.3508</t>
        </is>
      </c>
      <c r="E25" s="2" t="n">
        <v>5012</v>
      </c>
      <c r="G25" s="2" t="inlineStr">
        <is>
          <t>Production of materials for road construction - New facilities established for more granular reporting and to reflect new structure for FY17. See facility named "NZ-Products" for historical data.</t>
        </is>
      </c>
      <c r="H25" s="2" t="inlineStr">
        <is>
          <t>102 Parry Street</t>
        </is>
      </c>
      <c r="I25" s="2" t="inlineStr">
        <is>
          <t>Dunedin</t>
        </is>
      </c>
      <c r="J25" s="2" t="inlineStr">
        <is>
          <t>Otago</t>
        </is>
      </c>
      <c r="K25" s="2" t="n">
        <v>9810</v>
      </c>
      <c r="L25" s="2" t="inlineStr">
        <is>
          <t>New Zealand</t>
        </is>
      </c>
      <c r="M25" s="2" t="inlineStr">
        <is>
          <t>Dunedin</t>
        </is>
      </c>
      <c r="N25" s="2" t="inlineStr">
        <is>
          <t>New Zealand</t>
        </is>
      </c>
      <c r="P25" s="2" t="inlineStr">
        <is>
          <t>Operational Control</t>
        </is>
      </c>
      <c r="Q25" s="2" t="inlineStr">
        <is>
          <t>Operational Control</t>
        </is>
      </c>
      <c r="R25" s="2" t="inlineStr">
        <is>
          <t>Transport &amp; Infrastructure (T&amp;I)</t>
        </is>
      </c>
      <c r="S25" s="2" t="inlineStr">
        <is>
          <t>Downer</t>
        </is>
      </c>
      <c r="T25" s="2" t="n">
        <v>100</v>
      </c>
      <c r="U25" s="2" t="inlineStr">
        <is>
          <t>1899/12/31</t>
        </is>
      </c>
      <c r="W25" s="2" t="inlineStr">
        <is>
          <t>Classification</t>
        </is>
      </c>
      <c r="X25" s="2" t="n">
        <v>-45.8698393</v>
      </c>
      <c r="Y25" s="2" t="n">
        <v>170.5315648</v>
      </c>
      <c r="Z25" s="2" t="n">
        <v>310</v>
      </c>
      <c r="AA25" s="11" t="n">
        <v>42917</v>
      </c>
    </row>
    <row r="26">
      <c r="A26" s="2" t="inlineStr">
        <is>
          <t>Downer</t>
        </is>
      </c>
      <c r="B26" s="2" t="inlineStr">
        <is>
          <t>_CLOSED_Asphalt_Hamilton</t>
        </is>
      </c>
      <c r="C26" s="2" t="inlineStr">
        <is>
          <t>Other</t>
        </is>
      </c>
      <c r="D26" s="2" t="inlineStr">
        <is>
          <t>L9.DNZJ.3504</t>
        </is>
      </c>
      <c r="E26" s="2" t="n">
        <v>5013</v>
      </c>
      <c r="G26" s="2" t="inlineStr">
        <is>
          <t>Production of materials for road construction - New facilities established for more granular reporting and to reflect new structure for FY17. See facility named "NZ-Products" for historical data.</t>
        </is>
      </c>
      <c r="H26" s="2" t="inlineStr">
        <is>
          <t>16 Manchester Place, Te Rapa</t>
        </is>
      </c>
      <c r="I26" s="2" t="inlineStr">
        <is>
          <t>Hamilton</t>
        </is>
      </c>
      <c r="J26" s="2" t="inlineStr">
        <is>
          <t>Waikato</t>
        </is>
      </c>
      <c r="K26" s="2" t="n">
        <v>4312</v>
      </c>
      <c r="L26" s="2" t="inlineStr">
        <is>
          <t>New Zealand</t>
        </is>
      </c>
      <c r="M26" s="2" t="inlineStr">
        <is>
          <t>Hamilton</t>
        </is>
      </c>
      <c r="N26" s="2" t="inlineStr">
        <is>
          <t>New Zealand</t>
        </is>
      </c>
      <c r="P26" s="2" t="inlineStr">
        <is>
          <t>Operational Control</t>
        </is>
      </c>
      <c r="Q26" s="2" t="inlineStr">
        <is>
          <t>Operational Control</t>
        </is>
      </c>
      <c r="R26" s="2" t="inlineStr">
        <is>
          <t>Transport &amp; Infrastructure (T&amp;I)</t>
        </is>
      </c>
      <c r="S26" s="2" t="inlineStr">
        <is>
          <t>Downer</t>
        </is>
      </c>
      <c r="T26" s="2" t="n">
        <v>100</v>
      </c>
      <c r="U26" s="2" t="inlineStr">
        <is>
          <t>1899/12/31</t>
        </is>
      </c>
      <c r="W26" s="2" t="inlineStr">
        <is>
          <t>Classification</t>
        </is>
      </c>
      <c r="X26" s="2" t="n">
        <v>-37.754068</v>
      </c>
      <c r="Y26" s="2" t="n">
        <v>175.2370587</v>
      </c>
      <c r="Z26" s="2" t="n">
        <v>310</v>
      </c>
      <c r="AA26" s="11" t="n">
        <v>42917</v>
      </c>
    </row>
    <row r="27">
      <c r="A27" s="2" t="inlineStr">
        <is>
          <t>Downer</t>
        </is>
      </c>
      <c r="B27" s="2" t="inlineStr">
        <is>
          <t>_CLOSED_Asphalt_Invercargill</t>
        </is>
      </c>
      <c r="C27" s="2" t="inlineStr">
        <is>
          <t>Other</t>
        </is>
      </c>
      <c r="D27" s="2" t="inlineStr">
        <is>
          <t>L9.DNZJ.3509</t>
        </is>
      </c>
      <c r="E27" s="2" t="n">
        <v>5014</v>
      </c>
      <c r="G27" s="2" t="inlineStr">
        <is>
          <t>Production of materials for road construction - New facilities established for more granular reporting and to reflect new structure for FY17. See facility named "NZ-Products" for historical data.</t>
        </is>
      </c>
      <c r="H27" s="2" t="inlineStr">
        <is>
          <t>210 Mersey Street, Invercargill West</t>
        </is>
      </c>
      <c r="I27" s="2" t="inlineStr">
        <is>
          <t>Invercargill</t>
        </is>
      </c>
      <c r="J27" s="2" t="inlineStr">
        <is>
          <t>Southland</t>
        </is>
      </c>
      <c r="K27" s="2" t="n">
        <v>6035</v>
      </c>
      <c r="L27" s="2" t="inlineStr">
        <is>
          <t>New Zealand</t>
        </is>
      </c>
      <c r="M27" s="2" t="inlineStr">
        <is>
          <t>Invercargill</t>
        </is>
      </c>
      <c r="N27" s="2" t="inlineStr">
        <is>
          <t>New Zealand</t>
        </is>
      </c>
      <c r="P27" s="2" t="inlineStr">
        <is>
          <t>Operational Control</t>
        </is>
      </c>
      <c r="Q27" s="2" t="inlineStr">
        <is>
          <t>Operational Control</t>
        </is>
      </c>
      <c r="R27" s="2" t="inlineStr">
        <is>
          <t>Transport &amp; Infrastructure (T&amp;I)</t>
        </is>
      </c>
      <c r="S27" s="2" t="inlineStr">
        <is>
          <t>Downer</t>
        </is>
      </c>
      <c r="T27" s="2" t="n">
        <v>100</v>
      </c>
      <c r="U27" s="2" t="inlineStr">
        <is>
          <t>1899/12/31</t>
        </is>
      </c>
      <c r="W27" s="2" t="inlineStr">
        <is>
          <t>Classification</t>
        </is>
      </c>
      <c r="X27" s="2" t="n">
        <v>-46.4152187</v>
      </c>
      <c r="Y27" s="2" t="n">
        <v>168.3417097</v>
      </c>
      <c r="Z27" s="2" t="n">
        <v>310</v>
      </c>
      <c r="AA27" s="11" t="n">
        <v>42917</v>
      </c>
    </row>
    <row r="28">
      <c r="A28" s="2" t="inlineStr">
        <is>
          <t>Downer</t>
        </is>
      </c>
      <c r="B28" s="2" t="inlineStr">
        <is>
          <t>_CLOSED_Asphalt_Isacc-JV</t>
        </is>
      </c>
      <c r="C28" s="2" t="inlineStr">
        <is>
          <t>Industrial</t>
        </is>
      </c>
      <c r="D28" s="2" t="inlineStr">
        <is>
          <t>L9.DNZJ.3098</t>
        </is>
      </c>
      <c r="E28" s="2" t="n">
        <v>5294</v>
      </c>
      <c r="G28" s="2" t="inlineStr">
        <is>
          <t>Production of materials for road construction - New facilities established for more granular reporting and to reflect new structure for FY19</t>
        </is>
      </c>
      <c r="M28" s="2" t="inlineStr">
        <is>
          <t>Christchurch</t>
        </is>
      </c>
      <c r="N28" s="2" t="inlineStr">
        <is>
          <t>New Zealand</t>
        </is>
      </c>
      <c r="P28" s="2" t="inlineStr">
        <is>
          <t>Operational Control</t>
        </is>
      </c>
      <c r="Q28" s="2" t="inlineStr">
        <is>
          <t>Operational Control</t>
        </is>
      </c>
      <c r="R28" s="2" t="inlineStr">
        <is>
          <t>Transport &amp; Infrastructure (T&amp;I)</t>
        </is>
      </c>
      <c r="S28" s="2" t="inlineStr">
        <is>
          <t>Downer</t>
        </is>
      </c>
      <c r="T28" s="2" t="n">
        <v>100</v>
      </c>
      <c r="U28" s="2" t="inlineStr">
        <is>
          <t>1899/12/31</t>
        </is>
      </c>
      <c r="W28" s="2" t="inlineStr">
        <is>
          <t>Classification</t>
        </is>
      </c>
      <c r="Z28" s="2" t="n">
        <v>310</v>
      </c>
    </row>
    <row r="29">
      <c r="A29" s="2" t="inlineStr">
        <is>
          <t>Downer</t>
        </is>
      </c>
      <c r="B29" s="2" t="inlineStr">
        <is>
          <t>_CLOSED_Asphalt_Mobile</t>
        </is>
      </c>
      <c r="C29" s="2" t="inlineStr">
        <is>
          <t>Asphalt Plant</t>
        </is>
      </c>
      <c r="D29" s="2" t="inlineStr">
        <is>
          <t>L9.DNZJ.3512</t>
        </is>
      </c>
      <c r="E29" s="2" t="n">
        <v>5286</v>
      </c>
      <c r="G29" s="2" t="inlineStr">
        <is>
          <t>Mobile Asphalt plant relocated across NZ depending on contracts - assigned to head office as main location</t>
        </is>
      </c>
      <c r="M29" s="2" t="inlineStr">
        <is>
          <t>Auckland City</t>
        </is>
      </c>
      <c r="N29" s="2" t="inlineStr">
        <is>
          <t>New Zealand</t>
        </is>
      </c>
      <c r="P29" s="2" t="inlineStr">
        <is>
          <t>Operational Control</t>
        </is>
      </c>
      <c r="Q29" s="2" t="inlineStr">
        <is>
          <t>Operational Control</t>
        </is>
      </c>
      <c r="R29" s="2" t="inlineStr">
        <is>
          <t>Transport &amp; Infrastructure (T&amp;I)</t>
        </is>
      </c>
      <c r="S29" s="2" t="inlineStr">
        <is>
          <t>Downer</t>
        </is>
      </c>
      <c r="T29" s="2" t="n">
        <v>100</v>
      </c>
      <c r="U29" s="2" t="inlineStr">
        <is>
          <t>1899/12/31</t>
        </is>
      </c>
      <c r="W29" s="2" t="inlineStr">
        <is>
          <t>Classification</t>
        </is>
      </c>
    </row>
    <row r="30">
      <c r="A30" s="2" t="inlineStr">
        <is>
          <t>Downer</t>
        </is>
      </c>
      <c r="B30" s="2" t="inlineStr">
        <is>
          <t>_CLOSED_Asphalt_New Plymouth</t>
        </is>
      </c>
      <c r="C30" s="2" t="inlineStr">
        <is>
          <t>Other</t>
        </is>
      </c>
      <c r="D30" s="2" t="inlineStr">
        <is>
          <t>L9.DNZJ.3505</t>
        </is>
      </c>
      <c r="E30" s="2" t="n">
        <v>5015</v>
      </c>
      <c r="G30" s="2" t="inlineStr">
        <is>
          <t>Production of materials for road construction - New facilities established for more granular reporting and to reflect new structure for FY17. See facility named "NZ-Products" for historical data.</t>
        </is>
      </c>
      <c r="H30" s="2" t="inlineStr">
        <is>
          <t>106 Rifle Range Rd, Waiwhakaiho</t>
        </is>
      </c>
      <c r="I30" s="2" t="inlineStr">
        <is>
          <t>New Plymouth</t>
        </is>
      </c>
      <c r="J30" s="2" t="inlineStr">
        <is>
          <t>Taranaki</t>
        </is>
      </c>
      <c r="K30" s="2" t="n">
        <v>9814</v>
      </c>
      <c r="L30" s="2" t="inlineStr">
        <is>
          <t>New Zealand</t>
        </is>
      </c>
      <c r="M30" s="2" t="inlineStr">
        <is>
          <t>New Plymouth</t>
        </is>
      </c>
      <c r="N30" s="2" t="inlineStr">
        <is>
          <t>New Zealand</t>
        </is>
      </c>
      <c r="P30" s="2" t="inlineStr">
        <is>
          <t>Operational Control</t>
        </is>
      </c>
      <c r="Q30" s="2" t="inlineStr">
        <is>
          <t>Operational Control</t>
        </is>
      </c>
      <c r="R30" s="2" t="inlineStr">
        <is>
          <t>Transport &amp; Infrastructure (T&amp;I)</t>
        </is>
      </c>
      <c r="S30" s="2" t="inlineStr">
        <is>
          <t>Downer</t>
        </is>
      </c>
      <c r="T30" s="2" t="n">
        <v>100</v>
      </c>
      <c r="U30" s="2" t="inlineStr">
        <is>
          <t>1899/12/31</t>
        </is>
      </c>
      <c r="W30" s="2" t="inlineStr">
        <is>
          <t>Classification</t>
        </is>
      </c>
      <c r="X30" s="2" t="n">
        <v>-39.042342</v>
      </c>
      <c r="Y30" s="2" t="n">
        <v>174.119168299999</v>
      </c>
      <c r="Z30" s="2" t="n">
        <v>310</v>
      </c>
      <c r="AA30" s="11" t="n">
        <v>42917</v>
      </c>
    </row>
    <row r="31">
      <c r="A31" s="2" t="inlineStr">
        <is>
          <t>Downer</t>
        </is>
      </c>
      <c r="B31" s="2" t="inlineStr">
        <is>
          <t>_CLOSED_Asphalt_Wellington</t>
        </is>
      </c>
      <c r="C31" s="2" t="inlineStr">
        <is>
          <t>Other</t>
        </is>
      </c>
      <c r="D31" s="2" t="inlineStr">
        <is>
          <t>L9.DNZJ.3507</t>
        </is>
      </c>
      <c r="E31" s="2" t="n">
        <v>5016</v>
      </c>
      <c r="G31" s="2" t="inlineStr">
        <is>
          <t>Production of materials for road construction - New facilities established for more granular reporting and to reflect new structure for FY17. See facility named "NZ-Products" for historical data.</t>
        </is>
      </c>
      <c r="H31" s="2" t="inlineStr">
        <is>
          <t>Kiwi Point, 137 Centennial Highway, Ngauranga</t>
        </is>
      </c>
      <c r="I31" s="2" t="inlineStr">
        <is>
          <t>Wellington</t>
        </is>
      </c>
      <c r="J31" s="2" t="inlineStr">
        <is>
          <t>Wellington</t>
        </is>
      </c>
      <c r="K31" s="2" t="n">
        <v>8082</v>
      </c>
      <c r="L31" s="2" t="inlineStr">
        <is>
          <t>New Zealand</t>
        </is>
      </c>
      <c r="M31" s="2" t="inlineStr">
        <is>
          <t>Wellington</t>
        </is>
      </c>
      <c r="N31" s="2" t="inlineStr">
        <is>
          <t>New Zealand</t>
        </is>
      </c>
      <c r="P31" s="2" t="inlineStr">
        <is>
          <t>Operational Control</t>
        </is>
      </c>
      <c r="Q31" s="2" t="inlineStr">
        <is>
          <t>Operational Control</t>
        </is>
      </c>
      <c r="R31" s="2" t="inlineStr">
        <is>
          <t>Transport &amp; Infrastructure (T&amp;I)</t>
        </is>
      </c>
      <c r="S31" s="2" t="inlineStr">
        <is>
          <t>Downer</t>
        </is>
      </c>
      <c r="T31" s="2" t="n">
        <v>100</v>
      </c>
      <c r="U31" s="2" t="inlineStr">
        <is>
          <t>1899/12/31</t>
        </is>
      </c>
      <c r="W31" s="2" t="inlineStr">
        <is>
          <t>Classification</t>
        </is>
      </c>
      <c r="X31" s="2" t="n">
        <v>-41.237631</v>
      </c>
      <c r="Y31" s="2" t="n">
        <v>174.805085999999</v>
      </c>
      <c r="Z31" s="2" t="n">
        <v>310</v>
      </c>
      <c r="AA31" s="11" t="n">
        <v>42917</v>
      </c>
    </row>
    <row r="32">
      <c r="A32" s="2" t="inlineStr">
        <is>
          <t>Downer</t>
        </is>
      </c>
      <c r="B32" s="2" t="inlineStr">
        <is>
          <t>_CLOSED_Bango Wind Farm</t>
        </is>
      </c>
      <c r="C32" s="2" t="inlineStr">
        <is>
          <t>Other</t>
        </is>
      </c>
      <c r="D32" s="2" t="inlineStr">
        <is>
          <t>L9.J.37750008</t>
        </is>
      </c>
      <c r="E32" s="2" t="inlineStr">
        <is>
          <t>IP-37750008</t>
        </is>
      </c>
      <c r="G32" s="2" t="inlineStr">
        <is>
          <t>Operational control.
Changed from Ref No 7040</t>
        </is>
      </c>
      <c r="M32" s="2" t="inlineStr">
        <is>
          <t>New South Wales</t>
        </is>
      </c>
      <c r="N32" s="2" t="inlineStr">
        <is>
          <t>Australia</t>
        </is>
      </c>
      <c r="P32" s="2" t="inlineStr">
        <is>
          <t>Operational Control</t>
        </is>
      </c>
      <c r="Q32" s="2" t="inlineStr">
        <is>
          <t>Operational Control</t>
        </is>
      </c>
      <c r="R32" s="2" t="inlineStr">
        <is>
          <t>Energy and Utilities (EU)</t>
        </is>
      </c>
      <c r="S32" s="2" t="inlineStr">
        <is>
          <t>Downer</t>
        </is>
      </c>
      <c r="T32" s="2" t="n">
        <v>100</v>
      </c>
      <c r="W32" s="2" t="inlineStr">
        <is>
          <t>Classification</t>
        </is>
      </c>
    </row>
    <row r="33">
      <c r="A33" s="2" t="inlineStr">
        <is>
          <t>Downer</t>
        </is>
      </c>
      <c r="B33" s="2" t="inlineStr">
        <is>
          <t>_CLOSED_Beryl Solar Farm Construction Project</t>
        </is>
      </c>
      <c r="C33" s="2" t="inlineStr">
        <is>
          <t>Other</t>
        </is>
      </c>
      <c r="D33" s="2" t="inlineStr">
        <is>
          <t>L9.J.37110018</t>
        </is>
      </c>
      <c r="E33" s="2" t="n">
        <v>7037</v>
      </c>
      <c r="H33" s="2" t="inlineStr">
        <is>
          <t>39 Dehli Road</t>
        </is>
      </c>
      <c r="I33" s="2" t="inlineStr">
        <is>
          <t>North Ryde</t>
        </is>
      </c>
      <c r="J33" s="2" t="inlineStr">
        <is>
          <t>NSW</t>
        </is>
      </c>
      <c r="K33" s="2" t="n">
        <v>2113</v>
      </c>
      <c r="L33" s="2" t="inlineStr">
        <is>
          <t>Australia</t>
        </is>
      </c>
      <c r="M33" s="2" t="inlineStr">
        <is>
          <t>Gulgong</t>
        </is>
      </c>
      <c r="N33" s="2" t="inlineStr">
        <is>
          <t>Australia</t>
        </is>
      </c>
      <c r="P33" s="2" t="inlineStr">
        <is>
          <t>Operational Control</t>
        </is>
      </c>
      <c r="Q33" s="2" t="inlineStr">
        <is>
          <t>Operational Control</t>
        </is>
      </c>
      <c r="R33" s="2" t="inlineStr">
        <is>
          <t>Energy and Utilities (EU)</t>
        </is>
      </c>
      <c r="S33" s="2" t="inlineStr">
        <is>
          <t>Downer</t>
        </is>
      </c>
      <c r="T33" s="2" t="n">
        <v>100</v>
      </c>
      <c r="W33" s="2" t="inlineStr">
        <is>
          <t>Classification</t>
        </is>
      </c>
      <c r="X33" s="2" t="n">
        <v>-33.79982</v>
      </c>
      <c r="Y33" s="2" t="n">
        <v>151.143234</v>
      </c>
      <c r="Z33" s="2" t="n">
        <v>310</v>
      </c>
    </row>
    <row r="34">
      <c r="A34" s="2" t="inlineStr">
        <is>
          <t>Downer</t>
        </is>
      </c>
      <c r="B34" s="2" t="inlineStr">
        <is>
          <t>_CLOSED_Bitumen_Bluff</t>
        </is>
      </c>
      <c r="C34" s="2" t="inlineStr">
        <is>
          <t>Other</t>
        </is>
      </c>
      <c r="D34" s="2" t="inlineStr">
        <is>
          <t>L9.DNZJ.3042</t>
        </is>
      </c>
      <c r="E34" s="2" t="n">
        <v>5017</v>
      </c>
      <c r="G34" s="2" t="inlineStr">
        <is>
          <t>Storage and sale of Bitumen, Production and sale of Cutback Bitumen, Polymer Modified Bitumen and Bitumen Emulsions - New facilities established for more granular reporting and to reflect new structure for FY17. See facility named "NZ-Products" for historical data.</t>
        </is>
      </c>
      <c r="H34" s="2" t="inlineStr">
        <is>
          <t>50 Foreshore Rd</t>
        </is>
      </c>
      <c r="I34" s="2" t="inlineStr">
        <is>
          <t>Bluff</t>
        </is>
      </c>
      <c r="J34" s="2" t="inlineStr">
        <is>
          <t>Southland</t>
        </is>
      </c>
      <c r="K34" s="2" t="n">
        <v>3116</v>
      </c>
      <c r="L34" s="2" t="inlineStr">
        <is>
          <t>New Zealand</t>
        </is>
      </c>
      <c r="M34" s="2" t="inlineStr">
        <is>
          <t>Bluff</t>
        </is>
      </c>
      <c r="N34" s="2" t="inlineStr">
        <is>
          <t>New Zealand</t>
        </is>
      </c>
      <c r="P34" s="2" t="inlineStr">
        <is>
          <t>Operational Control</t>
        </is>
      </c>
      <c r="Q34" s="2" t="inlineStr">
        <is>
          <t>Operational Control</t>
        </is>
      </c>
      <c r="R34" s="2" t="inlineStr">
        <is>
          <t>Transport &amp; Infrastructure (T&amp;I)</t>
        </is>
      </c>
      <c r="S34" s="2" t="inlineStr">
        <is>
          <t>Downer</t>
        </is>
      </c>
      <c r="T34" s="2" t="n">
        <v>100</v>
      </c>
      <c r="U34" s="2" t="inlineStr">
        <is>
          <t>1899/12/31</t>
        </is>
      </c>
      <c r="W34" s="2" t="inlineStr">
        <is>
          <t>Classification</t>
        </is>
      </c>
      <c r="X34" s="2" t="n">
        <v>-46.5979746999999</v>
      </c>
      <c r="Y34" s="2" t="n">
        <v>168.342539</v>
      </c>
      <c r="Z34" s="2" t="n">
        <v>170</v>
      </c>
      <c r="AA34" s="11" t="n">
        <v>42917</v>
      </c>
    </row>
    <row r="35">
      <c r="A35" s="2" t="inlineStr">
        <is>
          <t>Downer</t>
        </is>
      </c>
      <c r="B35" s="2" t="inlineStr">
        <is>
          <t>_CLOSED_Bitumen_Emulco-JV</t>
        </is>
      </c>
      <c r="C35" s="2" t="inlineStr">
        <is>
          <t>Industrial</t>
        </is>
      </c>
      <c r="D35" s="2" t="inlineStr">
        <is>
          <t>L9.DNZJ.3099</t>
        </is>
      </c>
      <c r="E35" s="2" t="n">
        <v>5296</v>
      </c>
      <c r="G35" s="2" t="inlineStr">
        <is>
          <t>Production of materials for road construction - New facilities established for more granular reporting and to reflect new structure for FY19</t>
        </is>
      </c>
      <c r="M35" s="2" t="inlineStr">
        <is>
          <t>Rotorua</t>
        </is>
      </c>
      <c r="N35" s="2" t="inlineStr">
        <is>
          <t>New Zealand</t>
        </is>
      </c>
      <c r="P35" s="2" t="inlineStr">
        <is>
          <t>Operational Control</t>
        </is>
      </c>
      <c r="Q35" s="2" t="inlineStr">
        <is>
          <t>Operational Control</t>
        </is>
      </c>
      <c r="R35" s="2" t="inlineStr">
        <is>
          <t>Transport &amp; Infrastructure (T&amp;I)</t>
        </is>
      </c>
      <c r="S35" s="2" t="inlineStr">
        <is>
          <t>Downer</t>
        </is>
      </c>
      <c r="T35" s="2" t="n">
        <v>100</v>
      </c>
      <c r="U35" s="2" t="inlineStr">
        <is>
          <t>1899/12/31</t>
        </is>
      </c>
      <c r="W35" s="2" t="inlineStr">
        <is>
          <t>Classification</t>
        </is>
      </c>
      <c r="Z35" s="2" t="n">
        <v>310</v>
      </c>
    </row>
    <row r="36">
      <c r="A36" s="2" t="inlineStr">
        <is>
          <t>Downer</t>
        </is>
      </c>
      <c r="B36" s="2" t="inlineStr">
        <is>
          <t>_CLOSED_Bitumen_Lyttelton</t>
        </is>
      </c>
      <c r="C36" s="2" t="inlineStr">
        <is>
          <t>Other</t>
        </is>
      </c>
      <c r="D36" s="2" t="inlineStr">
        <is>
          <t>L9.DNZJ.3041</t>
        </is>
      </c>
      <c r="E36" s="2" t="n">
        <v>5018</v>
      </c>
      <c r="G36" s="2" t="inlineStr">
        <is>
          <t>Storage and sale of Bitumen, Production and sale of Cutback Bitumen, Polymer Modified Bitumen and Bitumen Emulsions - New facilities established for more granular reporting and to reflect new structure for FY17. See facility named "NZ-Products" for historical data.</t>
        </is>
      </c>
      <c r="H36" s="2" t="inlineStr">
        <is>
          <t>Lyttelton Bitumen Terminal Charlotte Jane Quay, Port Lyttelton</t>
        </is>
      </c>
      <c r="I36" s="2" t="inlineStr">
        <is>
          <t>Lyttelton</t>
        </is>
      </c>
      <c r="J36" s="2" t="inlineStr">
        <is>
          <t>Canterbury</t>
        </is>
      </c>
      <c r="K36" s="2" t="n">
        <v>4340</v>
      </c>
      <c r="L36" s="2" t="inlineStr">
        <is>
          <t>New Zealand</t>
        </is>
      </c>
      <c r="M36" s="2" t="inlineStr">
        <is>
          <t>Christchurch</t>
        </is>
      </c>
      <c r="N36" s="2" t="inlineStr">
        <is>
          <t>New Zealand</t>
        </is>
      </c>
      <c r="P36" s="2" t="inlineStr">
        <is>
          <t>Operational Control</t>
        </is>
      </c>
      <c r="Q36" s="2" t="inlineStr">
        <is>
          <t>Operational Control</t>
        </is>
      </c>
      <c r="R36" s="2" t="inlineStr">
        <is>
          <t>Transport &amp; Infrastructure (T&amp;I)</t>
        </is>
      </c>
      <c r="S36" s="2" t="inlineStr">
        <is>
          <t>Downer</t>
        </is>
      </c>
      <c r="T36" s="2" t="n">
        <v>100</v>
      </c>
      <c r="U36" s="2" t="inlineStr">
        <is>
          <t>1899/12/31</t>
        </is>
      </c>
      <c r="W36" s="2" t="inlineStr">
        <is>
          <t>Classification</t>
        </is>
      </c>
      <c r="X36" s="2" t="n">
        <v>-43.6105611</v>
      </c>
      <c r="Y36" s="2" t="n">
        <v>172.7041904</v>
      </c>
      <c r="Z36" s="2" t="n">
        <v>170</v>
      </c>
      <c r="AA36" s="11" t="n">
        <v>42917</v>
      </c>
    </row>
    <row r="37">
      <c r="A37" s="2" t="inlineStr">
        <is>
          <t>Downer</t>
        </is>
      </c>
      <c r="B37" s="2" t="inlineStr">
        <is>
          <t>_CLOSED_Bitumen_Mt Maunganui</t>
        </is>
      </c>
      <c r="C37" s="2" t="inlineStr">
        <is>
          <t>Other</t>
        </is>
      </c>
      <c r="D37" s="2" t="inlineStr">
        <is>
          <t>L9.DNZJ.3040</t>
        </is>
      </c>
      <c r="E37" s="2" t="n">
        <v>5019</v>
      </c>
      <c r="G37" s="2" t="inlineStr">
        <is>
          <t>Storage and sale of Bitumen, Production and sale of Cutback Bitumen, Polymer Modified Bitumen and Bitumen Emulsions - New facilities established for more granular reporting and to reflect new structure for FY17. See facility named "NZ-Products" for historical data.</t>
        </is>
      </c>
      <c r="H37" s="2" t="inlineStr">
        <is>
          <t>198 Totara Street, Mt Maunganui</t>
        </is>
      </c>
      <c r="I37" s="2" t="inlineStr">
        <is>
          <t>Tauranga</t>
        </is>
      </c>
      <c r="J37" s="2" t="inlineStr">
        <is>
          <t>Bay of Plenty</t>
        </is>
      </c>
      <c r="K37" s="2" t="n">
        <v>3116</v>
      </c>
      <c r="L37" s="2" t="inlineStr">
        <is>
          <t>New Zealand</t>
        </is>
      </c>
      <c r="M37" s="2" t="inlineStr">
        <is>
          <t>Tauranga</t>
        </is>
      </c>
      <c r="N37" s="2" t="inlineStr">
        <is>
          <t>New Zealand</t>
        </is>
      </c>
      <c r="P37" s="2" t="inlineStr">
        <is>
          <t>Operational Control</t>
        </is>
      </c>
      <c r="Q37" s="2" t="inlineStr">
        <is>
          <t>Operational Control</t>
        </is>
      </c>
      <c r="R37" s="2" t="inlineStr">
        <is>
          <t>Transport &amp; Infrastructure (T&amp;I)</t>
        </is>
      </c>
      <c r="S37" s="2" t="inlineStr">
        <is>
          <t>Downer</t>
        </is>
      </c>
      <c r="T37" s="2" t="n">
        <v>100</v>
      </c>
      <c r="U37" s="2" t="inlineStr">
        <is>
          <t>1899/12/31</t>
        </is>
      </c>
      <c r="W37" s="2" t="inlineStr">
        <is>
          <t>Classification</t>
        </is>
      </c>
      <c r="X37" s="2" t="n">
        <v>-37.6638657</v>
      </c>
      <c r="Y37" s="2" t="n">
        <v>176.186895</v>
      </c>
      <c r="Z37" s="2" t="n">
        <v>170</v>
      </c>
      <c r="AA37" s="11" t="n">
        <v>42917</v>
      </c>
    </row>
    <row r="38">
      <c r="A38" s="2" t="inlineStr">
        <is>
          <t>Downer</t>
        </is>
      </c>
      <c r="B38" s="2" t="inlineStr">
        <is>
          <t>_CLOSED_Bitumen_Taranaki</t>
        </is>
      </c>
      <c r="C38" s="2" t="inlineStr">
        <is>
          <t>Other</t>
        </is>
      </c>
      <c r="D38" s="2" t="inlineStr">
        <is>
          <t>L9.DNZJ.3045</t>
        </is>
      </c>
      <c r="E38" s="2" t="n">
        <v>5020</v>
      </c>
      <c r="G38" s="2" t="inlineStr">
        <is>
          <t>Storage and sale of Bitumen, Production and sale of Cutback Bitumen, Polymer Modified Bitumen and Bitumen Emulsions - New facilities established for more granular reporting and to reflect new structure for FY17. See facility named "NZ-Products" for historical data.</t>
        </is>
      </c>
      <c r="H38" s="2" t="inlineStr">
        <is>
          <t>1 Wharf Street, Port Taranaki</t>
        </is>
      </c>
      <c r="I38" s="2" t="inlineStr">
        <is>
          <t>New Plymouth</t>
        </is>
      </c>
      <c r="J38" s="2" t="inlineStr">
        <is>
          <t>Taranaki</t>
        </is>
      </c>
      <c r="K38" s="2" t="n">
        <v>9230</v>
      </c>
      <c r="L38" s="2" t="inlineStr">
        <is>
          <t>New Zealand</t>
        </is>
      </c>
      <c r="M38" s="2" t="inlineStr">
        <is>
          <t>New Plymouth</t>
        </is>
      </c>
      <c r="N38" s="2" t="inlineStr">
        <is>
          <t>New Zealand</t>
        </is>
      </c>
      <c r="P38" s="2" t="inlineStr">
        <is>
          <t>Operational Control</t>
        </is>
      </c>
      <c r="Q38" s="2" t="inlineStr">
        <is>
          <t>Operational Control</t>
        </is>
      </c>
      <c r="R38" s="2" t="inlineStr">
        <is>
          <t>Transport &amp; Infrastructure (T&amp;I)</t>
        </is>
      </c>
      <c r="S38" s="2" t="inlineStr">
        <is>
          <t>Downer</t>
        </is>
      </c>
      <c r="T38" s="2" t="n">
        <v>100</v>
      </c>
      <c r="U38" s="2" t="inlineStr">
        <is>
          <t>1899/12/31</t>
        </is>
      </c>
      <c r="W38" s="2" t="inlineStr">
        <is>
          <t>Classification</t>
        </is>
      </c>
      <c r="X38" s="2" t="n">
        <v>-39.0577994</v>
      </c>
      <c r="Y38" s="2" t="n">
        <v>174.031262999999</v>
      </c>
      <c r="Z38" s="2" t="n">
        <v>170</v>
      </c>
      <c r="AA38" s="11" t="n">
        <v>42917</v>
      </c>
    </row>
    <row r="39">
      <c r="A39" s="2" t="inlineStr">
        <is>
          <t>Downer</t>
        </is>
      </c>
      <c r="B39" s="2" t="inlineStr">
        <is>
          <t>_CLOSED_Bitumen_Transport</t>
        </is>
      </c>
      <c r="C39" s="2" t="inlineStr">
        <is>
          <t>Other</t>
        </is>
      </c>
      <c r="D39" s="2" t="inlineStr">
        <is>
          <t>L9.DNZJ.3010</t>
        </is>
      </c>
      <c r="E39" s="2" t="n">
        <v>5021</v>
      </c>
      <c r="G39" s="2" t="inlineStr">
        <is>
          <t>Transport of Bitumen to customers - New facilities established for more granular reporting and to reflect new structure for FY17. See facility named "NZ-Products" for historical data.</t>
        </is>
      </c>
      <c r="H39" s="2" t="inlineStr">
        <is>
          <t>9 Owens Place, Mt Maunganui</t>
        </is>
      </c>
      <c r="I39" s="2" t="inlineStr">
        <is>
          <t>Tauranga</t>
        </is>
      </c>
      <c r="J39" s="2" t="inlineStr">
        <is>
          <t>Bay of Plenty</t>
        </is>
      </c>
      <c r="K39" s="2" t="n">
        <v>7201</v>
      </c>
      <c r="L39" s="2" t="inlineStr">
        <is>
          <t>New Zealand</t>
        </is>
      </c>
      <c r="M39" s="2" t="inlineStr">
        <is>
          <t>Tauranga</t>
        </is>
      </c>
      <c r="N39" s="2" t="inlineStr">
        <is>
          <t>New Zealand</t>
        </is>
      </c>
      <c r="P39" s="2" t="inlineStr">
        <is>
          <t>Operational Control</t>
        </is>
      </c>
      <c r="Q39" s="2" t="inlineStr">
        <is>
          <t>Operational Control</t>
        </is>
      </c>
      <c r="R39" s="2" t="inlineStr">
        <is>
          <t>Transport &amp; Infrastructure (T&amp;I)</t>
        </is>
      </c>
      <c r="S39" s="2" t="inlineStr">
        <is>
          <t>Downer</t>
        </is>
      </c>
      <c r="T39" s="2" t="n">
        <v>100</v>
      </c>
      <c r="U39" s="2" t="inlineStr">
        <is>
          <t>1899/12/31</t>
        </is>
      </c>
      <c r="W39" s="2" t="inlineStr">
        <is>
          <t>Classification</t>
        </is>
      </c>
      <c r="X39" s="2" t="n">
        <v>-37.6782938</v>
      </c>
      <c r="Y39" s="2" t="n">
        <v>176.222364299999</v>
      </c>
      <c r="Z39" s="2" t="n">
        <v>461</v>
      </c>
      <c r="AA39" s="11" t="n">
        <v>42917</v>
      </c>
    </row>
    <row r="40">
      <c r="A40" s="2" t="inlineStr">
        <is>
          <t>Downer</t>
        </is>
      </c>
      <c r="B40" s="2" t="inlineStr">
        <is>
          <t>_CLOSED_BP_Auckland_Cordis Hotel</t>
        </is>
      </c>
      <c r="C40" s="2" t="inlineStr">
        <is>
          <t>Construction Site</t>
        </is>
      </c>
      <c r="D40" s="2" t="inlineStr">
        <is>
          <t>L9.DNZ.HA0383</t>
        </is>
      </c>
      <c r="E40" s="2" t="n">
        <v>5309</v>
      </c>
      <c r="M40" s="2" t="inlineStr">
        <is>
          <t>Auckland</t>
        </is>
      </c>
      <c r="N40" s="2" t="inlineStr">
        <is>
          <t>New Zealand</t>
        </is>
      </c>
      <c r="P40" s="2" t="inlineStr">
        <is>
          <t>Operational Control</t>
        </is>
      </c>
      <c r="Q40" s="2" t="inlineStr">
        <is>
          <t>Operational Control</t>
        </is>
      </c>
      <c r="R40" s="2" t="inlineStr">
        <is>
          <t>Transport &amp; Infrastructure (T&amp;I)</t>
        </is>
      </c>
      <c r="S40" s="2" t="inlineStr">
        <is>
          <t>Downer</t>
        </is>
      </c>
      <c r="T40" s="2" t="n">
        <v>100</v>
      </c>
      <c r="W40" s="2" t="inlineStr">
        <is>
          <t>Classification</t>
        </is>
      </c>
    </row>
    <row r="41">
      <c r="A41" s="2" t="inlineStr">
        <is>
          <t>Downer</t>
        </is>
      </c>
      <c r="B41" s="2" t="inlineStr">
        <is>
          <t>_CLOSED_BP_Auckland_Counties Manukau AMHU STG 2</t>
        </is>
      </c>
      <c r="C41" s="2" t="inlineStr">
        <is>
          <t>Construction Site</t>
        </is>
      </c>
      <c r="D41" s="2" t="inlineStr">
        <is>
          <t>L9.DNZ.HA0384</t>
        </is>
      </c>
      <c r="E41" s="2" t="n">
        <v>5310</v>
      </c>
      <c r="M41" s="2" t="inlineStr">
        <is>
          <t>Auckland</t>
        </is>
      </c>
      <c r="N41" s="2" t="inlineStr">
        <is>
          <t>New Zealand</t>
        </is>
      </c>
      <c r="P41" s="2" t="inlineStr">
        <is>
          <t>Operational Control</t>
        </is>
      </c>
      <c r="Q41" s="2" t="inlineStr">
        <is>
          <t>Operational Control</t>
        </is>
      </c>
      <c r="R41" s="2" t="inlineStr">
        <is>
          <t>Transport &amp; Infrastructure (T&amp;I)</t>
        </is>
      </c>
      <c r="S41" s="2" t="inlineStr">
        <is>
          <t>Downer</t>
        </is>
      </c>
      <c r="T41" s="2" t="n">
        <v>100</v>
      </c>
      <c r="W41" s="2" t="inlineStr">
        <is>
          <t>Classification</t>
        </is>
      </c>
    </row>
    <row r="42">
      <c r="A42" s="2" t="inlineStr">
        <is>
          <t>Downer</t>
        </is>
      </c>
      <c r="B42" s="2" t="inlineStr">
        <is>
          <t>_CLOSED_BP_Auckland_FSNI Head Office</t>
        </is>
      </c>
      <c r="C42" s="2" t="inlineStr">
        <is>
          <t>Construction Site</t>
        </is>
      </c>
      <c r="D42" s="2" t="inlineStr">
        <is>
          <t>L9.DNZ.HA0385</t>
        </is>
      </c>
      <c r="E42" s="2" t="n">
        <v>5311</v>
      </c>
      <c r="M42" s="2" t="inlineStr">
        <is>
          <t>Auckland</t>
        </is>
      </c>
      <c r="N42" s="2" t="inlineStr">
        <is>
          <t>New Zealand</t>
        </is>
      </c>
      <c r="P42" s="2" t="inlineStr">
        <is>
          <t>Operational Control</t>
        </is>
      </c>
      <c r="Q42" s="2" t="inlineStr">
        <is>
          <t>Operational Control</t>
        </is>
      </c>
      <c r="R42" s="2" t="inlineStr">
        <is>
          <t>Transport &amp; Infrastructure (T&amp;I)</t>
        </is>
      </c>
      <c r="S42" s="2" t="inlineStr">
        <is>
          <t>Downer</t>
        </is>
      </c>
      <c r="T42" s="2" t="n">
        <v>100</v>
      </c>
      <c r="W42" s="2" t="inlineStr">
        <is>
          <t>Classification</t>
        </is>
      </c>
    </row>
    <row r="43">
      <c r="A43" s="2" t="inlineStr">
        <is>
          <t>Downer</t>
        </is>
      </c>
      <c r="B43" s="2" t="inlineStr">
        <is>
          <t>_CLOSED_BP_Auckland_POA Car Handling Facility</t>
        </is>
      </c>
      <c r="C43" s="2" t="inlineStr">
        <is>
          <t>Construction Site</t>
        </is>
      </c>
      <c r="D43" s="2" t="inlineStr">
        <is>
          <t>L9.DNZ.HA0382</t>
        </is>
      </c>
      <c r="E43" s="2" t="n">
        <v>5308</v>
      </c>
      <c r="M43" s="2" t="inlineStr">
        <is>
          <t>Auckland</t>
        </is>
      </c>
      <c r="N43" s="2" t="inlineStr">
        <is>
          <t>New Zealand</t>
        </is>
      </c>
      <c r="P43" s="2" t="inlineStr">
        <is>
          <t>Operational Control</t>
        </is>
      </c>
      <c r="Q43" s="2" t="inlineStr">
        <is>
          <t>Operational Control</t>
        </is>
      </c>
      <c r="R43" s="2" t="inlineStr">
        <is>
          <t>Transport &amp; Infrastructure (T&amp;I)</t>
        </is>
      </c>
      <c r="S43" s="2" t="inlineStr">
        <is>
          <t>Downer</t>
        </is>
      </c>
      <c r="T43" s="2" t="n">
        <v>100</v>
      </c>
      <c r="U43" s="2" t="inlineStr">
        <is>
          <t>1899/12/31</t>
        </is>
      </c>
      <c r="W43" s="2" t="inlineStr">
        <is>
          <t>Classification</t>
        </is>
      </c>
    </row>
    <row r="44">
      <c r="A44" s="2" t="inlineStr">
        <is>
          <t>Downer</t>
        </is>
      </c>
      <c r="B44" s="2" t="inlineStr">
        <is>
          <t>_CLOSED_BP_Auckland_Small Jobs</t>
        </is>
      </c>
      <c r="C44" s="2" t="inlineStr">
        <is>
          <t>Operations Center</t>
        </is>
      </c>
      <c r="D44" s="2" t="inlineStr">
        <is>
          <t>L9.DNZ.COR</t>
        </is>
      </c>
      <c r="E44" s="2" t="n">
        <v>5255</v>
      </c>
      <c r="G44" s="2" t="inlineStr">
        <is>
          <t>Projects located at numerous sites throughout Auckland Region - New location established following purchase of Hawkins 2017</t>
        </is>
      </c>
      <c r="M44" s="2" t="inlineStr">
        <is>
          <t>Auckland City</t>
        </is>
      </c>
      <c r="N44" s="2" t="inlineStr">
        <is>
          <t>New Zealand</t>
        </is>
      </c>
      <c r="P44" s="2" t="inlineStr">
        <is>
          <t>Operational Control</t>
        </is>
      </c>
      <c r="Q44" s="2" t="inlineStr">
        <is>
          <t>Operational Control</t>
        </is>
      </c>
      <c r="R44" s="2" t="inlineStr">
        <is>
          <t>Transport &amp; Infrastructure (T&amp;I)</t>
        </is>
      </c>
      <c r="S44" s="2" t="inlineStr">
        <is>
          <t>Downer</t>
        </is>
      </c>
      <c r="T44" s="2" t="n">
        <v>100</v>
      </c>
      <c r="W44" s="2" t="inlineStr">
        <is>
          <t>Classification</t>
        </is>
      </c>
    </row>
    <row r="45">
      <c r="A45" s="2" t="inlineStr">
        <is>
          <t>Downer</t>
        </is>
      </c>
      <c r="B45" s="2" t="inlineStr">
        <is>
          <t>_CLOSED_BP_Central_Farmers Tauranga</t>
        </is>
      </c>
      <c r="C45" s="2" t="inlineStr">
        <is>
          <t>Construction Site</t>
        </is>
      </c>
      <c r="D45" s="2" t="inlineStr">
        <is>
          <t>L9.DNZ.HC0331</t>
        </is>
      </c>
      <c r="E45" s="2" t="n">
        <v>5256</v>
      </c>
      <c r="G45" s="2" t="inlineStr">
        <is>
          <t>Project Site - Building Construction - New location established in FY19</t>
        </is>
      </c>
      <c r="M45" s="2" t="inlineStr">
        <is>
          <t>Tauranga</t>
        </is>
      </c>
      <c r="N45" s="2" t="inlineStr">
        <is>
          <t>New Zealand</t>
        </is>
      </c>
      <c r="P45" s="2" t="inlineStr">
        <is>
          <t>Operational Control</t>
        </is>
      </c>
      <c r="Q45" s="2" t="inlineStr">
        <is>
          <t>Operational Control</t>
        </is>
      </c>
      <c r="R45" s="2" t="inlineStr">
        <is>
          <t>Transport &amp; Infrastructure (T&amp;I)</t>
        </is>
      </c>
      <c r="S45" s="2" t="inlineStr">
        <is>
          <t>Downer</t>
        </is>
      </c>
      <c r="T45" s="2" t="n">
        <v>100</v>
      </c>
      <c r="W45" s="2" t="inlineStr">
        <is>
          <t>Classification</t>
        </is>
      </c>
    </row>
    <row r="46">
      <c r="A46" s="2" t="inlineStr">
        <is>
          <t>Downer</t>
        </is>
      </c>
      <c r="B46" s="2" t="inlineStr">
        <is>
          <t>_CLOSED_BP_Central_Kawerau Geothermal Switchroom</t>
        </is>
      </c>
      <c r="C46" s="2" t="inlineStr">
        <is>
          <t>Other</t>
        </is>
      </c>
      <c r="D46" s="2" t="inlineStr">
        <is>
          <t>L9.DNZ.PLT</t>
        </is>
      </c>
      <c r="E46" s="2" t="n">
        <v>5205</v>
      </c>
      <c r="G46" s="2" t="inlineStr">
        <is>
          <t>Project Site - Building Construction - New location established following purchase of Hawkins 2037 - Ormat Pacific</t>
        </is>
      </c>
      <c r="H46" s="2" t="inlineStr">
        <is>
          <t>Old Coach Road, Paengaroa</t>
        </is>
      </c>
      <c r="I46" s="2" t="inlineStr">
        <is>
          <t>Rotorua</t>
        </is>
      </c>
      <c r="J46" s="2" t="inlineStr">
        <is>
          <t>Bay of Plenty</t>
        </is>
      </c>
      <c r="K46" s="2" t="n">
        <v>3110</v>
      </c>
      <c r="L46" s="2" t="inlineStr">
        <is>
          <t>New Zealand</t>
        </is>
      </c>
      <c r="M46" s="2" t="inlineStr">
        <is>
          <t>Paengaroa</t>
        </is>
      </c>
      <c r="N46" s="2" t="inlineStr">
        <is>
          <t>New Zealand</t>
        </is>
      </c>
      <c r="P46" s="2" t="inlineStr">
        <is>
          <t>Operational Control</t>
        </is>
      </c>
      <c r="Q46" s="2" t="inlineStr">
        <is>
          <t>Operational Control</t>
        </is>
      </c>
      <c r="R46" s="2" t="inlineStr">
        <is>
          <t>Transport &amp; Infrastructure (T&amp;I)</t>
        </is>
      </c>
      <c r="S46" s="2" t="inlineStr">
        <is>
          <t>Downer</t>
        </is>
      </c>
      <c r="T46" s="2" t="n">
        <v>100</v>
      </c>
      <c r="W46" s="2" t="inlineStr">
        <is>
          <t>Classification</t>
        </is>
      </c>
      <c r="X46" s="2" t="n">
        <v>-37.838121</v>
      </c>
      <c r="Y46" s="2" t="n">
        <v>176.42131</v>
      </c>
      <c r="Z46" s="2" t="n">
        <v>302</v>
      </c>
      <c r="AA46" s="11" t="n">
        <v>42954</v>
      </c>
      <c r="AB46" s="11" t="n">
        <v>43190</v>
      </c>
    </row>
    <row r="47">
      <c r="A47" s="2" t="inlineStr">
        <is>
          <t>Downer</t>
        </is>
      </c>
      <c r="B47" s="2" t="inlineStr">
        <is>
          <t>_CLOSED_BP_Central_RHO-Hamilton</t>
        </is>
      </c>
      <c r="C47" s="2" t="inlineStr">
        <is>
          <t>Other</t>
        </is>
      </c>
      <c r="D47" s="2" t="inlineStr">
        <is>
          <t>L9.DNZ.CEN</t>
        </is>
      </c>
      <c r="E47" s="2" t="n">
        <v>5196</v>
      </c>
      <c r="G47" s="2" t="inlineStr">
        <is>
          <t>Support services for projects located at numerous sites throughout Central NZ - New location established following purchase of Hawkins 2028</t>
        </is>
      </c>
      <c r="H47" s="2" t="inlineStr">
        <is>
          <t>8-10 Charlies Way</t>
        </is>
      </c>
      <c r="I47" s="2" t="inlineStr">
        <is>
          <t>Hamilton</t>
        </is>
      </c>
      <c r="J47" s="2" t="inlineStr">
        <is>
          <t>Waikato</t>
        </is>
      </c>
      <c r="K47" s="2" t="n">
        <v>3110</v>
      </c>
      <c r="L47" s="2" t="inlineStr">
        <is>
          <t>New Zealand</t>
        </is>
      </c>
      <c r="M47" s="2" t="inlineStr">
        <is>
          <t>Hamilton</t>
        </is>
      </c>
      <c r="N47" s="2" t="inlineStr">
        <is>
          <t>New Zealand</t>
        </is>
      </c>
      <c r="P47" s="2" t="inlineStr">
        <is>
          <t>Operational Control</t>
        </is>
      </c>
      <c r="Q47" s="2" t="inlineStr">
        <is>
          <t>Operational Control</t>
        </is>
      </c>
      <c r="R47" s="2" t="inlineStr">
        <is>
          <t>Transport &amp; Infrastructure (T&amp;I)</t>
        </is>
      </c>
      <c r="S47" s="2" t="inlineStr">
        <is>
          <t>Downer</t>
        </is>
      </c>
      <c r="T47" s="2" t="n">
        <v>100</v>
      </c>
      <c r="W47" s="2" t="inlineStr">
        <is>
          <t>Classification</t>
        </is>
      </c>
      <c r="X47" s="2" t="n">
        <v>-37.800447</v>
      </c>
      <c r="Y47" s="2" t="n">
        <v>175.25785</v>
      </c>
      <c r="Z47" s="2" t="n">
        <v>301</v>
      </c>
      <c r="AA47" s="11" t="n">
        <v>42917</v>
      </c>
    </row>
    <row r="48">
      <c r="A48" s="2" t="inlineStr">
        <is>
          <t>Downer</t>
        </is>
      </c>
      <c r="B48" s="2" t="inlineStr">
        <is>
          <t>_CLOSED_BP_Central_Small Jobs</t>
        </is>
      </c>
      <c r="C48" s="2" t="inlineStr">
        <is>
          <t>Operations Center</t>
        </is>
      </c>
      <c r="D48" s="2" t="inlineStr">
        <is>
          <t>L9.DNZ.HC0330</t>
        </is>
      </c>
      <c r="E48" s="2" t="n">
        <v>5257</v>
      </c>
      <c r="G48" s="2" t="inlineStr">
        <is>
          <t>Projects located at numerous sites throughout Central NZ - New location established following purchase of Hawkins 2017</t>
        </is>
      </c>
      <c r="M48" s="2" t="inlineStr">
        <is>
          <t>Hamilton</t>
        </is>
      </c>
      <c r="N48" s="2" t="inlineStr">
        <is>
          <t>New Zealand</t>
        </is>
      </c>
      <c r="P48" s="2" t="inlineStr">
        <is>
          <t>Operational Control</t>
        </is>
      </c>
      <c r="Q48" s="2" t="inlineStr">
        <is>
          <t>Operational Control</t>
        </is>
      </c>
      <c r="R48" s="2" t="inlineStr">
        <is>
          <t>Transport &amp; Infrastructure (T&amp;I)</t>
        </is>
      </c>
      <c r="S48" s="2" t="inlineStr">
        <is>
          <t>Downer</t>
        </is>
      </c>
      <c r="T48" s="2" t="n">
        <v>100</v>
      </c>
      <c r="W48" s="2" t="inlineStr">
        <is>
          <t>Classification</t>
        </is>
      </c>
    </row>
    <row r="49">
      <c r="A49" s="2" t="inlineStr">
        <is>
          <t>Downer</t>
        </is>
      </c>
      <c r="B49" s="2" t="inlineStr">
        <is>
          <t>_CLOSED_BP_South-Island_Christchurch Town Hall Con</t>
        </is>
      </c>
      <c r="C49" s="2" t="inlineStr">
        <is>
          <t>Other</t>
        </is>
      </c>
      <c r="D49" s="2" t="inlineStr">
        <is>
          <t>L9.DNZ.HS0120</t>
        </is>
      </c>
      <c r="E49" s="2" t="n">
        <v>5229</v>
      </c>
      <c r="G49" s="2" t="inlineStr">
        <is>
          <t>Project Site - Building Construction - New location established following purchase of Hawkins 2061 - Christchurch City Council</t>
        </is>
      </c>
      <c r="H49" s="2" t="inlineStr">
        <is>
          <t>86 Kilmore Street</t>
        </is>
      </c>
      <c r="I49" s="2" t="inlineStr">
        <is>
          <t>Christchurch</t>
        </is>
      </c>
      <c r="J49" s="2" t="inlineStr">
        <is>
          <t>Canterbury</t>
        </is>
      </c>
      <c r="K49" s="2" t="n">
        <v>8041</v>
      </c>
      <c r="L49" s="2" t="inlineStr">
        <is>
          <t>New Zealand</t>
        </is>
      </c>
      <c r="M49" s="2" t="inlineStr">
        <is>
          <t>Christchurch</t>
        </is>
      </c>
      <c r="N49" s="2" t="inlineStr">
        <is>
          <t>New Zealand</t>
        </is>
      </c>
      <c r="P49" s="2" t="inlineStr">
        <is>
          <t>Operational Control</t>
        </is>
      </c>
      <c r="Q49" s="2" t="inlineStr">
        <is>
          <t>Operational Control</t>
        </is>
      </c>
      <c r="R49" s="2" t="inlineStr">
        <is>
          <t>Transport &amp; Infrastructure (T&amp;I)</t>
        </is>
      </c>
      <c r="S49" s="2" t="inlineStr">
        <is>
          <t>Downer</t>
        </is>
      </c>
      <c r="T49" s="2" t="n">
        <v>100</v>
      </c>
      <c r="W49" s="2" t="inlineStr">
        <is>
          <t>Classification</t>
        </is>
      </c>
      <c r="X49" s="2" t="n">
        <v>-43.5269559</v>
      </c>
      <c r="Y49" s="2" t="n">
        <v>172.63483</v>
      </c>
      <c r="Z49" s="2" t="n">
        <v>302</v>
      </c>
      <c r="AA49" s="11" t="n">
        <v>42917</v>
      </c>
    </row>
    <row r="50">
      <c r="A50" s="2" t="inlineStr">
        <is>
          <t>Downer</t>
        </is>
      </c>
      <c r="B50" s="2" t="inlineStr">
        <is>
          <t>_CLOSED_BP_South-Island_RO-Addington</t>
        </is>
      </c>
      <c r="C50" s="2" t="inlineStr">
        <is>
          <t>Other</t>
        </is>
      </c>
      <c r="D50" s="2" t="inlineStr">
        <is>
          <t>L9.DNZ.SI</t>
        </is>
      </c>
      <c r="E50" s="2" t="n">
        <v>5226</v>
      </c>
      <c r="G50" s="2" t="inlineStr">
        <is>
          <t>Support services for projects located at numerous sites throughout South Island - New location established following purchase of Hawkins 2058</t>
        </is>
      </c>
      <c r="H50" s="2" t="inlineStr">
        <is>
          <t>Unit 14 Barry Hogan Place</t>
        </is>
      </c>
      <c r="I50" s="2" t="inlineStr">
        <is>
          <t>Addington</t>
        </is>
      </c>
      <c r="J50" s="2" t="inlineStr">
        <is>
          <t>Canterbury</t>
        </is>
      </c>
      <c r="K50" s="2" t="n">
        <v>8011</v>
      </c>
      <c r="L50" s="2" t="inlineStr">
        <is>
          <t>New Zealand</t>
        </is>
      </c>
      <c r="M50" s="2" t="inlineStr">
        <is>
          <t>Christchurch</t>
        </is>
      </c>
      <c r="N50" s="2" t="inlineStr">
        <is>
          <t>New Zealand</t>
        </is>
      </c>
      <c r="P50" s="2" t="inlineStr">
        <is>
          <t>Operational Control</t>
        </is>
      </c>
      <c r="Q50" s="2" t="inlineStr">
        <is>
          <t>Operational Control</t>
        </is>
      </c>
      <c r="R50" s="2" t="inlineStr">
        <is>
          <t>Transport &amp; Infrastructure (T&amp;I)</t>
        </is>
      </c>
      <c r="S50" s="2" t="inlineStr">
        <is>
          <t>Downer</t>
        </is>
      </c>
      <c r="T50" s="2" t="n">
        <v>100</v>
      </c>
      <c r="W50" s="2" t="inlineStr">
        <is>
          <t>Classification</t>
        </is>
      </c>
      <c r="X50" s="2" t="n">
        <v>-43.5406926</v>
      </c>
      <c r="Y50" s="2" t="n">
        <v>172.5997403</v>
      </c>
      <c r="Z50" s="2" t="n">
        <v>301</v>
      </c>
      <c r="AA50" s="11" t="n">
        <v>42917</v>
      </c>
    </row>
    <row r="51">
      <c r="A51" s="2" t="inlineStr">
        <is>
          <t>Downer</t>
        </is>
      </c>
      <c r="B51" s="2" t="inlineStr">
        <is>
          <t>_CLOSED_BP_South-Island_Small Jobs</t>
        </is>
      </c>
      <c r="C51" s="2" t="inlineStr">
        <is>
          <t>Operations Center</t>
        </is>
      </c>
      <c r="D51" s="2" t="inlineStr">
        <is>
          <t>L9.DNZ.HS0140</t>
        </is>
      </c>
      <c r="E51" s="2" t="n">
        <v>5259</v>
      </c>
      <c r="G51" s="2" t="inlineStr">
        <is>
          <t>Projects located at numerous sites throughout South Island - New location established following purchase of Hawkins 2017</t>
        </is>
      </c>
      <c r="M51" s="2" t="inlineStr">
        <is>
          <t>Canterbury</t>
        </is>
      </c>
      <c r="N51" s="2" t="inlineStr">
        <is>
          <t>New Zealand</t>
        </is>
      </c>
      <c r="P51" s="2" t="inlineStr">
        <is>
          <t>Operational Control</t>
        </is>
      </c>
      <c r="Q51" s="2" t="inlineStr">
        <is>
          <t>Operational Control</t>
        </is>
      </c>
      <c r="R51" s="2" t="inlineStr">
        <is>
          <t>Transport &amp; Infrastructure (T&amp;I)</t>
        </is>
      </c>
      <c r="S51" s="2" t="inlineStr">
        <is>
          <t>Downer</t>
        </is>
      </c>
      <c r="T51" s="2" t="n">
        <v>100</v>
      </c>
      <c r="W51" s="2" t="inlineStr">
        <is>
          <t>Classification</t>
        </is>
      </c>
    </row>
    <row r="52">
      <c r="A52" s="2" t="inlineStr">
        <is>
          <t>Downer</t>
        </is>
      </c>
      <c r="B52" s="2" t="inlineStr">
        <is>
          <t>_CLOSED_BP_SubContractors</t>
        </is>
      </c>
      <c r="C52" s="2" t="inlineStr">
        <is>
          <t>Other</t>
        </is>
      </c>
      <c r="D52" s="2" t="inlineStr">
        <is>
          <t>L9.DNZ.COR</t>
        </is>
      </c>
      <c r="E52" s="2" t="n">
        <v>5320</v>
      </c>
      <c r="M52" s="2" t="inlineStr">
        <is>
          <t>Auckland</t>
        </is>
      </c>
      <c r="N52" s="2" t="inlineStr">
        <is>
          <t>New Zealand</t>
        </is>
      </c>
      <c r="P52" s="2" t="inlineStr">
        <is>
          <t>Operational Control</t>
        </is>
      </c>
      <c r="Q52" s="2" t="inlineStr">
        <is>
          <t>Operational Control</t>
        </is>
      </c>
      <c r="R52" s="2" t="inlineStr">
        <is>
          <t>Transport &amp; Infrastructure (T&amp;I)</t>
        </is>
      </c>
      <c r="S52" s="2" t="inlineStr">
        <is>
          <t>Downer</t>
        </is>
      </c>
      <c r="T52" s="2" t="n">
        <v>100</v>
      </c>
      <c r="W52" s="2" t="inlineStr">
        <is>
          <t>Classification</t>
        </is>
      </c>
    </row>
    <row r="53">
      <c r="A53" s="2" t="inlineStr">
        <is>
          <t>Downer</t>
        </is>
      </c>
      <c r="B53" s="2" t="inlineStr">
        <is>
          <t>_CLOSED_BP_Wellington_NZ Post Podium Reinstatement</t>
        </is>
      </c>
      <c r="C53" s="2" t="inlineStr">
        <is>
          <t>Other</t>
        </is>
      </c>
      <c r="D53" s="2" t="inlineStr">
        <is>
          <t>L9.DNZ.HW0153</t>
        </is>
      </c>
      <c r="E53" s="2" t="n">
        <v>5221</v>
      </c>
      <c r="G53" s="2" t="inlineStr">
        <is>
          <t>Project Site - Building Construction - New location established following purchase of Hawkins 2053 - NZ Post Properties</t>
        </is>
      </c>
      <c r="H53" s="2" t="inlineStr">
        <is>
          <t>7 Waterloo Quay, Wellington CBD</t>
        </is>
      </c>
      <c r="I53" s="2" t="inlineStr">
        <is>
          <t>Wellington</t>
        </is>
      </c>
      <c r="J53" s="2" t="inlineStr">
        <is>
          <t>Wellington</t>
        </is>
      </c>
      <c r="K53" s="2" t="n">
        <v>6011</v>
      </c>
      <c r="L53" s="2" t="inlineStr">
        <is>
          <t>New Zealand</t>
        </is>
      </c>
      <c r="M53" s="2" t="inlineStr">
        <is>
          <t>Wellington</t>
        </is>
      </c>
      <c r="N53" s="2" t="inlineStr">
        <is>
          <t>New Zealand</t>
        </is>
      </c>
      <c r="P53" s="2" t="inlineStr">
        <is>
          <t>Operational Control</t>
        </is>
      </c>
      <c r="Q53" s="2" t="inlineStr">
        <is>
          <t>Operational Control</t>
        </is>
      </c>
      <c r="R53" s="2" t="inlineStr">
        <is>
          <t>Transport &amp; Infrastructure (T&amp;I)</t>
        </is>
      </c>
      <c r="S53" s="2" t="inlineStr">
        <is>
          <t>Downer</t>
        </is>
      </c>
      <c r="T53" s="2" t="n">
        <v>100</v>
      </c>
      <c r="W53" s="2" t="inlineStr">
        <is>
          <t>Classification</t>
        </is>
      </c>
      <c r="X53" s="2" t="n">
        <v>-41.280732</v>
      </c>
      <c r="Y53" s="2" t="n">
        <v>174.779368</v>
      </c>
      <c r="Z53" s="2" t="n">
        <v>302</v>
      </c>
      <c r="AA53" s="11" t="n">
        <v>42917</v>
      </c>
    </row>
    <row r="54">
      <c r="A54" s="2" t="inlineStr">
        <is>
          <t>Downer</t>
        </is>
      </c>
      <c r="B54" s="2" t="inlineStr">
        <is>
          <t>_CLOSED_BP_Wellington_RO-Wellington</t>
        </is>
      </c>
      <c r="C54" s="2" t="inlineStr">
        <is>
          <t>Other</t>
        </is>
      </c>
      <c r="D54" s="2" t="inlineStr">
        <is>
          <t>L9.DNZ.WLG</t>
        </is>
      </c>
      <c r="E54" s="2" t="n">
        <v>5210</v>
      </c>
      <c r="G54" s="2" t="inlineStr">
        <is>
          <t>Support services for projects located at numerous sites throughout Wellington Region - New location established following purchase of Hawkins 2042</t>
        </is>
      </c>
      <c r="H54" s="2" t="inlineStr">
        <is>
          <t>265 Wakefield Street, CBD</t>
        </is>
      </c>
      <c r="I54" s="2" t="inlineStr">
        <is>
          <t>Wellington</t>
        </is>
      </c>
      <c r="J54" s="2" t="inlineStr">
        <is>
          <t>Wellington</t>
        </is>
      </c>
      <c r="K54" s="2" t="n">
        <v>6011</v>
      </c>
      <c r="L54" s="2" t="inlineStr">
        <is>
          <t>New Zealand</t>
        </is>
      </c>
      <c r="M54" s="2" t="inlineStr">
        <is>
          <t>Wellington</t>
        </is>
      </c>
      <c r="N54" s="2" t="inlineStr">
        <is>
          <t>New Zealand</t>
        </is>
      </c>
      <c r="P54" s="2" t="inlineStr">
        <is>
          <t>Operational Control</t>
        </is>
      </c>
      <c r="Q54" s="2" t="inlineStr">
        <is>
          <t>Operational Control</t>
        </is>
      </c>
      <c r="R54" s="2" t="inlineStr">
        <is>
          <t>Transport &amp; Infrastructure (T&amp;I)</t>
        </is>
      </c>
      <c r="S54" s="2" t="inlineStr">
        <is>
          <t>Downer</t>
        </is>
      </c>
      <c r="T54" s="2" t="n">
        <v>100</v>
      </c>
      <c r="W54" s="2" t="inlineStr">
        <is>
          <t>Classification</t>
        </is>
      </c>
      <c r="X54" s="2" t="n">
        <v>-41.292407</v>
      </c>
      <c r="Y54" s="2" t="n">
        <v>174.783133</v>
      </c>
      <c r="Z54" s="2" t="n">
        <v>301</v>
      </c>
      <c r="AA54" s="11" t="n">
        <v>42917</v>
      </c>
    </row>
    <row r="55">
      <c r="A55" s="2" t="inlineStr">
        <is>
          <t>Downer</t>
        </is>
      </c>
      <c r="B55" s="2" t="inlineStr">
        <is>
          <t>_CLOSED_BP_Wellington_Small Jobs</t>
        </is>
      </c>
      <c r="C55" s="2" t="inlineStr">
        <is>
          <t>Operations Center</t>
        </is>
      </c>
      <c r="D55" s="2" t="inlineStr">
        <is>
          <t>L9.DNZ.COR</t>
        </is>
      </c>
      <c r="E55" s="2" t="n">
        <v>5258</v>
      </c>
      <c r="G55" s="2" t="inlineStr">
        <is>
          <t>Projects located at numerous sites throughout Welington - New location established following purchase of Hawkins 2017</t>
        </is>
      </c>
      <c r="M55" s="2" t="inlineStr">
        <is>
          <t>Wellington</t>
        </is>
      </c>
      <c r="N55" s="2" t="inlineStr">
        <is>
          <t>New Zealand</t>
        </is>
      </c>
      <c r="P55" s="2" t="inlineStr">
        <is>
          <t>Operational Control</t>
        </is>
      </c>
      <c r="Q55" s="2" t="inlineStr">
        <is>
          <t>Operational Control</t>
        </is>
      </c>
      <c r="R55" s="2" t="inlineStr">
        <is>
          <t>Transport &amp; Infrastructure (T&amp;I)</t>
        </is>
      </c>
      <c r="S55" s="2" t="inlineStr">
        <is>
          <t>Downer</t>
        </is>
      </c>
      <c r="T55" s="2" t="n">
        <v>100</v>
      </c>
      <c r="W55" s="2" t="inlineStr">
        <is>
          <t>Classification</t>
        </is>
      </c>
    </row>
    <row r="56">
      <c r="A56" s="2" t="inlineStr">
        <is>
          <t>Downer</t>
        </is>
      </c>
      <c r="B56" s="2" t="inlineStr">
        <is>
          <t>_CLOSED_Braiform Australia - Dandenong Warehouse (</t>
        </is>
      </c>
      <c r="C56" s="2" t="inlineStr">
        <is>
          <t>Branch Office</t>
        </is>
      </c>
      <c r="D56" s="2" t="inlineStr">
        <is>
          <t>L9.S.18700011</t>
        </is>
      </c>
      <c r="G56" s="2" t="inlineStr">
        <is>
          <t>No longer exists - 1 July 2009</t>
        </is>
      </c>
      <c r="H56" s="2" t="inlineStr">
        <is>
          <t>1/19 Commercial Drive</t>
        </is>
      </c>
      <c r="I56" s="2" t="inlineStr">
        <is>
          <t>Dandenong South</t>
        </is>
      </c>
      <c r="J56" s="2" t="inlineStr">
        <is>
          <t>VIC</t>
        </is>
      </c>
      <c r="K56" s="2" t="n">
        <v>3175</v>
      </c>
      <c r="M56" s="2" t="inlineStr">
        <is>
          <t>Victoria</t>
        </is>
      </c>
      <c r="N56" s="2" t="inlineStr">
        <is>
          <t>Australia</t>
        </is>
      </c>
      <c r="P56" s="2" t="inlineStr">
        <is>
          <t>Operational Control</t>
        </is>
      </c>
      <c r="Q56" s="2" t="inlineStr">
        <is>
          <t>Operational Control</t>
        </is>
      </c>
      <c r="R56" s="2" t="inlineStr">
        <is>
          <t>Corporate</t>
        </is>
      </c>
      <c r="S56" s="2" t="inlineStr">
        <is>
          <t>Downer</t>
        </is>
      </c>
      <c r="T56" s="2" t="n">
        <v>100</v>
      </c>
      <c r="W56" s="2" t="inlineStr">
        <is>
          <t>Classification</t>
        </is>
      </c>
      <c r="Z56" s="2" t="n">
        <v>696</v>
      </c>
    </row>
    <row r="57">
      <c r="A57" s="2" t="inlineStr">
        <is>
          <t>Downer</t>
        </is>
      </c>
      <c r="B57" s="2" t="inlineStr">
        <is>
          <t>_CLOSED_Brisbane - Roads</t>
        </is>
      </c>
      <c r="C57" s="2" t="inlineStr">
        <is>
          <t>Depot</t>
        </is>
      </c>
      <c r="D57" s="2" t="inlineStr">
        <is>
          <t>L9.J.170402</t>
        </is>
      </c>
      <c r="E57" s="2" t="n">
        <v>8020</v>
      </c>
      <c r="F57" s="2" t="n">
        <v>8020</v>
      </c>
      <c r="G57" s="2" t="inlineStr">
        <is>
          <t>Lease commenced 5th October 2018. 
Office location is now under Qantas Dr. Location is closed.</t>
        </is>
      </c>
      <c r="H57" s="2" t="inlineStr">
        <is>
          <t>60 - 62 Qantas Drive, Brisbane Airport</t>
        </is>
      </c>
      <c r="I57" s="2" t="inlineStr">
        <is>
          <t>Brisbane</t>
        </is>
      </c>
      <c r="J57" s="2" t="inlineStr">
        <is>
          <t>QLD</t>
        </is>
      </c>
      <c r="K57" s="2" t="n">
        <v>4008</v>
      </c>
      <c r="L57" s="2" t="inlineStr">
        <is>
          <t>Australia</t>
        </is>
      </c>
      <c r="M57" s="2" t="inlineStr">
        <is>
          <t>Brisbane</t>
        </is>
      </c>
      <c r="N57" s="2" t="inlineStr">
        <is>
          <t>Australia</t>
        </is>
      </c>
      <c r="P57" s="2" t="inlineStr">
        <is>
          <t>Operational Control</t>
        </is>
      </c>
      <c r="Q57" s="2" t="inlineStr">
        <is>
          <t>Operational Control</t>
        </is>
      </c>
      <c r="R57" s="2" t="inlineStr">
        <is>
          <t>Transport &amp; Infrastructure (T&amp;I)</t>
        </is>
      </c>
      <c r="S57" s="2" t="inlineStr">
        <is>
          <t>Downer</t>
        </is>
      </c>
      <c r="T57" s="2" t="n">
        <v>100</v>
      </c>
      <c r="W57" s="2" t="inlineStr">
        <is>
          <t>Classification</t>
        </is>
      </c>
      <c r="X57" s="2" t="n">
        <v>-27.414474</v>
      </c>
      <c r="Y57" s="2" t="n">
        <v>153.091364</v>
      </c>
      <c r="Z57" s="2" t="n">
        <v>310</v>
      </c>
      <c r="AB57" s="11" t="n">
        <v>44377</v>
      </c>
    </row>
    <row r="58">
      <c r="A58" s="2" t="inlineStr">
        <is>
          <t>Downer</t>
        </is>
      </c>
      <c r="B58" s="2" t="inlineStr">
        <is>
          <t>_CLOSED_Broome</t>
        </is>
      </c>
      <c r="C58" s="2" t="inlineStr">
        <is>
          <t>Branch</t>
        </is>
      </c>
      <c r="D58" s="2" t="inlineStr">
        <is>
          <t>L9.J.17060521</t>
        </is>
      </c>
      <c r="E58" s="2" t="n">
        <v>31</v>
      </c>
      <c r="H58" s="2" t="inlineStr">
        <is>
          <t>3 Ward Street</t>
        </is>
      </c>
      <c r="I58" s="2" t="inlineStr">
        <is>
          <t>Broome</t>
        </is>
      </c>
      <c r="J58" s="2" t="inlineStr">
        <is>
          <t>Western Australia</t>
        </is>
      </c>
      <c r="K58" s="2" t="n">
        <v>6725</v>
      </c>
      <c r="L58" s="2" t="inlineStr">
        <is>
          <t>Australia</t>
        </is>
      </c>
      <c r="M58" s="2" t="inlineStr">
        <is>
          <t>Western Australia</t>
        </is>
      </c>
      <c r="N58" s="2" t="inlineStr">
        <is>
          <t>Australia</t>
        </is>
      </c>
      <c r="P58" s="2" t="inlineStr">
        <is>
          <t>Operational Control</t>
        </is>
      </c>
      <c r="Q58" s="2" t="inlineStr">
        <is>
          <t>Operational Control</t>
        </is>
      </c>
      <c r="R58" s="2" t="inlineStr">
        <is>
          <t>Transport &amp; Infrastructure (T&amp;I)</t>
        </is>
      </c>
      <c r="S58" s="2" t="inlineStr">
        <is>
          <t>Downer</t>
        </is>
      </c>
      <c r="T58" s="2" t="n">
        <v>100</v>
      </c>
      <c r="W58" s="2" t="inlineStr">
        <is>
          <t>Classification</t>
        </is>
      </c>
      <c r="X58" s="2" t="n">
        <v>-17.988226</v>
      </c>
      <c r="Y58" s="2" t="n">
        <v>122.202073</v>
      </c>
      <c r="Z58" s="2" t="n">
        <v>310</v>
      </c>
    </row>
    <row r="59">
      <c r="A59" s="2" t="inlineStr">
        <is>
          <t>Downer</t>
        </is>
      </c>
      <c r="B59" s="2" t="inlineStr">
        <is>
          <t>_CLOSED_Camellia</t>
        </is>
      </c>
      <c r="C59" s="2" t="inlineStr">
        <is>
          <t>Depot</t>
        </is>
      </c>
      <c r="D59" s="2" t="inlineStr">
        <is>
          <t>L9.J.17010146</t>
        </is>
      </c>
      <c r="E59" s="2" t="n">
        <v>36</v>
      </c>
      <c r="G59" s="2" t="inlineStr">
        <is>
          <t>RAP Processing</t>
        </is>
      </c>
      <c r="H59" s="2" t="inlineStr">
        <is>
          <t>12 Grande Ave</t>
        </is>
      </c>
      <c r="I59" s="2" t="inlineStr">
        <is>
          <t>Camellia</t>
        </is>
      </c>
      <c r="J59" s="2" t="inlineStr">
        <is>
          <t>NSW</t>
        </is>
      </c>
      <c r="K59" s="2" t="n">
        <v>2142</v>
      </c>
      <c r="L59" s="2" t="inlineStr">
        <is>
          <t>Australia</t>
        </is>
      </c>
      <c r="M59" s="2" t="inlineStr">
        <is>
          <t>New South Wales</t>
        </is>
      </c>
      <c r="N59" s="2" t="inlineStr">
        <is>
          <t>Australia</t>
        </is>
      </c>
      <c r="P59" s="2" t="inlineStr">
        <is>
          <t>Operational Control</t>
        </is>
      </c>
      <c r="Q59" s="2" t="inlineStr">
        <is>
          <t>Operational Control</t>
        </is>
      </c>
      <c r="R59" s="2" t="inlineStr">
        <is>
          <t>Transport &amp; Infrastructure (T&amp;I)</t>
        </is>
      </c>
      <c r="S59" s="2" t="inlineStr">
        <is>
          <t>Downer</t>
        </is>
      </c>
      <c r="T59" s="2" t="n">
        <v>100</v>
      </c>
      <c r="W59" s="2" t="inlineStr">
        <is>
          <t>Classification</t>
        </is>
      </c>
      <c r="X59" s="2" t="n">
        <v>-33.819</v>
      </c>
      <c r="Y59" s="2" t="n">
        <v>151.032</v>
      </c>
      <c r="Z59" s="2" t="n">
        <v>310</v>
      </c>
    </row>
    <row r="60">
      <c r="A60" s="2" t="inlineStr">
        <is>
          <t>Downer</t>
        </is>
      </c>
      <c r="B60" s="2" t="inlineStr">
        <is>
          <t>_CLOSED_Canningvale</t>
        </is>
      </c>
      <c r="C60" s="2" t="inlineStr">
        <is>
          <t>Other</t>
        </is>
      </c>
      <c r="D60" s="2" t="inlineStr">
        <is>
          <t>L9.J.706112</t>
        </is>
      </c>
      <c r="E60" s="2" t="inlineStr">
        <is>
          <t>L9.J.706112</t>
        </is>
      </c>
      <c r="F60" s="2" t="n">
        <v>40</v>
      </c>
      <c r="H60" s="2" t="inlineStr">
        <is>
          <t>42 Magnet Rd</t>
        </is>
      </c>
      <c r="I60" s="2" t="inlineStr">
        <is>
          <t>Canning Vale</t>
        </is>
      </c>
      <c r="J60" s="2" t="inlineStr">
        <is>
          <t>Western Australia</t>
        </is>
      </c>
      <c r="K60" s="2" t="n">
        <v>6155</v>
      </c>
      <c r="L60" s="2" t="inlineStr">
        <is>
          <t>Australia</t>
        </is>
      </c>
      <c r="M60" s="2" t="inlineStr">
        <is>
          <t>Western Australia</t>
        </is>
      </c>
      <c r="N60" s="2" t="inlineStr">
        <is>
          <t>Australia</t>
        </is>
      </c>
      <c r="P60" s="2" t="inlineStr">
        <is>
          <t>Operational Control</t>
        </is>
      </c>
      <c r="Q60" s="2" t="inlineStr">
        <is>
          <t>Operational Control</t>
        </is>
      </c>
      <c r="R60" s="2" t="inlineStr">
        <is>
          <t>Rail &amp; Transit Systems (RTS)</t>
        </is>
      </c>
      <c r="S60" s="2" t="inlineStr">
        <is>
          <t>Downer</t>
        </is>
      </c>
      <c r="T60" s="2" t="n">
        <v>100</v>
      </c>
      <c r="W60" s="2" t="inlineStr">
        <is>
          <t>Classification</t>
        </is>
      </c>
      <c r="X60" s="2" t="n">
        <v>-32.061556</v>
      </c>
      <c r="Y60" s="2" t="n">
        <v>115.927723</v>
      </c>
      <c r="Z60" s="2" t="n">
        <v>239</v>
      </c>
      <c r="AA60" s="11" t="n">
        <v>40360</v>
      </c>
      <c r="AB60" s="11" t="n">
        <v>43281</v>
      </c>
    </row>
    <row r="61">
      <c r="A61" s="2" t="inlineStr">
        <is>
          <t>Downer</t>
        </is>
      </c>
      <c r="B61" s="2" t="inlineStr">
        <is>
          <t>_CLOSED_Charmhaven NSW</t>
        </is>
      </c>
      <c r="C61" s="2" t="inlineStr">
        <is>
          <t>Branch Office</t>
        </is>
      </c>
      <c r="D61" s="2" t="inlineStr">
        <is>
          <t>L9.S.14001229</t>
        </is>
      </c>
      <c r="E61" s="2" t="n">
        <v>9046</v>
      </c>
      <c r="H61" s="2" t="inlineStr">
        <is>
          <t>Unit 5  132 Chelmsford Rd</t>
        </is>
      </c>
      <c r="I61" s="2" t="inlineStr">
        <is>
          <t>Charmhaven</t>
        </is>
      </c>
      <c r="J61" s="2" t="inlineStr">
        <is>
          <t>NSW</t>
        </is>
      </c>
      <c r="K61" s="2" t="n">
        <v>2263</v>
      </c>
      <c r="L61" s="2" t="inlineStr">
        <is>
          <t>Australia</t>
        </is>
      </c>
      <c r="M61" s="2" t="inlineStr">
        <is>
          <t>New South Wales</t>
        </is>
      </c>
      <c r="N61" s="2" t="inlineStr">
        <is>
          <t>Australia</t>
        </is>
      </c>
      <c r="P61" s="2" t="inlineStr">
        <is>
          <t>Operational Control</t>
        </is>
      </c>
      <c r="Q61" s="2" t="inlineStr">
        <is>
          <t>Operational Control</t>
        </is>
      </c>
      <c r="R61" s="2" t="inlineStr">
        <is>
          <t>Social Infra &amp; Citizen Serv (SICS)</t>
        </is>
      </c>
      <c r="S61" s="2" t="inlineStr">
        <is>
          <t>Downer</t>
        </is>
      </c>
      <c r="T61" s="2" t="n">
        <v>100</v>
      </c>
      <c r="W61" s="2" t="inlineStr">
        <is>
          <t>Classification</t>
        </is>
      </c>
      <c r="X61" s="2" t="n">
        <v>-33.238376</v>
      </c>
      <c r="Y61" s="2" t="n">
        <v>151.494332</v>
      </c>
      <c r="Z61" s="2" t="n">
        <v>692</v>
      </c>
      <c r="AB61" s="11" t="n">
        <v>45473</v>
      </c>
    </row>
    <row r="62">
      <c r="A62" s="2" t="inlineStr">
        <is>
          <t>Downer</t>
        </is>
      </c>
      <c r="B62" s="2" t="inlineStr">
        <is>
          <t>_CLOSED_Chinchilla Battery</t>
        </is>
      </c>
      <c r="C62" s="2" t="inlineStr">
        <is>
          <t>Construction Site</t>
        </is>
      </c>
      <c r="D62" s="2" t="inlineStr">
        <is>
          <t>L9.J.37740098</t>
        </is>
      </c>
      <c r="E62" s="2" t="inlineStr">
        <is>
          <t>1039 Banana Bridge Road, Brigalow</t>
        </is>
      </c>
      <c r="G62" s="2" t="inlineStr">
        <is>
          <t>Chinchilla Battery (BESS)</t>
        </is>
      </c>
      <c r="M62" s="2" t="inlineStr">
        <is>
          <t>Chinchilla</t>
        </is>
      </c>
      <c r="N62" s="2" t="inlineStr">
        <is>
          <t>Australia</t>
        </is>
      </c>
      <c r="P62" s="2" t="inlineStr">
        <is>
          <t>Operational Control</t>
        </is>
      </c>
      <c r="Q62" s="2" t="inlineStr">
        <is>
          <t>Operational Control</t>
        </is>
      </c>
      <c r="R62" s="2" t="inlineStr">
        <is>
          <t>Energy and Utilities (EU)</t>
        </is>
      </c>
      <c r="S62" s="2" t="inlineStr">
        <is>
          <t>Downer</t>
        </is>
      </c>
      <c r="T62" s="2" t="n">
        <v>100</v>
      </c>
      <c r="W62" s="2" t="inlineStr">
        <is>
          <t>Classification</t>
        </is>
      </c>
      <c r="AB62" s="11" t="n">
        <v>45632</v>
      </c>
    </row>
    <row r="63">
      <c r="A63" s="2" t="inlineStr">
        <is>
          <t>Downer</t>
        </is>
      </c>
      <c r="B63" s="2" t="inlineStr">
        <is>
          <t>_CLOSED_Collins Street - IPD</t>
        </is>
      </c>
      <c r="C63" s="2" t="inlineStr">
        <is>
          <t>Depot</t>
        </is>
      </c>
      <c r="D63" s="2" t="inlineStr">
        <is>
          <t>L9.J.200421</t>
        </is>
      </c>
      <c r="E63" s="2" t="n">
        <v>6008</v>
      </c>
      <c r="H63" s="2" t="inlineStr">
        <is>
          <t>Collins St</t>
        </is>
      </c>
      <c r="I63" s="2" t="inlineStr">
        <is>
          <t>Melbourne</t>
        </is>
      </c>
      <c r="J63" s="2" t="inlineStr">
        <is>
          <t>VIC</t>
        </is>
      </c>
      <c r="K63" s="2" t="n">
        <v>3000</v>
      </c>
      <c r="M63" s="2" t="inlineStr">
        <is>
          <t>Victoria</t>
        </is>
      </c>
      <c r="N63" s="2" t="inlineStr">
        <is>
          <t>Australia</t>
        </is>
      </c>
      <c r="P63" s="2" t="inlineStr">
        <is>
          <t>Operational Control</t>
        </is>
      </c>
      <c r="Q63" s="2" t="inlineStr">
        <is>
          <t>Operational Control</t>
        </is>
      </c>
      <c r="R63" s="2" t="inlineStr">
        <is>
          <t>DT Infrastructure (pre Sept 23 divestment)</t>
        </is>
      </c>
      <c r="S63" s="2" t="inlineStr">
        <is>
          <t>Downer</t>
        </is>
      </c>
      <c r="T63" s="2" t="n">
        <v>100</v>
      </c>
      <c r="V63" s="11" t="n">
        <v>45199</v>
      </c>
      <c r="W63" s="2" t="inlineStr">
        <is>
          <t>Classification</t>
        </is>
      </c>
      <c r="X63" s="2" t="n">
        <v>-37.818121</v>
      </c>
      <c r="Y63" s="2" t="n">
        <v>144.95728</v>
      </c>
      <c r="Z63" s="2" t="n">
        <v>692</v>
      </c>
    </row>
    <row r="64">
      <c r="A64" s="2" t="inlineStr">
        <is>
          <t>Downer</t>
        </is>
      </c>
      <c r="B64" s="2" t="inlineStr">
        <is>
          <t>_CLOSED_Comms - ACT</t>
        </is>
      </c>
      <c r="C64" s="2" t="inlineStr">
        <is>
          <t>Fleet Fuel</t>
        </is>
      </c>
      <c r="D64" s="2" t="inlineStr">
        <is>
          <t>L9.EMS.410.10277</t>
        </is>
      </c>
      <c r="M64" s="2" t="inlineStr">
        <is>
          <t>Australian Capital Territory</t>
        </is>
      </c>
      <c r="N64" s="2" t="inlineStr">
        <is>
          <t>Australia</t>
        </is>
      </c>
      <c r="P64" s="2" t="inlineStr">
        <is>
          <t>Operational Control</t>
        </is>
      </c>
      <c r="Q64" s="2" t="inlineStr">
        <is>
          <t>Operational Control</t>
        </is>
      </c>
      <c r="R64" s="2" t="inlineStr">
        <is>
          <t>Energy and Utilities (EU)</t>
        </is>
      </c>
      <c r="S64" s="2" t="inlineStr">
        <is>
          <t>Downer</t>
        </is>
      </c>
      <c r="T64" s="2" t="n">
        <v>100</v>
      </c>
      <c r="W64" s="2" t="inlineStr">
        <is>
          <t>Classification</t>
        </is>
      </c>
      <c r="AB64" s="11" t="n">
        <v>44742</v>
      </c>
    </row>
    <row r="65">
      <c r="A65" s="2" t="inlineStr">
        <is>
          <t>Downer</t>
        </is>
      </c>
      <c r="B65" s="2" t="inlineStr">
        <is>
          <t>_CLOSED_Comms - HFC NSW</t>
        </is>
      </c>
      <c r="C65" s="2" t="inlineStr">
        <is>
          <t>Depot</t>
        </is>
      </c>
      <c r="D65" s="2" t="inlineStr">
        <is>
          <t>L9.J.234414</t>
        </is>
      </c>
      <c r="E65" s="2" t="n">
        <v>7035</v>
      </c>
      <c r="H65" s="2" t="inlineStr">
        <is>
          <t>NSW</t>
        </is>
      </c>
      <c r="I65" s="2" t="inlineStr">
        <is>
          <t>NSW</t>
        </is>
      </c>
      <c r="M65" s="2" t="inlineStr">
        <is>
          <t>New South Wales</t>
        </is>
      </c>
      <c r="N65" s="2" t="inlineStr">
        <is>
          <t>Australia</t>
        </is>
      </c>
      <c r="P65" s="2" t="inlineStr">
        <is>
          <t>Operational Control</t>
        </is>
      </c>
      <c r="Q65" s="2" t="inlineStr">
        <is>
          <t>Operational Control</t>
        </is>
      </c>
      <c r="R65" s="2" t="inlineStr">
        <is>
          <t>Energy and Utilities (EU)</t>
        </is>
      </c>
      <c r="S65" s="2" t="inlineStr">
        <is>
          <t>Downer</t>
        </is>
      </c>
      <c r="T65" s="2" t="n">
        <v>100</v>
      </c>
      <c r="W65" s="2" t="inlineStr">
        <is>
          <t>Classification</t>
        </is>
      </c>
      <c r="Z65" s="2" t="n">
        <v>310</v>
      </c>
      <c r="AB65" s="11" t="n">
        <v>43921</v>
      </c>
    </row>
    <row r="66">
      <c r="A66" s="2" t="inlineStr">
        <is>
          <t>Downer</t>
        </is>
      </c>
      <c r="B66" s="2" t="inlineStr">
        <is>
          <t>_CLOSED_Comms - National Subcontractor</t>
        </is>
      </c>
      <c r="C66" s="2" t="inlineStr">
        <is>
          <t>Fleet Fuel</t>
        </is>
      </c>
      <c r="D66" s="2" t="inlineStr">
        <is>
          <t>L9.EMS.410.10280</t>
        </is>
      </c>
      <c r="E66" s="2" t="n">
        <v>7014</v>
      </c>
      <c r="H66" s="2" t="inlineStr">
        <is>
          <t>T3, 39 Delhi Road</t>
        </is>
      </c>
      <c r="I66" s="2" t="inlineStr">
        <is>
          <t>North Ryde</t>
        </is>
      </c>
      <c r="J66" s="2" t="inlineStr">
        <is>
          <t>NSW</t>
        </is>
      </c>
      <c r="K66" s="2" t="n">
        <v>2113</v>
      </c>
      <c r="L66" s="2" t="inlineStr">
        <is>
          <t>Australia</t>
        </is>
      </c>
      <c r="M66" s="2" t="inlineStr">
        <is>
          <t>New South Wales</t>
        </is>
      </c>
      <c r="N66" s="2" t="inlineStr">
        <is>
          <t>Australia</t>
        </is>
      </c>
      <c r="P66" s="2" t="inlineStr">
        <is>
          <t>Operational Control</t>
        </is>
      </c>
      <c r="Q66" s="2" t="inlineStr">
        <is>
          <t>Operational Control</t>
        </is>
      </c>
      <c r="R66" s="2" t="inlineStr">
        <is>
          <t>Energy and Utilities (EU)</t>
        </is>
      </c>
      <c r="S66" s="2" t="inlineStr">
        <is>
          <t>Downer</t>
        </is>
      </c>
      <c r="T66" s="2" t="n">
        <v>100</v>
      </c>
      <c r="W66" s="2" t="inlineStr">
        <is>
          <t>Classification</t>
        </is>
      </c>
      <c r="X66" s="2" t="n">
        <v>-33.823624</v>
      </c>
      <c r="Y66" s="2" t="n">
        <v>151.122538</v>
      </c>
      <c r="Z66" s="2" t="n">
        <v>310</v>
      </c>
      <c r="AB66" s="11" t="n">
        <v>45107</v>
      </c>
    </row>
    <row r="67">
      <c r="A67" s="2" t="inlineStr">
        <is>
          <t>Downer</t>
        </is>
      </c>
      <c r="B67" s="2" t="inlineStr">
        <is>
          <t>_CLOSED_Comms - NT</t>
        </is>
      </c>
      <c r="C67" s="2" t="inlineStr">
        <is>
          <t>Fleet Fuel</t>
        </is>
      </c>
      <c r="D67" s="2" t="inlineStr">
        <is>
          <t>L9.J.23440199</t>
        </is>
      </c>
      <c r="M67" s="2" t="inlineStr">
        <is>
          <t>Northern Territory</t>
        </is>
      </c>
      <c r="N67" s="2" t="inlineStr">
        <is>
          <t>Australia</t>
        </is>
      </c>
      <c r="P67" s="2" t="inlineStr">
        <is>
          <t>Operational Control</t>
        </is>
      </c>
      <c r="Q67" s="2" t="inlineStr">
        <is>
          <t>Operational Control</t>
        </is>
      </c>
      <c r="R67" s="2" t="inlineStr">
        <is>
          <t>Energy and Utilities (EU)</t>
        </is>
      </c>
      <c r="S67" s="2" t="inlineStr">
        <is>
          <t>Downer</t>
        </is>
      </c>
      <c r="T67" s="2" t="n">
        <v>100</v>
      </c>
      <c r="W67" s="2" t="inlineStr">
        <is>
          <t>Classification</t>
        </is>
      </c>
      <c r="AB67" s="11" t="n">
        <v>44742</v>
      </c>
    </row>
    <row r="68">
      <c r="A68" s="2" t="inlineStr">
        <is>
          <t>Downer</t>
        </is>
      </c>
      <c r="B68" s="2" t="inlineStr">
        <is>
          <t>_CLOSED_Comms - QLD</t>
        </is>
      </c>
      <c r="C68" s="2" t="inlineStr">
        <is>
          <t>Plant</t>
        </is>
      </c>
      <c r="D68" s="2" t="inlineStr">
        <is>
          <t>L9.J.23420006</t>
        </is>
      </c>
      <c r="E68" s="2" t="n">
        <v>7015</v>
      </c>
      <c r="H68" s="2" t="inlineStr">
        <is>
          <t>2 Burke Street</t>
        </is>
      </c>
      <c r="I68" s="2" t="inlineStr">
        <is>
          <t>Woolloongabba</t>
        </is>
      </c>
      <c r="J68" s="2" t="inlineStr">
        <is>
          <t>QLD</t>
        </is>
      </c>
      <c r="K68" s="2" t="n">
        <v>4102</v>
      </c>
      <c r="L68" s="2" t="inlineStr">
        <is>
          <t>Australia</t>
        </is>
      </c>
      <c r="M68" s="2" t="inlineStr">
        <is>
          <t>Queensland</t>
        </is>
      </c>
      <c r="N68" s="2" t="inlineStr">
        <is>
          <t>Australia</t>
        </is>
      </c>
      <c r="P68" s="2" t="inlineStr">
        <is>
          <t>Operational Control</t>
        </is>
      </c>
      <c r="Q68" s="2" t="inlineStr">
        <is>
          <t>Operational Control</t>
        </is>
      </c>
      <c r="R68" s="2" t="inlineStr">
        <is>
          <t>Energy and Utilities (EU)</t>
        </is>
      </c>
      <c r="S68" s="2" t="inlineStr">
        <is>
          <t>Downer</t>
        </is>
      </c>
      <c r="T68" s="2" t="n">
        <v>100</v>
      </c>
      <c r="W68" s="2" t="inlineStr">
        <is>
          <t>Classification</t>
        </is>
      </c>
      <c r="X68" s="2" t="n">
        <v>-27.495134</v>
      </c>
      <c r="Y68" s="2" t="n">
        <v>153.033982</v>
      </c>
      <c r="Z68" s="2" t="n">
        <v>310</v>
      </c>
      <c r="AB68" s="11" t="n">
        <v>44742</v>
      </c>
    </row>
    <row r="69">
      <c r="A69" s="2" t="inlineStr">
        <is>
          <t>Downer</t>
        </is>
      </c>
      <c r="B69" s="2" t="inlineStr">
        <is>
          <t>_CLOSED_Comms - SA</t>
        </is>
      </c>
      <c r="C69" s="2" t="inlineStr">
        <is>
          <t>Plant</t>
        </is>
      </c>
      <c r="D69" s="2" t="inlineStr">
        <is>
          <t>L9.EMS.410.10245</t>
        </is>
      </c>
      <c r="E69" s="2" t="n">
        <v>7025</v>
      </c>
      <c r="H69" s="2" t="inlineStr">
        <is>
          <t>Linden Lane</t>
        </is>
      </c>
      <c r="I69" s="2" t="inlineStr">
        <is>
          <t>Regency Park</t>
        </is>
      </c>
      <c r="J69" s="2" t="inlineStr">
        <is>
          <t>SA</t>
        </is>
      </c>
      <c r="K69" s="2" t="n">
        <v>5065</v>
      </c>
      <c r="L69" s="2" t="inlineStr">
        <is>
          <t>Australia</t>
        </is>
      </c>
      <c r="M69" s="2" t="inlineStr">
        <is>
          <t>South Australia</t>
        </is>
      </c>
      <c r="N69" s="2" t="inlineStr">
        <is>
          <t>Australia</t>
        </is>
      </c>
      <c r="P69" s="2" t="inlineStr">
        <is>
          <t>Operational Control</t>
        </is>
      </c>
      <c r="Q69" s="2" t="inlineStr">
        <is>
          <t>Operational Control</t>
        </is>
      </c>
      <c r="R69" s="2" t="inlineStr">
        <is>
          <t>Energy and Utilities (EU)</t>
        </is>
      </c>
      <c r="S69" s="2" t="inlineStr">
        <is>
          <t>Downer</t>
        </is>
      </c>
      <c r="T69" s="2" t="n">
        <v>100</v>
      </c>
      <c r="W69" s="2" t="inlineStr">
        <is>
          <t>Classification</t>
        </is>
      </c>
      <c r="X69" s="2" t="n">
        <v>-34.85969</v>
      </c>
      <c r="Y69" s="2" t="n">
        <v>138.572406</v>
      </c>
      <c r="Z69" s="2" t="n">
        <v>310</v>
      </c>
      <c r="AB69" s="11" t="n">
        <v>44926</v>
      </c>
    </row>
    <row r="70">
      <c r="A70" s="2" t="inlineStr">
        <is>
          <t>Downer</t>
        </is>
      </c>
      <c r="B70" s="2" t="inlineStr">
        <is>
          <t>_CLOSED_Comms - TAS</t>
        </is>
      </c>
      <c r="C70" s="2" t="inlineStr">
        <is>
          <t>Fleet Fuel</t>
        </is>
      </c>
      <c r="D70" s="2" t="inlineStr">
        <is>
          <t>L9.J.23440247</t>
        </is>
      </c>
      <c r="M70" s="2" t="inlineStr">
        <is>
          <t>Tasmania</t>
        </is>
      </c>
      <c r="N70" s="2" t="inlineStr">
        <is>
          <t>Australia</t>
        </is>
      </c>
      <c r="P70" s="2" t="inlineStr">
        <is>
          <t>Operational Control</t>
        </is>
      </c>
      <c r="Q70" s="2" t="inlineStr">
        <is>
          <t>Operational Control</t>
        </is>
      </c>
      <c r="R70" s="2" t="inlineStr">
        <is>
          <t>Energy and Utilities (EU)</t>
        </is>
      </c>
      <c r="S70" s="2" t="inlineStr">
        <is>
          <t>Downer</t>
        </is>
      </c>
      <c r="T70" s="2" t="n">
        <v>100</v>
      </c>
      <c r="W70" s="2" t="inlineStr">
        <is>
          <t>Classification</t>
        </is>
      </c>
      <c r="AB70" s="11" t="n">
        <v>44742</v>
      </c>
    </row>
    <row r="71">
      <c r="A71" s="2" t="inlineStr">
        <is>
          <t>Downer</t>
        </is>
      </c>
      <c r="B71" s="2" t="inlineStr">
        <is>
          <t>_CLOSED_Comms - VIC</t>
        </is>
      </c>
      <c r="C71" s="2" t="inlineStr">
        <is>
          <t>Plant</t>
        </is>
      </c>
      <c r="D71" s="2" t="inlineStr">
        <is>
          <t>L9.J.23440042</t>
        </is>
      </c>
      <c r="E71" s="2" t="n">
        <v>7016</v>
      </c>
      <c r="H71" s="2" t="inlineStr">
        <is>
          <t>567 Collins Street</t>
        </is>
      </c>
      <c r="I71" s="2" t="inlineStr">
        <is>
          <t>Melbourne</t>
        </is>
      </c>
      <c r="J71" s="2" t="inlineStr">
        <is>
          <t>VIC</t>
        </is>
      </c>
      <c r="K71" s="2" t="n">
        <v>3000</v>
      </c>
      <c r="L71" s="2" t="inlineStr">
        <is>
          <t>Australia</t>
        </is>
      </c>
      <c r="M71" s="2" t="inlineStr">
        <is>
          <t>Victoria</t>
        </is>
      </c>
      <c r="N71" s="2" t="inlineStr">
        <is>
          <t>Australia</t>
        </is>
      </c>
      <c r="P71" s="2" t="inlineStr">
        <is>
          <t>Operational Control</t>
        </is>
      </c>
      <c r="Q71" s="2" t="inlineStr">
        <is>
          <t>Operational Control</t>
        </is>
      </c>
      <c r="R71" s="2" t="inlineStr">
        <is>
          <t>Energy and Utilities (EU)</t>
        </is>
      </c>
      <c r="S71" s="2" t="inlineStr">
        <is>
          <t>Downer</t>
        </is>
      </c>
      <c r="T71" s="2" t="n">
        <v>100</v>
      </c>
      <c r="W71" s="2" t="inlineStr">
        <is>
          <t>Classification</t>
        </is>
      </c>
      <c r="X71" s="2" t="n">
        <v>-37.819015</v>
      </c>
      <c r="Y71" s="2" t="n">
        <v>144.955762</v>
      </c>
      <c r="Z71" s="2" t="n">
        <v>310</v>
      </c>
      <c r="AB71" s="11" t="n">
        <v>44742</v>
      </c>
    </row>
    <row r="72">
      <c r="A72" s="2" t="inlineStr">
        <is>
          <t>Downer</t>
        </is>
      </c>
      <c r="B72" s="2" t="inlineStr">
        <is>
          <t>_CLOSED_Comms - WA</t>
        </is>
      </c>
      <c r="C72" s="2" t="inlineStr">
        <is>
          <t>Plant</t>
        </is>
      </c>
      <c r="D72" s="2" t="inlineStr">
        <is>
          <t>L9.J.23440194</t>
        </is>
      </c>
      <c r="E72" s="2" t="n">
        <v>7026</v>
      </c>
      <c r="H72" s="2" t="inlineStr">
        <is>
          <t>9 Modal Crescent</t>
        </is>
      </c>
      <c r="I72" s="2" t="inlineStr">
        <is>
          <t>Canning Vale</t>
        </is>
      </c>
      <c r="J72" s="2" t="inlineStr">
        <is>
          <t>WA</t>
        </is>
      </c>
      <c r="K72" s="2" t="n">
        <v>6155</v>
      </c>
      <c r="L72" s="2" t="inlineStr">
        <is>
          <t>Australia</t>
        </is>
      </c>
      <c r="M72" s="2" t="inlineStr">
        <is>
          <t>Western Australia</t>
        </is>
      </c>
      <c r="N72" s="2" t="inlineStr">
        <is>
          <t>Australia</t>
        </is>
      </c>
      <c r="P72" s="2" t="inlineStr">
        <is>
          <t>Operational Control</t>
        </is>
      </c>
      <c r="Q72" s="2" t="inlineStr">
        <is>
          <t>Operational Control</t>
        </is>
      </c>
      <c r="R72" s="2" t="inlineStr">
        <is>
          <t>Energy and Utilities (EU)</t>
        </is>
      </c>
      <c r="S72" s="2" t="inlineStr">
        <is>
          <t>Downer</t>
        </is>
      </c>
      <c r="T72" s="2" t="n">
        <v>100</v>
      </c>
      <c r="W72" s="2" t="inlineStr">
        <is>
          <t>Classification</t>
        </is>
      </c>
      <c r="X72" s="2" t="n">
        <v>-32.071836</v>
      </c>
      <c r="Y72" s="2" t="n">
        <v>115.911588</v>
      </c>
      <c r="Z72" s="2" t="n">
        <v>310</v>
      </c>
      <c r="AB72" s="11" t="n">
        <v>44742</v>
      </c>
    </row>
    <row r="73">
      <c r="A73" s="2" t="inlineStr">
        <is>
          <t>Downer</t>
        </is>
      </c>
      <c r="B73" s="2" t="inlineStr">
        <is>
          <t>_CLOSED_Copping Landfill</t>
        </is>
      </c>
      <c r="C73" s="2" t="inlineStr">
        <is>
          <t>Aerobic Treatment - Managed</t>
        </is>
      </c>
      <c r="D73" s="2" t="inlineStr">
        <is>
          <t>L9.J.17030214</t>
        </is>
      </c>
      <c r="M73" s="2" t="inlineStr">
        <is>
          <t>Tasmania</t>
        </is>
      </c>
      <c r="N73" s="2" t="inlineStr">
        <is>
          <t>Australia</t>
        </is>
      </c>
      <c r="P73" s="2" t="inlineStr">
        <is>
          <t>Operational Control</t>
        </is>
      </c>
      <c r="Q73" s="2" t="inlineStr">
        <is>
          <t>Operational Control</t>
        </is>
      </c>
      <c r="R73" s="2" t="inlineStr">
        <is>
          <t>Transport &amp; Infrastructure (T&amp;I)</t>
        </is>
      </c>
      <c r="S73" s="2" t="inlineStr">
        <is>
          <t>Downer</t>
        </is>
      </c>
      <c r="T73" s="2" t="n">
        <v>100</v>
      </c>
      <c r="W73" s="2" t="inlineStr">
        <is>
          <t>Classification</t>
        </is>
      </c>
      <c r="AB73" s="11" t="n">
        <v>45473</v>
      </c>
    </row>
    <row r="74">
      <c r="A74" s="2" t="inlineStr">
        <is>
          <t>Downer</t>
        </is>
      </c>
      <c r="B74" s="2" t="inlineStr">
        <is>
          <t>_CLOSED_Corporate - 549 St Kilda Rd (Melbourne VIC)</t>
        </is>
      </c>
      <c r="C74" s="2" t="inlineStr">
        <is>
          <t>Head Office</t>
        </is>
      </c>
      <c r="D74" s="2" t="inlineStr">
        <is>
          <t>L9.COR.130.02109</t>
        </is>
      </c>
      <c r="E74" s="2" t="n">
        <v>9029</v>
      </c>
      <c r="H74" s="2" t="inlineStr">
        <is>
          <t>549 St Kilda Rd</t>
        </is>
      </c>
      <c r="I74" s="2" t="inlineStr">
        <is>
          <t>Melbourne</t>
        </is>
      </c>
      <c r="J74" s="2" t="inlineStr">
        <is>
          <t>VIC</t>
        </is>
      </c>
      <c r="K74" s="2" t="n">
        <v>3004</v>
      </c>
      <c r="M74" s="2" t="inlineStr">
        <is>
          <t>Victoria</t>
        </is>
      </c>
      <c r="N74" s="2" t="inlineStr">
        <is>
          <t>Australia</t>
        </is>
      </c>
      <c r="P74" s="2" t="inlineStr">
        <is>
          <t>Operational Control</t>
        </is>
      </c>
      <c r="Q74" s="2" t="inlineStr">
        <is>
          <t>Operational Control</t>
        </is>
      </c>
      <c r="R74" s="2" t="inlineStr">
        <is>
          <t>Corporate</t>
        </is>
      </c>
      <c r="S74" s="2" t="inlineStr">
        <is>
          <t>Downer</t>
        </is>
      </c>
      <c r="T74" s="2" t="n">
        <v>100</v>
      </c>
      <c r="W74" s="2" t="inlineStr">
        <is>
          <t>Classification</t>
        </is>
      </c>
      <c r="X74" s="2" t="n">
        <v>-37.846581</v>
      </c>
      <c r="Y74" s="2" t="n">
        <v>144.979957</v>
      </c>
      <c r="Z74" s="2" t="n">
        <v>729</v>
      </c>
      <c r="AB74" s="11" t="n">
        <v>45596</v>
      </c>
    </row>
    <row r="75">
      <c r="A75" s="2" t="inlineStr">
        <is>
          <t>Downer</t>
        </is>
      </c>
      <c r="B75" s="2" t="inlineStr">
        <is>
          <t>_CLOSED_Corporate - Offices (Fortitude Valley QLD)</t>
        </is>
      </c>
      <c r="C75" s="2" t="inlineStr">
        <is>
          <t>Branch Office</t>
        </is>
      </c>
      <c r="D75" s="2" t="inlineStr">
        <is>
          <t>L9.WAU.000886</t>
        </is>
      </c>
      <c r="E75" s="2" t="inlineStr">
        <is>
          <t>L9.WAU.000886</t>
        </is>
      </c>
      <c r="H75" s="2" t="inlineStr">
        <is>
          <t>15 James St</t>
        </is>
      </c>
      <c r="I75" s="2" t="inlineStr">
        <is>
          <t>Fortitude Valley</t>
        </is>
      </c>
      <c r="J75" s="2" t="inlineStr">
        <is>
          <t>QLD</t>
        </is>
      </c>
      <c r="K75" s="2" t="n">
        <v>4006</v>
      </c>
      <c r="M75" s="2" t="inlineStr">
        <is>
          <t>Queensland</t>
        </is>
      </c>
      <c r="N75" s="2" t="inlineStr">
        <is>
          <t>Australia</t>
        </is>
      </c>
      <c r="P75" s="2" t="inlineStr">
        <is>
          <t>Operational Control</t>
        </is>
      </c>
      <c r="Q75" s="2" t="inlineStr">
        <is>
          <t>Operational Control</t>
        </is>
      </c>
      <c r="R75" s="2" t="inlineStr">
        <is>
          <t>Corporate</t>
        </is>
      </c>
      <c r="S75" s="2" t="inlineStr">
        <is>
          <t>Downer</t>
        </is>
      </c>
      <c r="T75" s="2" t="n">
        <v>100</v>
      </c>
      <c r="W75" s="2" t="inlineStr">
        <is>
          <t>Classification</t>
        </is>
      </c>
      <c r="X75" s="2" t="n">
        <v>-27.456262</v>
      </c>
      <c r="Y75" s="2" t="n">
        <v>153.038919</v>
      </c>
      <c r="Z75" s="2" t="n">
        <v>696</v>
      </c>
    </row>
    <row r="76">
      <c r="A76" s="2" t="inlineStr">
        <is>
          <t>Downer</t>
        </is>
      </c>
      <c r="B76" s="2" t="inlineStr">
        <is>
          <t>_CLOSED_Corporate - Offices (Kewdale WA)</t>
        </is>
      </c>
      <c r="C76" s="2" t="inlineStr">
        <is>
          <t>Branch Office</t>
        </is>
      </c>
      <c r="D76" s="2" t="inlineStr">
        <is>
          <t>L9.S.11000860</t>
        </is>
      </c>
      <c r="E76" s="2" t="n">
        <v>9028</v>
      </c>
      <c r="H76" s="2" t="inlineStr">
        <is>
          <t>491 Abernathy Road</t>
        </is>
      </c>
      <c r="I76" s="2" t="inlineStr">
        <is>
          <t>Kewdale</t>
        </is>
      </c>
      <c r="J76" s="2" t="inlineStr">
        <is>
          <t>WA</t>
        </is>
      </c>
      <c r="K76" s="2" t="n">
        <v>6105</v>
      </c>
      <c r="M76" s="2" t="inlineStr">
        <is>
          <t>Western Australia</t>
        </is>
      </c>
      <c r="N76" s="2" t="inlineStr">
        <is>
          <t>Australia</t>
        </is>
      </c>
      <c r="P76" s="2" t="inlineStr">
        <is>
          <t>Operational Control</t>
        </is>
      </c>
      <c r="Q76" s="2" t="inlineStr">
        <is>
          <t>Operational Control</t>
        </is>
      </c>
      <c r="R76" s="2" t="inlineStr">
        <is>
          <t>Corporate</t>
        </is>
      </c>
      <c r="S76" s="2" t="inlineStr">
        <is>
          <t>Downer</t>
        </is>
      </c>
      <c r="T76" s="2" t="n">
        <v>100</v>
      </c>
      <c r="W76" s="2" t="inlineStr">
        <is>
          <t>Classification</t>
        </is>
      </c>
      <c r="X76" s="2" t="n">
        <v>-31.973944</v>
      </c>
      <c r="Y76" s="2" t="n">
        <v>115.950557</v>
      </c>
      <c r="Z76" s="2" t="n">
        <v>729</v>
      </c>
    </row>
    <row r="77">
      <c r="A77" s="2" t="inlineStr">
        <is>
          <t>Downer</t>
        </is>
      </c>
      <c r="B77" s="2" t="inlineStr">
        <is>
          <t>_CLOSED_Corporate - Offices (Moonah TAS)</t>
        </is>
      </c>
      <c r="C77" s="2" t="inlineStr">
        <is>
          <t>Branch Office</t>
        </is>
      </c>
      <c r="D77" s="2" t="inlineStr">
        <is>
          <t>L9.S.S859</t>
        </is>
      </c>
      <c r="E77" s="2" t="n">
        <v>9030</v>
      </c>
      <c r="G77" s="2" t="inlineStr">
        <is>
          <t>Closed on 09/2020</t>
        </is>
      </c>
      <c r="H77" s="2" t="inlineStr">
        <is>
          <t>Level 1 134-136 Main Rd</t>
        </is>
      </c>
      <c r="I77" s="2" t="inlineStr">
        <is>
          <t>Moonah</t>
        </is>
      </c>
      <c r="J77" s="2" t="inlineStr">
        <is>
          <t>TAS</t>
        </is>
      </c>
      <c r="K77" s="2" t="n">
        <v>7009</v>
      </c>
      <c r="M77" s="2" t="inlineStr">
        <is>
          <t>Tasmania</t>
        </is>
      </c>
      <c r="N77" s="2" t="inlineStr">
        <is>
          <t>Australia</t>
        </is>
      </c>
      <c r="P77" s="2" t="inlineStr">
        <is>
          <t>Operational Control</t>
        </is>
      </c>
      <c r="Q77" s="2" t="inlineStr">
        <is>
          <t>Operational Control</t>
        </is>
      </c>
      <c r="R77" s="2" t="inlineStr">
        <is>
          <t>Corporate</t>
        </is>
      </c>
      <c r="S77" s="2" t="inlineStr">
        <is>
          <t>Downer</t>
        </is>
      </c>
      <c r="T77" s="2" t="n">
        <v>100</v>
      </c>
      <c r="W77" s="2" t="inlineStr">
        <is>
          <t>Classification</t>
        </is>
      </c>
      <c r="X77" s="2" t="n">
        <v>-42.845115</v>
      </c>
      <c r="Y77" s="2" t="n">
        <v>147.293125</v>
      </c>
      <c r="Z77" s="2" t="n">
        <v>729</v>
      </c>
      <c r="AB77" s="11" t="n">
        <v>44075</v>
      </c>
    </row>
    <row r="78">
      <c r="A78" s="2" t="inlineStr">
        <is>
          <t>Downer</t>
        </is>
      </c>
      <c r="B78" s="2" t="inlineStr">
        <is>
          <t>_CLOSED_Corporate - Offices (Newcastle NSW)</t>
        </is>
      </c>
      <c r="C78" s="2" t="inlineStr">
        <is>
          <t>Branch Office</t>
        </is>
      </c>
      <c r="D78" s="2" t="inlineStr">
        <is>
          <t>L9.S.11000810</t>
        </is>
      </c>
      <c r="E78" s="2" t="n">
        <v>9023</v>
      </c>
      <c r="G78" s="2" t="inlineStr">
        <is>
          <t>This location is merged to CS-Cardiff. All electricity/Water/Gas accounts are moved to CS-Cardiff</t>
        </is>
      </c>
      <c r="H78" s="2" t="inlineStr">
        <is>
          <t>Unit 3a 88 Munibung Road</t>
        </is>
      </c>
      <c r="I78" s="2" t="inlineStr">
        <is>
          <t>Cardiff</t>
        </is>
      </c>
      <c r="J78" s="2" t="inlineStr">
        <is>
          <t>NSW</t>
        </is>
      </c>
      <c r="K78" s="2" t="n">
        <v>2285</v>
      </c>
      <c r="M78" s="2" t="inlineStr">
        <is>
          <t>New South Wales</t>
        </is>
      </c>
      <c r="N78" s="2" t="inlineStr">
        <is>
          <t>Australia</t>
        </is>
      </c>
      <c r="P78" s="2" t="inlineStr">
        <is>
          <t>Operational Control</t>
        </is>
      </c>
      <c r="Q78" s="2" t="inlineStr">
        <is>
          <t>Operational Control</t>
        </is>
      </c>
      <c r="R78" s="2" t="inlineStr">
        <is>
          <t>Corporate</t>
        </is>
      </c>
      <c r="S78" s="2" t="inlineStr">
        <is>
          <t>Downer</t>
        </is>
      </c>
      <c r="T78" s="2" t="n">
        <v>100</v>
      </c>
      <c r="W78" s="2" t="inlineStr">
        <is>
          <t>Classification</t>
        </is>
      </c>
      <c r="X78" s="2" t="n">
        <v>-32.943042</v>
      </c>
      <c r="Y78" s="2" t="n">
        <v>151.63911</v>
      </c>
      <c r="Z78" s="2" t="n">
        <v>696</v>
      </c>
      <c r="AB78" s="11" t="n">
        <v>41783</v>
      </c>
    </row>
    <row r="79">
      <c r="A79" s="2" t="inlineStr">
        <is>
          <t>Downer</t>
        </is>
      </c>
      <c r="B79" s="2" t="inlineStr">
        <is>
          <t>_CLOSED_Corporate - Offices (Sydney Rhodes NSW)</t>
        </is>
      </c>
      <c r="C79" s="2" t="inlineStr">
        <is>
          <t>Branch Office</t>
        </is>
      </c>
      <c r="D79" s="2" t="inlineStr">
        <is>
          <t>L9.WAU.000887</t>
        </is>
      </c>
      <c r="E79" s="2" t="inlineStr">
        <is>
          <t>L9.WAU.000887</t>
        </is>
      </c>
      <c r="H79" s="2" t="inlineStr">
        <is>
          <t>Level 4 4/5 Rider Boulevard</t>
        </is>
      </c>
      <c r="I79" s="2" t="inlineStr">
        <is>
          <t>Rhodes</t>
        </is>
      </c>
      <c r="J79" s="2" t="inlineStr">
        <is>
          <t>NSW</t>
        </is>
      </c>
      <c r="K79" s="2" t="n">
        <v>2138</v>
      </c>
      <c r="L79" s="2" t="inlineStr">
        <is>
          <t>Australia</t>
        </is>
      </c>
      <c r="M79" s="2" t="inlineStr">
        <is>
          <t>New South Wales</t>
        </is>
      </c>
      <c r="N79" s="2" t="inlineStr">
        <is>
          <t>Australia</t>
        </is>
      </c>
      <c r="P79" s="2" t="inlineStr">
        <is>
          <t>Operational Control</t>
        </is>
      </c>
      <c r="Q79" s="2" t="inlineStr">
        <is>
          <t>Operational Control</t>
        </is>
      </c>
      <c r="R79" s="2" t="inlineStr">
        <is>
          <t>Corporate</t>
        </is>
      </c>
      <c r="S79" s="2" t="inlineStr">
        <is>
          <t>Downer</t>
        </is>
      </c>
      <c r="T79" s="2" t="n">
        <v>100</v>
      </c>
      <c r="W79" s="2" t="inlineStr">
        <is>
          <t>Classification</t>
        </is>
      </c>
      <c r="X79" s="2" t="n">
        <v>-33.832374</v>
      </c>
      <c r="Y79" s="2" t="n">
        <v>151.086164</v>
      </c>
      <c r="Z79" s="2" t="n">
        <v>729</v>
      </c>
      <c r="AB79" s="11" t="n">
        <v>44943</v>
      </c>
    </row>
    <row r="80">
      <c r="A80" s="2" t="inlineStr">
        <is>
          <t>Downer</t>
        </is>
      </c>
      <c r="B80" s="2" t="inlineStr">
        <is>
          <t>_CLOSED_Corporate Offices - (Rhodes NSW)</t>
        </is>
      </c>
      <c r="C80" s="2" t="inlineStr">
        <is>
          <t>Branch Office</t>
        </is>
      </c>
      <c r="D80" s="2" t="inlineStr">
        <is>
          <t>L9.WAU.003012</t>
        </is>
      </c>
      <c r="E80" s="2" t="inlineStr">
        <is>
          <t>L9.WAU.003012</t>
        </is>
      </c>
      <c r="H80" s="2" t="inlineStr">
        <is>
          <t>4 Marquet Street</t>
        </is>
      </c>
      <c r="I80" s="2" t="inlineStr">
        <is>
          <t>Rhodes</t>
        </is>
      </c>
      <c r="J80" s="2" t="inlineStr">
        <is>
          <t>NSW</t>
        </is>
      </c>
      <c r="K80" s="2" t="n">
        <v>2138</v>
      </c>
      <c r="M80" s="2" t="inlineStr">
        <is>
          <t>New South Wales</t>
        </is>
      </c>
      <c r="N80" s="2" t="inlineStr">
        <is>
          <t>Australia</t>
        </is>
      </c>
      <c r="P80" s="2" t="inlineStr">
        <is>
          <t>Operational Control</t>
        </is>
      </c>
      <c r="Q80" s="2" t="inlineStr">
        <is>
          <t>Operational Control</t>
        </is>
      </c>
      <c r="R80" s="2" t="inlineStr">
        <is>
          <t>Corporate</t>
        </is>
      </c>
      <c r="S80" s="2" t="inlineStr">
        <is>
          <t>Downer</t>
        </is>
      </c>
      <c r="T80" s="2" t="n">
        <v>100</v>
      </c>
      <c r="W80" s="2" t="inlineStr">
        <is>
          <t>Classification</t>
        </is>
      </c>
    </row>
    <row r="81">
      <c r="A81" s="2" t="inlineStr">
        <is>
          <t>Downer</t>
        </is>
      </c>
      <c r="B81" s="2" t="inlineStr">
        <is>
          <t>_CLOSED_CS - Cardiff Office</t>
        </is>
      </c>
      <c r="C81" s="2" t="inlineStr">
        <is>
          <t>Branch Office</t>
        </is>
      </c>
      <c r="D81" s="2" t="inlineStr">
        <is>
          <t>L9.S.11000101</t>
        </is>
      </c>
      <c r="H81" s="2" t="inlineStr">
        <is>
          <t xml:space="preserve">Unit 3a Warehouse/Office, 88 Munibung Rd, </t>
        </is>
      </c>
      <c r="I81" s="2" t="inlineStr">
        <is>
          <t>CARDIFF</t>
        </is>
      </c>
      <c r="J81" s="2" t="inlineStr">
        <is>
          <t>NSW</t>
        </is>
      </c>
      <c r="K81" s="2" t="n">
        <v>2285</v>
      </c>
      <c r="M81" s="2" t="inlineStr">
        <is>
          <t>New South Wales</t>
        </is>
      </c>
      <c r="N81" s="2" t="inlineStr">
        <is>
          <t>Australia</t>
        </is>
      </c>
      <c r="P81" s="2" t="inlineStr">
        <is>
          <t>Operational Control</t>
        </is>
      </c>
      <c r="Q81" s="2" t="inlineStr">
        <is>
          <t>Operational Control</t>
        </is>
      </c>
      <c r="R81" s="2" t="inlineStr">
        <is>
          <t>Social Infra &amp; Citizen Serv (SICS)</t>
        </is>
      </c>
      <c r="S81" s="2" t="inlineStr">
        <is>
          <t>Downer</t>
        </is>
      </c>
      <c r="T81" s="2" t="n">
        <v>100</v>
      </c>
      <c r="W81" s="2" t="inlineStr">
        <is>
          <t>Classification</t>
        </is>
      </c>
      <c r="Z81" s="2" t="n">
        <v>696</v>
      </c>
    </row>
    <row r="82">
      <c r="A82" s="2" t="inlineStr">
        <is>
          <t>Downer</t>
        </is>
      </c>
      <c r="B82" s="2" t="inlineStr">
        <is>
          <t>_CLOSED_CS - Nerang Office (QLD)</t>
        </is>
      </c>
      <c r="C82" s="2" t="inlineStr">
        <is>
          <t>Branch Office</t>
        </is>
      </c>
      <c r="D82" s="2" t="inlineStr">
        <is>
          <t>L9.S.16001990</t>
        </is>
      </c>
      <c r="H82" s="2" t="inlineStr">
        <is>
          <t>Unit 7 17 Indy Crt</t>
        </is>
      </c>
      <c r="I82" s="2" t="inlineStr">
        <is>
          <t>Nerang</t>
        </is>
      </c>
      <c r="J82" s="2" t="inlineStr">
        <is>
          <t>QLD</t>
        </is>
      </c>
      <c r="K82" s="2" t="n">
        <v>4211</v>
      </c>
      <c r="M82" s="2" t="inlineStr">
        <is>
          <t>Queensland</t>
        </is>
      </c>
      <c r="N82" s="2" t="inlineStr">
        <is>
          <t>Australia</t>
        </is>
      </c>
      <c r="P82" s="2" t="inlineStr">
        <is>
          <t>Operational Control</t>
        </is>
      </c>
      <c r="Q82" s="2" t="inlineStr">
        <is>
          <t>Operational Control</t>
        </is>
      </c>
      <c r="R82" s="2" t="inlineStr">
        <is>
          <t>Social Infra &amp; Citizen Serv (SICS)</t>
        </is>
      </c>
      <c r="S82" s="2" t="inlineStr">
        <is>
          <t>Downer</t>
        </is>
      </c>
      <c r="T82" s="2" t="n">
        <v>100</v>
      </c>
      <c r="W82" s="2" t="inlineStr">
        <is>
          <t>Classification</t>
        </is>
      </c>
      <c r="Z82" s="2" t="n">
        <v>696</v>
      </c>
    </row>
    <row r="83">
      <c r="A83" s="2" t="inlineStr">
        <is>
          <t>Downer</t>
        </is>
      </c>
      <c r="B83" s="2" t="inlineStr">
        <is>
          <t>_CLOSED_CS - Old Rockhampton Office (QLD)</t>
        </is>
      </c>
      <c r="C83" s="2" t="inlineStr">
        <is>
          <t>Branch Office</t>
        </is>
      </c>
      <c r="D83" s="2" t="inlineStr">
        <is>
          <t>L9.S.16008157</t>
        </is>
      </c>
      <c r="H83" s="2" t="inlineStr">
        <is>
          <t>32 Denham St</t>
        </is>
      </c>
      <c r="I83" s="2" t="inlineStr">
        <is>
          <t>Rockhampton</t>
        </is>
      </c>
      <c r="J83" s="2" t="inlineStr">
        <is>
          <t>QLD</t>
        </is>
      </c>
      <c r="K83" s="2" t="n">
        <v>4700</v>
      </c>
      <c r="M83" s="2" t="inlineStr">
        <is>
          <t>Queensland</t>
        </is>
      </c>
      <c r="N83" s="2" t="inlineStr">
        <is>
          <t>Australia</t>
        </is>
      </c>
      <c r="P83" s="2" t="inlineStr">
        <is>
          <t>Operational Control</t>
        </is>
      </c>
      <c r="Q83" s="2" t="inlineStr">
        <is>
          <t>Operational Control</t>
        </is>
      </c>
      <c r="R83" s="2" t="inlineStr">
        <is>
          <t>Social Infra &amp; Citizen Serv (SICS)</t>
        </is>
      </c>
      <c r="S83" s="2" t="inlineStr">
        <is>
          <t>Downer</t>
        </is>
      </c>
      <c r="T83" s="2" t="n">
        <v>100</v>
      </c>
      <c r="W83" s="2" t="inlineStr">
        <is>
          <t>Classification</t>
        </is>
      </c>
      <c r="Z83" s="2" t="n">
        <v>696</v>
      </c>
    </row>
    <row r="84">
      <c r="A84" s="2" t="inlineStr">
        <is>
          <t>Downer</t>
        </is>
      </c>
      <c r="B84" s="2" t="inlineStr">
        <is>
          <t>_CLOSED_CS - Osborne Park Office (WA)</t>
        </is>
      </c>
      <c r="C84" s="2" t="inlineStr">
        <is>
          <t>Branch Office</t>
        </is>
      </c>
      <c r="D84" s="2" t="inlineStr">
        <is>
          <t>L9.S.11000865</t>
        </is>
      </c>
      <c r="G84" s="2" t="inlineStr">
        <is>
          <t>31 January 2013 - exited and now under sublease.</t>
        </is>
      </c>
      <c r="H84" s="2" t="inlineStr">
        <is>
          <t>43 Edward Street</t>
        </is>
      </c>
      <c r="I84" s="2" t="inlineStr">
        <is>
          <t>Osborne Park</t>
        </is>
      </c>
      <c r="J84" s="2" t="inlineStr">
        <is>
          <t>WA</t>
        </is>
      </c>
      <c r="K84" s="2" t="n">
        <v>6017</v>
      </c>
      <c r="M84" s="2" t="inlineStr">
        <is>
          <t>Western Australia</t>
        </is>
      </c>
      <c r="N84" s="2" t="inlineStr">
        <is>
          <t>Australia</t>
        </is>
      </c>
      <c r="P84" s="2" t="inlineStr">
        <is>
          <t>Operational Control</t>
        </is>
      </c>
      <c r="Q84" s="2" t="inlineStr">
        <is>
          <t>Operational Control</t>
        </is>
      </c>
      <c r="R84" s="2" t="inlineStr">
        <is>
          <t>Social Infra &amp; Citizen Serv (SICS)</t>
        </is>
      </c>
      <c r="S84" s="2" t="inlineStr">
        <is>
          <t>Downer</t>
        </is>
      </c>
      <c r="T84" s="2" t="n">
        <v>100</v>
      </c>
      <c r="W84" s="2" t="inlineStr">
        <is>
          <t>Classification</t>
        </is>
      </c>
      <c r="Z84" s="2" t="n">
        <v>696</v>
      </c>
    </row>
    <row r="85">
      <c r="A85" s="2" t="inlineStr">
        <is>
          <t>Downer</t>
        </is>
      </c>
      <c r="B85" s="2" t="inlineStr">
        <is>
          <t>_CLOSED_Darwin - Bombing Rd, Winnellie</t>
        </is>
      </c>
      <c r="C85" s="2" t="inlineStr">
        <is>
          <t>Other</t>
        </is>
      </c>
      <c r="D85" s="2" t="inlineStr">
        <is>
          <t>L9.S.16013419</t>
        </is>
      </c>
      <c r="E85" s="2" t="n">
        <v>7040</v>
      </c>
      <c r="G85" s="2" t="inlineStr">
        <is>
          <t>Skilltech in Bombing Road, Winnellie until Oct-19 and then moved to 23a/90 Frances Bay Drv, Stuart Park, NT 0820.
Closed in Jan 2021</t>
        </is>
      </c>
      <c r="H85" s="2" t="inlineStr">
        <is>
          <t>23a 90 Frances Bay Drive</t>
        </is>
      </c>
      <c r="I85" s="2" t="inlineStr">
        <is>
          <t>Stuart Park</t>
        </is>
      </c>
      <c r="J85" s="2" t="inlineStr">
        <is>
          <t>Northern Territory</t>
        </is>
      </c>
      <c r="K85" s="2" t="inlineStr">
        <is>
          <t>0820</t>
        </is>
      </c>
      <c r="L85" s="2" t="inlineStr">
        <is>
          <t>Australia</t>
        </is>
      </c>
      <c r="M85" s="2" t="inlineStr">
        <is>
          <t>Northern Territory</t>
        </is>
      </c>
      <c r="N85" s="2" t="inlineStr">
        <is>
          <t>Australia</t>
        </is>
      </c>
      <c r="P85" s="2" t="inlineStr">
        <is>
          <t>Operational Control</t>
        </is>
      </c>
      <c r="Q85" s="2" t="inlineStr">
        <is>
          <t>Operational Control</t>
        </is>
      </c>
      <c r="R85" s="2" t="inlineStr">
        <is>
          <t>Energy and Utilities (EU)</t>
        </is>
      </c>
      <c r="S85" s="2" t="inlineStr">
        <is>
          <t>Downer</t>
        </is>
      </c>
      <c r="T85" s="2" t="n">
        <v>100</v>
      </c>
      <c r="W85" s="2" t="inlineStr">
        <is>
          <t>Classification</t>
        </is>
      </c>
      <c r="X85" s="2" t="n">
        <v>-12.42799</v>
      </c>
      <c r="Y85" s="2" t="n">
        <v>130.880349</v>
      </c>
      <c r="Z85" s="2" t="n">
        <v>692</v>
      </c>
      <c r="AB85" s="11" t="n">
        <v>44197</v>
      </c>
    </row>
    <row r="86">
      <c r="A86" s="2" t="inlineStr">
        <is>
          <t>Downer</t>
        </is>
      </c>
      <c r="B86" s="2" t="inlineStr">
        <is>
          <t>_CLOSED_DEF Fleet ACT</t>
        </is>
      </c>
      <c r="C86" s="2" t="inlineStr">
        <is>
          <t>Fleet Fuel</t>
        </is>
      </c>
      <c r="D86" s="2" t="inlineStr">
        <is>
          <t>L9.S.14000508</t>
        </is>
      </c>
      <c r="E86" s="2" t="n">
        <v>9169</v>
      </c>
      <c r="G86" s="2" t="inlineStr">
        <is>
          <t>Leaseplan vehicles transitioned through to FTC data at end of FY23.</t>
        </is>
      </c>
      <c r="M86" s="2" t="inlineStr">
        <is>
          <t>Australian Capital Territory</t>
        </is>
      </c>
      <c r="N86" s="2" t="inlineStr">
        <is>
          <t>Australia</t>
        </is>
      </c>
      <c r="P86" s="2" t="inlineStr">
        <is>
          <t>Operational Control</t>
        </is>
      </c>
      <c r="Q86" s="2" t="inlineStr">
        <is>
          <t>Operational Control</t>
        </is>
      </c>
      <c r="R86" s="2" t="inlineStr">
        <is>
          <t>Social Infra &amp; Citizen Serv (SICS)</t>
        </is>
      </c>
      <c r="S86" s="2" t="inlineStr">
        <is>
          <t>Downer</t>
        </is>
      </c>
      <c r="T86" s="2" t="n">
        <v>100</v>
      </c>
      <c r="W86" s="2" t="inlineStr">
        <is>
          <t>Classification</t>
        </is>
      </c>
    </row>
    <row r="87">
      <c r="A87" s="2" t="inlineStr">
        <is>
          <t>Downer</t>
        </is>
      </c>
      <c r="B87" s="2" t="inlineStr">
        <is>
          <t>_CLOSED_DEF Fleet NSW</t>
        </is>
      </c>
      <c r="C87" s="2" t="inlineStr">
        <is>
          <t>Fleet Fuel</t>
        </is>
      </c>
      <c r="D87" s="2" t="inlineStr">
        <is>
          <t>L9.S.14000514</t>
        </is>
      </c>
      <c r="E87" s="2" t="n">
        <v>9168</v>
      </c>
      <c r="G87" s="2" t="inlineStr">
        <is>
          <t>Leaseplan vehicles transitioned through to FTC data at end of FY23.</t>
        </is>
      </c>
      <c r="M87" s="2" t="inlineStr">
        <is>
          <t>New South Wales</t>
        </is>
      </c>
      <c r="N87" s="2" t="inlineStr">
        <is>
          <t>Australia</t>
        </is>
      </c>
      <c r="P87" s="2" t="inlineStr">
        <is>
          <t>Operational Control</t>
        </is>
      </c>
      <c r="Q87" s="2" t="inlineStr">
        <is>
          <t>Operational Control</t>
        </is>
      </c>
      <c r="R87" s="2" t="inlineStr">
        <is>
          <t>Social Infra &amp; Citizen Serv (SICS)</t>
        </is>
      </c>
      <c r="S87" s="2" t="inlineStr">
        <is>
          <t>Downer</t>
        </is>
      </c>
      <c r="T87" s="2" t="n">
        <v>100</v>
      </c>
      <c r="W87" s="2" t="inlineStr">
        <is>
          <t>Classification</t>
        </is>
      </c>
    </row>
    <row r="88">
      <c r="A88" s="2" t="inlineStr">
        <is>
          <t>Downer</t>
        </is>
      </c>
      <c r="B88" s="2" t="inlineStr">
        <is>
          <t>_CLOSED_DEF Fleet NT</t>
        </is>
      </c>
      <c r="C88" s="2" t="inlineStr">
        <is>
          <t>Fleet Fuel</t>
        </is>
      </c>
      <c r="D88" s="2" t="inlineStr">
        <is>
          <t>L9.S.14000479</t>
        </is>
      </c>
      <c r="E88" s="2" t="n">
        <v>9207</v>
      </c>
      <c r="G88" s="2" t="inlineStr">
        <is>
          <t>Leaseplan vehicles transitioned through to FTC data at end of FY23.</t>
        </is>
      </c>
      <c r="M88" s="2" t="inlineStr">
        <is>
          <t>Northern Territory</t>
        </is>
      </c>
      <c r="N88" s="2" t="inlineStr">
        <is>
          <t>Australia</t>
        </is>
      </c>
      <c r="P88" s="2" t="inlineStr">
        <is>
          <t>Operational Control</t>
        </is>
      </c>
      <c r="Q88" s="2" t="inlineStr">
        <is>
          <t>Operational Control</t>
        </is>
      </c>
      <c r="R88" s="2" t="inlineStr">
        <is>
          <t>Social Infra &amp; Citizen Serv (SICS)</t>
        </is>
      </c>
      <c r="S88" s="2" t="inlineStr">
        <is>
          <t>Downer</t>
        </is>
      </c>
      <c r="T88" s="2" t="n">
        <v>100</v>
      </c>
      <c r="W88" s="2" t="inlineStr">
        <is>
          <t>Classification</t>
        </is>
      </c>
    </row>
    <row r="89">
      <c r="A89" s="2" t="inlineStr">
        <is>
          <t>Downer</t>
        </is>
      </c>
      <c r="B89" s="2" t="inlineStr">
        <is>
          <t>_CLOSED_DEF Fleet QLD</t>
        </is>
      </c>
      <c r="C89" s="2" t="inlineStr">
        <is>
          <t>Fleet Fuel</t>
        </is>
      </c>
      <c r="D89" s="2" t="inlineStr">
        <is>
          <t>L9.S.14000494</t>
        </is>
      </c>
      <c r="E89" s="2" t="n">
        <v>9170</v>
      </c>
      <c r="G89" s="2" t="inlineStr">
        <is>
          <t>Leaseplan vehicles transitioned through to FTC data at end of FY23.</t>
        </is>
      </c>
      <c r="M89" s="2" t="inlineStr">
        <is>
          <t>Queensland</t>
        </is>
      </c>
      <c r="N89" s="2" t="inlineStr">
        <is>
          <t>Australia</t>
        </is>
      </c>
      <c r="P89" s="2" t="inlineStr">
        <is>
          <t>Operational Control</t>
        </is>
      </c>
      <c r="Q89" s="2" t="inlineStr">
        <is>
          <t>Operational Control</t>
        </is>
      </c>
      <c r="R89" s="2" t="inlineStr">
        <is>
          <t>Social Infra &amp; Citizen Serv (SICS)</t>
        </is>
      </c>
      <c r="S89" s="2" t="inlineStr">
        <is>
          <t>Downer</t>
        </is>
      </c>
      <c r="T89" s="2" t="n">
        <v>100</v>
      </c>
      <c r="W89" s="2" t="inlineStr">
        <is>
          <t>Classification</t>
        </is>
      </c>
    </row>
    <row r="90">
      <c r="A90" s="2" t="inlineStr">
        <is>
          <t>Downer</t>
        </is>
      </c>
      <c r="B90" s="2" t="inlineStr">
        <is>
          <t>_CLOSED_DEF Fleet SA</t>
        </is>
      </c>
      <c r="C90" s="2" t="inlineStr">
        <is>
          <t>Fleet Fuel</t>
        </is>
      </c>
      <c r="D90" s="2" t="inlineStr">
        <is>
          <t>L9.S.14000487</t>
        </is>
      </c>
      <c r="E90" s="2" t="n">
        <v>9208</v>
      </c>
      <c r="G90" s="2" t="inlineStr">
        <is>
          <t>Leaseplan vehicles transitioned through to FTC data at end of FY23.</t>
        </is>
      </c>
      <c r="M90" s="2" t="inlineStr">
        <is>
          <t>South Australia</t>
        </is>
      </c>
      <c r="N90" s="2" t="inlineStr">
        <is>
          <t>Australia</t>
        </is>
      </c>
      <c r="P90" s="2" t="inlineStr">
        <is>
          <t>Operational Control</t>
        </is>
      </c>
      <c r="Q90" s="2" t="inlineStr">
        <is>
          <t>Operational Control</t>
        </is>
      </c>
      <c r="R90" s="2" t="inlineStr">
        <is>
          <t>Social Infra &amp; Citizen Serv (SICS)</t>
        </is>
      </c>
      <c r="S90" s="2" t="inlineStr">
        <is>
          <t>Downer</t>
        </is>
      </c>
      <c r="T90" s="2" t="n">
        <v>100</v>
      </c>
      <c r="W90" s="2" t="inlineStr">
        <is>
          <t>Classification</t>
        </is>
      </c>
    </row>
    <row r="91">
      <c r="A91" s="2" t="inlineStr">
        <is>
          <t>Downer</t>
        </is>
      </c>
      <c r="B91" s="2" t="inlineStr">
        <is>
          <t>_CLOSED_DEF Fleet VIC</t>
        </is>
      </c>
      <c r="C91" s="2" t="inlineStr">
        <is>
          <t>Fleet Fuel</t>
        </is>
      </c>
      <c r="D91" s="2" t="inlineStr">
        <is>
          <t>L9.S.16015942</t>
        </is>
      </c>
      <c r="E91" s="2" t="n">
        <v>9171</v>
      </c>
      <c r="G91" s="2" t="inlineStr">
        <is>
          <t>Leaseplan vehicles transitioned through to FTC data at end of FY23.</t>
        </is>
      </c>
      <c r="M91" s="2" t="inlineStr">
        <is>
          <t>Victoria</t>
        </is>
      </c>
      <c r="N91" s="2" t="inlineStr">
        <is>
          <t>Australia</t>
        </is>
      </c>
      <c r="P91" s="2" t="inlineStr">
        <is>
          <t>Operational Control</t>
        </is>
      </c>
      <c r="Q91" s="2" t="inlineStr">
        <is>
          <t>Operational Control</t>
        </is>
      </c>
      <c r="R91" s="2" t="inlineStr">
        <is>
          <t>Social Infra &amp; Citizen Serv (SICS)</t>
        </is>
      </c>
      <c r="S91" s="2" t="inlineStr">
        <is>
          <t>Downer</t>
        </is>
      </c>
      <c r="T91" s="2" t="n">
        <v>100</v>
      </c>
      <c r="W91" s="2" t="inlineStr">
        <is>
          <t>Classification</t>
        </is>
      </c>
    </row>
    <row r="92">
      <c r="A92" s="2" t="inlineStr">
        <is>
          <t>Downer</t>
        </is>
      </c>
      <c r="B92" s="2" t="inlineStr">
        <is>
          <t>_CLOSED_DEF Fleet WA</t>
        </is>
      </c>
      <c r="C92" s="2" t="inlineStr">
        <is>
          <t>Fleet Fuel</t>
        </is>
      </c>
      <c r="D92" s="2" t="inlineStr">
        <is>
          <t>L9.S.14000476</t>
        </is>
      </c>
      <c r="E92" s="2" t="n">
        <v>9214</v>
      </c>
      <c r="G92" s="2" t="inlineStr">
        <is>
          <t>Leaseplan vehicles transitioned through to FTC data at end of FY23.</t>
        </is>
      </c>
      <c r="M92" s="2" t="inlineStr">
        <is>
          <t>Western Australia</t>
        </is>
      </c>
      <c r="N92" s="2" t="inlineStr">
        <is>
          <t>Australia</t>
        </is>
      </c>
      <c r="P92" s="2" t="inlineStr">
        <is>
          <t>Operational Control</t>
        </is>
      </c>
      <c r="Q92" s="2" t="inlineStr">
        <is>
          <t>Operational Control</t>
        </is>
      </c>
      <c r="R92" s="2" t="inlineStr">
        <is>
          <t>Social Infra &amp; Citizen Serv (SICS)</t>
        </is>
      </c>
      <c r="S92" s="2" t="inlineStr">
        <is>
          <t>Downer</t>
        </is>
      </c>
      <c r="T92" s="2" t="n">
        <v>100</v>
      </c>
      <c r="W92" s="2" t="inlineStr">
        <is>
          <t>Classification</t>
        </is>
      </c>
    </row>
    <row r="93">
      <c r="A93" s="2" t="inlineStr">
        <is>
          <t>Downer</t>
        </is>
      </c>
      <c r="B93" s="2" t="inlineStr">
        <is>
          <t>_CLOSED_Denny Avenue, Metronet</t>
        </is>
      </c>
      <c r="C93" s="2" t="inlineStr">
        <is>
          <t>Construction Site</t>
        </is>
      </c>
      <c r="D93" s="2" t="inlineStr">
        <is>
          <t>L9.J.20044061</t>
        </is>
      </c>
      <c r="M93" s="2" t="inlineStr">
        <is>
          <t>Kelmscott</t>
        </is>
      </c>
      <c r="N93" s="2" t="inlineStr">
        <is>
          <t>Australia</t>
        </is>
      </c>
      <c r="P93" s="2" t="inlineStr">
        <is>
          <t>Operational Control</t>
        </is>
      </c>
      <c r="Q93" s="2" t="inlineStr">
        <is>
          <t>Operational Control</t>
        </is>
      </c>
      <c r="R93" s="2" t="inlineStr">
        <is>
          <t>DT Infrastructure (pre Sept 23 divestment)</t>
        </is>
      </c>
      <c r="S93" s="2" t="inlineStr">
        <is>
          <t>Downer</t>
        </is>
      </c>
      <c r="T93" s="2" t="n">
        <v>100</v>
      </c>
      <c r="V93" s="11" t="n">
        <v>45199</v>
      </c>
      <c r="W93" s="2" t="inlineStr">
        <is>
          <t>Classification</t>
        </is>
      </c>
    </row>
    <row r="94">
      <c r="A94" s="2" t="inlineStr">
        <is>
          <t>Downer</t>
        </is>
      </c>
      <c r="B94" s="2" t="inlineStr">
        <is>
          <t>_CLOSED_Depot_BP_Auckland_Plant-Yard</t>
        </is>
      </c>
      <c r="C94" s="2" t="inlineStr">
        <is>
          <t>Other</t>
        </is>
      </c>
      <c r="D94" s="2" t="inlineStr">
        <is>
          <t>L9.DNZ.PLT</t>
        </is>
      </c>
      <c r="E94" s="2" t="n">
        <v>5186</v>
      </c>
      <c r="G94" s="2" t="inlineStr">
        <is>
          <t>Construction equipment plant yard storage and distribution - New location established following purchase of Hawkins 2018</t>
        </is>
      </c>
      <c r="H94" s="2" t="inlineStr">
        <is>
          <t>1-3 Ash Road, Wiri</t>
        </is>
      </c>
      <c r="I94" s="2" t="inlineStr">
        <is>
          <t>Auckland</t>
        </is>
      </c>
      <c r="J94" s="2" t="inlineStr">
        <is>
          <t>Auckland</t>
        </is>
      </c>
      <c r="K94" s="2" t="n">
        <v>2022</v>
      </c>
      <c r="L94" s="2" t="inlineStr">
        <is>
          <t>New Zealand</t>
        </is>
      </c>
      <c r="M94" s="2" t="inlineStr">
        <is>
          <t>Manurewa</t>
        </is>
      </c>
      <c r="N94" s="2" t="inlineStr">
        <is>
          <t>New Zealand</t>
        </is>
      </c>
      <c r="P94" s="2" t="inlineStr">
        <is>
          <t>Operational Control</t>
        </is>
      </c>
      <c r="Q94" s="2" t="inlineStr">
        <is>
          <t>Operational Control</t>
        </is>
      </c>
      <c r="R94" s="2" t="inlineStr">
        <is>
          <t>Transport &amp; Infrastructure (T&amp;I)</t>
        </is>
      </c>
      <c r="S94" s="2" t="inlineStr">
        <is>
          <t>Downer</t>
        </is>
      </c>
      <c r="T94" s="2" t="n">
        <v>100</v>
      </c>
      <c r="W94" s="2" t="inlineStr">
        <is>
          <t>Classification</t>
        </is>
      </c>
      <c r="X94" s="2" t="n">
        <v>-37.002534</v>
      </c>
      <c r="Y94" s="2" t="n">
        <v>174.865114</v>
      </c>
      <c r="Z94" s="2" t="n">
        <v>663</v>
      </c>
      <c r="AA94" s="11" t="n">
        <v>42917</v>
      </c>
    </row>
    <row r="95">
      <c r="A95" s="2" t="inlineStr">
        <is>
          <t>Downer</t>
        </is>
      </c>
      <c r="B95" s="2" t="inlineStr">
        <is>
          <t>_CLOSED_Depot_T_Balclutha</t>
        </is>
      </c>
      <c r="C95" s="2" t="inlineStr">
        <is>
          <t>Other</t>
        </is>
      </c>
      <c r="D95" s="2" t="inlineStr">
        <is>
          <t>L9.DNZJ.55674</t>
        </is>
      </c>
      <c r="E95" s="2" t="n">
        <v>5022</v>
      </c>
      <c r="G95" s="2" t="inlineStr">
        <is>
          <t>Support Services for TS - New facilities established for more granular reporting and to reflect new structure for FY17. See facility named "NZ-Infrastructure Services" for historical data.</t>
        </is>
      </c>
      <c r="H95" s="2" t="inlineStr">
        <is>
          <t>11 Athol Place</t>
        </is>
      </c>
      <c r="I95" s="2" t="inlineStr">
        <is>
          <t>Balclutha</t>
        </is>
      </c>
      <c r="J95" s="2" t="inlineStr">
        <is>
          <t>Otago</t>
        </is>
      </c>
      <c r="K95" s="2" t="n">
        <v>8051</v>
      </c>
      <c r="L95" s="2" t="inlineStr">
        <is>
          <t>New Zealand</t>
        </is>
      </c>
      <c r="M95" s="2" t="inlineStr">
        <is>
          <t>Balclutha</t>
        </is>
      </c>
      <c r="N95" s="2" t="inlineStr">
        <is>
          <t>New Zealand</t>
        </is>
      </c>
      <c r="P95" s="2" t="inlineStr">
        <is>
          <t>Operational Control</t>
        </is>
      </c>
      <c r="Q95" s="2" t="inlineStr">
        <is>
          <t>Operational Control</t>
        </is>
      </c>
      <c r="R95" s="2" t="inlineStr">
        <is>
          <t>Transport &amp; Infrastructure (T&amp;I)</t>
        </is>
      </c>
      <c r="S95" s="2" t="inlineStr">
        <is>
          <t>Downer</t>
        </is>
      </c>
      <c r="T95" s="2" t="n">
        <v>100</v>
      </c>
      <c r="U95" s="2" t="inlineStr">
        <is>
          <t>1899/12/31</t>
        </is>
      </c>
      <c r="W95" s="2" t="inlineStr">
        <is>
          <t>Classification</t>
        </is>
      </c>
      <c r="X95" s="2" t="n">
        <v>-46.2329264</v>
      </c>
      <c r="Y95" s="2" t="n">
        <v>169.7525902</v>
      </c>
      <c r="Z95" s="2" t="n">
        <v>729</v>
      </c>
      <c r="AA95" s="11" t="n">
        <v>42917</v>
      </c>
    </row>
    <row r="96">
      <c r="A96" s="2" t="inlineStr">
        <is>
          <t>Downer</t>
        </is>
      </c>
      <c r="B96" s="2" t="inlineStr">
        <is>
          <t>_CLOSED_Depot_T_Blenheim</t>
        </is>
      </c>
      <c r="C96" s="2" t="inlineStr">
        <is>
          <t>Other</t>
        </is>
      </c>
      <c r="D96" s="2" t="inlineStr">
        <is>
          <t>L9.DNZJ.55612</t>
        </is>
      </c>
      <c r="E96" s="2" t="n">
        <v>5023</v>
      </c>
      <c r="G96" s="2" t="inlineStr">
        <is>
          <t>Support Services for TS - New facilities established for more granular reporting and to reflect new structure for FY17. See facility named "NZ-Infrastructure Services" for historical data.</t>
        </is>
      </c>
      <c r="H96" s="2" t="inlineStr">
        <is>
          <t>7 Freswick Street</t>
        </is>
      </c>
      <c r="I96" s="2" t="inlineStr">
        <is>
          <t>Blenheim</t>
        </is>
      </c>
      <c r="J96" s="2" t="inlineStr">
        <is>
          <t>Marlborough</t>
        </is>
      </c>
      <c r="K96" s="2" t="n">
        <v>7391</v>
      </c>
      <c r="L96" s="2" t="inlineStr">
        <is>
          <t>New Zealand</t>
        </is>
      </c>
      <c r="M96" s="2" t="inlineStr">
        <is>
          <t>Blenheim</t>
        </is>
      </c>
      <c r="N96" s="2" t="inlineStr">
        <is>
          <t>New Zealand</t>
        </is>
      </c>
      <c r="P96" s="2" t="inlineStr">
        <is>
          <t>Operational Control</t>
        </is>
      </c>
      <c r="Q96" s="2" t="inlineStr">
        <is>
          <t>Operational Control</t>
        </is>
      </c>
      <c r="R96" s="2" t="inlineStr">
        <is>
          <t>Transport &amp; Infrastructure (T&amp;I)</t>
        </is>
      </c>
      <c r="S96" s="2" t="inlineStr">
        <is>
          <t>Downer</t>
        </is>
      </c>
      <c r="T96" s="2" t="n">
        <v>100</v>
      </c>
      <c r="U96" s="2" t="inlineStr">
        <is>
          <t>1899/12/31</t>
        </is>
      </c>
      <c r="W96" s="2" t="inlineStr">
        <is>
          <t>Classification</t>
        </is>
      </c>
      <c r="X96" s="2" t="n">
        <v>-41.5145322</v>
      </c>
      <c r="Y96" s="2" t="n">
        <v>173.9619327</v>
      </c>
      <c r="Z96" s="2" t="n">
        <v>729</v>
      </c>
      <c r="AA96" s="11" t="n">
        <v>42917</v>
      </c>
    </row>
    <row r="97">
      <c r="A97" s="2" t="inlineStr">
        <is>
          <t>Downer</t>
        </is>
      </c>
      <c r="B97" s="2" t="inlineStr">
        <is>
          <t>_CLOSED_Depot_T_Christchurch (McLeans Is)</t>
        </is>
      </c>
      <c r="C97" s="2" t="inlineStr">
        <is>
          <t>Other</t>
        </is>
      </c>
      <c r="D97" s="2" t="inlineStr">
        <is>
          <t>L9.DNZJ.55650</t>
        </is>
      </c>
      <c r="E97" s="2" t="n">
        <v>5024</v>
      </c>
      <c r="G97" s="2" t="inlineStr">
        <is>
          <t>Support Services for TS - New facilities established for more granular reporting and to reflect new structure for FY17. See facility named "NZ-Infrastructure Services" for historical data.</t>
        </is>
      </c>
      <c r="H97" s="2" t="inlineStr">
        <is>
          <t>397 Mcleans Island Road, Harewood</t>
        </is>
      </c>
      <c r="I97" s="2" t="inlineStr">
        <is>
          <t>Christchurch</t>
        </is>
      </c>
      <c r="J97" s="2" t="inlineStr">
        <is>
          <t>Canterbury</t>
        </is>
      </c>
      <c r="K97" s="2" t="n">
        <v>9018</v>
      </c>
      <c r="L97" s="2" t="inlineStr">
        <is>
          <t>New Zealand</t>
        </is>
      </c>
      <c r="M97" s="2" t="inlineStr">
        <is>
          <t>Christchurch</t>
        </is>
      </c>
      <c r="N97" s="2" t="inlineStr">
        <is>
          <t>New Zealand</t>
        </is>
      </c>
      <c r="P97" s="2" t="inlineStr">
        <is>
          <t>Operational Control</t>
        </is>
      </c>
      <c r="Q97" s="2" t="inlineStr">
        <is>
          <t>Operational Control</t>
        </is>
      </c>
      <c r="R97" s="2" t="inlineStr">
        <is>
          <t>Transport &amp; Infrastructure (T&amp;I)</t>
        </is>
      </c>
      <c r="S97" s="2" t="inlineStr">
        <is>
          <t>Downer</t>
        </is>
      </c>
      <c r="T97" s="2" t="n">
        <v>100</v>
      </c>
      <c r="U97" s="2" t="inlineStr">
        <is>
          <t>1899/12/31</t>
        </is>
      </c>
      <c r="W97" s="2" t="inlineStr">
        <is>
          <t>Classification</t>
        </is>
      </c>
      <c r="X97" s="2" t="n">
        <v>-43.4764273</v>
      </c>
      <c r="Y97" s="2" t="n">
        <v>172.516733599999</v>
      </c>
      <c r="Z97" s="2" t="n">
        <v>729</v>
      </c>
      <c r="AA97" s="11" t="n">
        <v>42917</v>
      </c>
    </row>
    <row r="98">
      <c r="A98" s="2" t="inlineStr">
        <is>
          <t>Downer</t>
        </is>
      </c>
      <c r="B98" s="2" t="inlineStr">
        <is>
          <t>_CLOSED_Depot_T_Cromwell</t>
        </is>
      </c>
      <c r="C98" s="2" t="inlineStr">
        <is>
          <t>Other</t>
        </is>
      </c>
      <c r="D98" s="2" t="inlineStr">
        <is>
          <t>L9.DNZJ.55686</t>
        </is>
      </c>
      <c r="E98" s="2" t="n">
        <v>5028</v>
      </c>
      <c r="G98" s="2" t="inlineStr">
        <is>
          <t>Support Services for TS - New facilities established for more granular reporting and to reflect new structure for FY17. See facility named "NZ-Infrastructure Services" for historical data.</t>
        </is>
      </c>
      <c r="H98" s="2" t="inlineStr">
        <is>
          <t>922 Luggate-Cromwell Road</t>
        </is>
      </c>
      <c r="I98" s="2" t="inlineStr">
        <is>
          <t>Mount Pisa</t>
        </is>
      </c>
      <c r="J98" s="2" t="inlineStr">
        <is>
          <t>Otago</t>
        </is>
      </c>
      <c r="K98" s="2" t="n">
        <v>9710</v>
      </c>
      <c r="L98" s="2" t="inlineStr">
        <is>
          <t>New Zealand</t>
        </is>
      </c>
      <c r="M98" s="2" t="inlineStr">
        <is>
          <t>Clyde</t>
        </is>
      </c>
      <c r="N98" s="2" t="inlineStr">
        <is>
          <t>New Zealand</t>
        </is>
      </c>
      <c r="P98" s="2" t="inlineStr">
        <is>
          <t>Operational Control</t>
        </is>
      </c>
      <c r="Q98" s="2" t="inlineStr">
        <is>
          <t>Operational Control</t>
        </is>
      </c>
      <c r="R98" s="2" t="inlineStr">
        <is>
          <t>Transport &amp; Infrastructure (T&amp;I)</t>
        </is>
      </c>
      <c r="S98" s="2" t="inlineStr">
        <is>
          <t>Downer</t>
        </is>
      </c>
      <c r="T98" s="2" t="n">
        <v>100</v>
      </c>
      <c r="U98" s="2" t="inlineStr">
        <is>
          <t>1899/12/31</t>
        </is>
      </c>
      <c r="W98" s="2" t="inlineStr">
        <is>
          <t>Classification</t>
        </is>
      </c>
      <c r="X98" s="2" t="n">
        <v>-44.962849</v>
      </c>
      <c r="Y98" s="2" t="n">
        <v>169.245137</v>
      </c>
      <c r="Z98" s="2" t="n">
        <v>729</v>
      </c>
      <c r="AA98" s="11" t="n">
        <v>42917</v>
      </c>
    </row>
    <row r="99">
      <c r="A99" s="2" t="inlineStr">
        <is>
          <t>Downer</t>
        </is>
      </c>
      <c r="B99" s="2" t="inlineStr">
        <is>
          <t>_CLOSED_Depot_T_Culverden (Excell)</t>
        </is>
      </c>
      <c r="C99" s="2" t="inlineStr">
        <is>
          <t>Other</t>
        </is>
      </c>
      <c r="D99" s="2" t="inlineStr">
        <is>
          <t>L9.DNZJ.553801</t>
        </is>
      </c>
      <c r="E99" s="2" t="inlineStr">
        <is>
          <t>L9.DNZJ.553801</t>
        </is>
      </c>
      <c r="G99" s="2" t="inlineStr">
        <is>
          <t>Support Services for TS - New facilities established for more granular reporting and to reflect new structure for FY17. See facility named "NZ-Infrastructure Services" for historical data.</t>
        </is>
      </c>
      <c r="H99" s="2" t="inlineStr">
        <is>
          <t>26 Lyndon Street</t>
        </is>
      </c>
      <c r="I99" s="2" t="inlineStr">
        <is>
          <t>Culverdon</t>
        </is>
      </c>
      <c r="J99" s="2" t="inlineStr">
        <is>
          <t>Canterbury</t>
        </is>
      </c>
      <c r="K99" s="2" t="n">
        <v>7392</v>
      </c>
      <c r="L99" s="2" t="inlineStr">
        <is>
          <t>New Zealand</t>
        </is>
      </c>
      <c r="M99" s="2" t="inlineStr">
        <is>
          <t>Christchurch</t>
        </is>
      </c>
      <c r="N99" s="2" t="inlineStr">
        <is>
          <t>New Zealand</t>
        </is>
      </c>
      <c r="P99" s="2" t="inlineStr">
        <is>
          <t>Operational Control</t>
        </is>
      </c>
      <c r="Q99" s="2" t="inlineStr">
        <is>
          <t>Operational Control</t>
        </is>
      </c>
      <c r="R99" s="2" t="inlineStr">
        <is>
          <t>Transport &amp; Infrastructure (T&amp;I)</t>
        </is>
      </c>
      <c r="S99" s="2" t="inlineStr">
        <is>
          <t>Downer</t>
        </is>
      </c>
      <c r="T99" s="2" t="n">
        <v>100</v>
      </c>
      <c r="U99" s="2" t="inlineStr">
        <is>
          <t>1899/12/31</t>
        </is>
      </c>
      <c r="W99" s="2" t="inlineStr">
        <is>
          <t>Classification</t>
        </is>
      </c>
      <c r="X99" s="2" t="n">
        <v>-43.5358761</v>
      </c>
      <c r="Y99" s="2" t="n">
        <v>172.602161199999</v>
      </c>
      <c r="Z99" s="2" t="n">
        <v>729</v>
      </c>
      <c r="AA99" s="11" t="n">
        <v>42917</v>
      </c>
    </row>
    <row r="100">
      <c r="A100" s="2" t="inlineStr">
        <is>
          <t>Downer</t>
        </is>
      </c>
      <c r="B100" s="2" t="inlineStr">
        <is>
          <t>_CLOSED_Depot_T_Dargaville</t>
        </is>
      </c>
      <c r="C100" s="2" t="inlineStr">
        <is>
          <t>Depot</t>
        </is>
      </c>
      <c r="D100" s="2" t="inlineStr">
        <is>
          <t>L9.DNZJ.55908</t>
        </is>
      </c>
      <c r="E100" s="2" t="n">
        <v>5252</v>
      </c>
      <c r="M100" s="2" t="inlineStr">
        <is>
          <t>Northland</t>
        </is>
      </c>
      <c r="N100" s="2" t="inlineStr">
        <is>
          <t>New Zealand</t>
        </is>
      </c>
      <c r="P100" s="2" t="inlineStr">
        <is>
          <t>Operational Control</t>
        </is>
      </c>
      <c r="Q100" s="2" t="inlineStr">
        <is>
          <t>Operational Control</t>
        </is>
      </c>
      <c r="R100" s="2" t="inlineStr">
        <is>
          <t>Transport &amp; Infrastructure (T&amp;I)</t>
        </is>
      </c>
      <c r="S100" s="2" t="inlineStr">
        <is>
          <t>Downer</t>
        </is>
      </c>
      <c r="T100" s="2" t="n">
        <v>100</v>
      </c>
      <c r="U100" s="2" t="inlineStr">
        <is>
          <t>1899/12/31</t>
        </is>
      </c>
      <c r="W100" s="2" t="inlineStr">
        <is>
          <t>Classification</t>
        </is>
      </c>
    </row>
    <row r="101">
      <c r="A101" s="2" t="inlineStr">
        <is>
          <t>Downer</t>
        </is>
      </c>
      <c r="B101" s="2" t="inlineStr">
        <is>
          <t>_CLOSED_Depot_T_Dunedin (Green Island)</t>
        </is>
      </c>
      <c r="C101" s="2" t="inlineStr">
        <is>
          <t>Other</t>
        </is>
      </c>
      <c r="D101" s="2" t="inlineStr">
        <is>
          <t>L9.DNZJ.55660</t>
        </is>
      </c>
      <c r="E101" s="2" t="n">
        <v>5026</v>
      </c>
      <c r="G101" s="2" t="inlineStr">
        <is>
          <t>Support Services for TS - New facilities established for more granular reporting and to reflect new structure for FY17. See facility named "NZ-Infrastructure Services" for historical data.</t>
        </is>
      </c>
      <c r="H101" s="2" t="inlineStr">
        <is>
          <t>133 Main South Road, Green Island</t>
        </is>
      </c>
      <c r="I101" s="2" t="inlineStr">
        <is>
          <t>Dunedin</t>
        </is>
      </c>
      <c r="J101" s="2" t="inlineStr">
        <is>
          <t>Otago</t>
        </is>
      </c>
      <c r="K101" s="2" t="n">
        <v>9383</v>
      </c>
      <c r="L101" s="2" t="inlineStr">
        <is>
          <t>New Zealand</t>
        </is>
      </c>
      <c r="M101" s="2" t="inlineStr">
        <is>
          <t>Musselburgh</t>
        </is>
      </c>
      <c r="N101" s="2" t="inlineStr">
        <is>
          <t>New Zealand</t>
        </is>
      </c>
      <c r="P101" s="2" t="inlineStr">
        <is>
          <t>Operational Control</t>
        </is>
      </c>
      <c r="Q101" s="2" t="inlineStr">
        <is>
          <t>Operational Control</t>
        </is>
      </c>
      <c r="R101" s="2" t="inlineStr">
        <is>
          <t>Transport &amp; Infrastructure (T&amp;I)</t>
        </is>
      </c>
      <c r="S101" s="2" t="inlineStr">
        <is>
          <t>Downer</t>
        </is>
      </c>
      <c r="T101" s="2" t="n">
        <v>100</v>
      </c>
      <c r="U101" s="2" t="inlineStr">
        <is>
          <t>1899/12/31</t>
        </is>
      </c>
      <c r="W101" s="2" t="inlineStr">
        <is>
          <t>Classification</t>
        </is>
      </c>
      <c r="X101" s="2" t="n">
        <v>-45.9016783</v>
      </c>
      <c r="Y101" s="2" t="n">
        <v>170.4409766</v>
      </c>
      <c r="Z101" s="2" t="n">
        <v>729</v>
      </c>
      <c r="AA101" s="11" t="n">
        <v>42917</v>
      </c>
    </row>
    <row r="102">
      <c r="A102" s="2" t="inlineStr">
        <is>
          <t>Downer</t>
        </is>
      </c>
      <c r="B102" s="2" t="inlineStr">
        <is>
          <t>_CLOSED_Depot_T_Engineers Camp (Lewis Pass)</t>
        </is>
      </c>
      <c r="C102" s="2" t="inlineStr">
        <is>
          <t>Other</t>
        </is>
      </c>
      <c r="D102" s="2" t="inlineStr">
        <is>
          <t>L9.DNZJ.55614</t>
        </is>
      </c>
      <c r="E102" s="2" t="n">
        <v>5027</v>
      </c>
      <c r="G102" s="2" t="inlineStr">
        <is>
          <t>Support Services for TS - New facilities established for more granular reporting and to reflect new structure for FY17. See facility named "NZ-Infrastructure Services" for historical data.</t>
        </is>
      </c>
      <c r="H102" s="2" t="inlineStr">
        <is>
          <t>Engineers Camp, State Highway 7</t>
        </is>
      </c>
      <c r="I102" s="2" t="inlineStr">
        <is>
          <t>Lewis Pass</t>
        </is>
      </c>
      <c r="J102" s="2" t="inlineStr">
        <is>
          <t>West Coast</t>
        </is>
      </c>
      <c r="K102" s="2" t="n">
        <v>7925</v>
      </c>
      <c r="L102" s="2" t="inlineStr">
        <is>
          <t>New Zealand</t>
        </is>
      </c>
      <c r="M102" s="2" t="inlineStr">
        <is>
          <t>Hanmer Springs</t>
        </is>
      </c>
      <c r="N102" s="2" t="inlineStr">
        <is>
          <t>New Zealand</t>
        </is>
      </c>
      <c r="P102" s="2" t="inlineStr">
        <is>
          <t>Operational Control</t>
        </is>
      </c>
      <c r="Q102" s="2" t="inlineStr">
        <is>
          <t>Operational Control</t>
        </is>
      </c>
      <c r="R102" s="2" t="inlineStr">
        <is>
          <t>Transport &amp; Infrastructure (T&amp;I)</t>
        </is>
      </c>
      <c r="S102" s="2" t="inlineStr">
        <is>
          <t>Downer</t>
        </is>
      </c>
      <c r="T102" s="2" t="n">
        <v>100</v>
      </c>
      <c r="U102" s="2" t="inlineStr">
        <is>
          <t>1899/12/31</t>
        </is>
      </c>
      <c r="W102" s="2" t="inlineStr">
        <is>
          <t>Classification</t>
        </is>
      </c>
      <c r="X102" s="2" t="n">
        <v>-42.5647538</v>
      </c>
      <c r="Y102" s="2" t="n">
        <v>172.355699299999</v>
      </c>
      <c r="Z102" s="2" t="n">
        <v>729</v>
      </c>
      <c r="AA102" s="11" t="n">
        <v>42917</v>
      </c>
    </row>
    <row r="103">
      <c r="A103" s="2" t="inlineStr">
        <is>
          <t>Downer</t>
        </is>
      </c>
      <c r="B103" s="2" t="inlineStr">
        <is>
          <t>_CLOSED_Depot_T_Gisborne</t>
        </is>
      </c>
      <c r="C103" s="2" t="inlineStr">
        <is>
          <t>Other</t>
        </is>
      </c>
      <c r="D103" s="2" t="inlineStr">
        <is>
          <t>L9.DNZJ.55581</t>
        </is>
      </c>
      <c r="E103" s="2" t="n">
        <v>5071</v>
      </c>
      <c r="G103" s="2" t="inlineStr">
        <is>
          <t>Support Services for TS - New facilities established for more granular reporting and to reflect new structure for FY17. See facility named "NZ-Infrastructure Services" for historical data.</t>
        </is>
      </c>
      <c r="H103" s="2" t="inlineStr">
        <is>
          <t>187 Awapuni Road, Awapuni</t>
        </is>
      </c>
      <c r="I103" s="2" t="inlineStr">
        <is>
          <t>Gisborne</t>
        </is>
      </c>
      <c r="J103" s="2" t="inlineStr">
        <is>
          <t>Gisborne</t>
        </is>
      </c>
      <c r="K103" s="2" t="n">
        <v>1061</v>
      </c>
      <c r="L103" s="2" t="inlineStr">
        <is>
          <t>New Zealand</t>
        </is>
      </c>
      <c r="M103" s="2" t="inlineStr">
        <is>
          <t>Gisborne</t>
        </is>
      </c>
      <c r="N103" s="2" t="inlineStr">
        <is>
          <t>New Zealand</t>
        </is>
      </c>
      <c r="P103" s="2" t="inlineStr">
        <is>
          <t>Operational Control</t>
        </is>
      </c>
      <c r="Q103" s="2" t="inlineStr">
        <is>
          <t>Operational Control</t>
        </is>
      </c>
      <c r="R103" s="2" t="inlineStr">
        <is>
          <t>Transport &amp; Infrastructure (T&amp;I)</t>
        </is>
      </c>
      <c r="S103" s="2" t="inlineStr">
        <is>
          <t>Downer</t>
        </is>
      </c>
      <c r="T103" s="2" t="n">
        <v>100</v>
      </c>
      <c r="U103" s="2" t="inlineStr">
        <is>
          <t>1899/12/31</t>
        </is>
      </c>
      <c r="W103" s="2" t="inlineStr">
        <is>
          <t>Classification</t>
        </is>
      </c>
      <c r="X103" s="2" t="n">
        <v>-38.6681444</v>
      </c>
      <c r="Y103" s="2" t="n">
        <v>178.0067298</v>
      </c>
      <c r="Z103" s="2" t="n">
        <v>729</v>
      </c>
      <c r="AA103" s="11" t="n">
        <v>42917</v>
      </c>
    </row>
    <row r="104">
      <c r="A104" s="2" t="inlineStr">
        <is>
          <t>Downer</t>
        </is>
      </c>
      <c r="B104" s="2" t="inlineStr">
        <is>
          <t>_CLOSED_Depot_T_Hamilton</t>
        </is>
      </c>
      <c r="C104" s="2" t="inlineStr">
        <is>
          <t>Other</t>
        </is>
      </c>
      <c r="D104" s="2" t="inlineStr">
        <is>
          <t>L9.DNZJ.55540</t>
        </is>
      </c>
      <c r="E104" s="2" t="n">
        <v>5031</v>
      </c>
      <c r="G104" s="2" t="inlineStr">
        <is>
          <t>Support Services for TS - New facilities established for more granular reporting and to reflect new structure for FY17. See facility named "NZ-Infrastructure Services" for historical data.</t>
        </is>
      </c>
      <c r="H104" s="2" t="inlineStr">
        <is>
          <t>16 Manchester Place, Te Rapa</t>
        </is>
      </c>
      <c r="I104" s="2" t="inlineStr">
        <is>
          <t>Hamilton</t>
        </is>
      </c>
      <c r="J104" s="2" t="inlineStr">
        <is>
          <t>Waikato</t>
        </is>
      </c>
      <c r="K104" s="2" t="n">
        <v>4610</v>
      </c>
      <c r="L104" s="2" t="inlineStr">
        <is>
          <t>New Zealand</t>
        </is>
      </c>
      <c r="M104" s="2" t="inlineStr">
        <is>
          <t>Hamilton</t>
        </is>
      </c>
      <c r="N104" s="2" t="inlineStr">
        <is>
          <t>New Zealand</t>
        </is>
      </c>
      <c r="P104" s="2" t="inlineStr">
        <is>
          <t>Operational Control</t>
        </is>
      </c>
      <c r="Q104" s="2" t="inlineStr">
        <is>
          <t>Operational Control</t>
        </is>
      </c>
      <c r="R104" s="2" t="inlineStr">
        <is>
          <t>Transport &amp; Infrastructure (T&amp;I)</t>
        </is>
      </c>
      <c r="S104" s="2" t="inlineStr">
        <is>
          <t>Downer</t>
        </is>
      </c>
      <c r="T104" s="2" t="n">
        <v>100</v>
      </c>
      <c r="U104" s="2" t="inlineStr">
        <is>
          <t>1899/12/31</t>
        </is>
      </c>
      <c r="W104" s="2" t="inlineStr">
        <is>
          <t>Classification</t>
        </is>
      </c>
      <c r="X104" s="2" t="n">
        <v>-37.754068</v>
      </c>
      <c r="Y104" s="2" t="n">
        <v>175.2370587</v>
      </c>
      <c r="Z104" s="2" t="n">
        <v>729</v>
      </c>
      <c r="AA104" s="11" t="n">
        <v>42917</v>
      </c>
    </row>
    <row r="105">
      <c r="A105" s="2" t="inlineStr">
        <is>
          <t>Downer</t>
        </is>
      </c>
      <c r="B105" s="2" t="inlineStr">
        <is>
          <t>_CLOSED_Depot_T_Hastings</t>
        </is>
      </c>
      <c r="C105" s="2" t="inlineStr">
        <is>
          <t>Other</t>
        </is>
      </c>
      <c r="D105" s="2" t="inlineStr">
        <is>
          <t>L9.DNZJ.55582</t>
        </is>
      </c>
      <c r="E105" s="2" t="n">
        <v>5032</v>
      </c>
      <c r="G105" s="2" t="inlineStr">
        <is>
          <t>Support Services for TS - New facilities established for more granular reporting and to reflect new structure for FY17. See facility named "NZ-Infrastructure Services" for historical data.</t>
        </is>
      </c>
      <c r="H105" s="2" t="inlineStr">
        <is>
          <t>1436 Omahu Road, Twyford</t>
        </is>
      </c>
      <c r="I105" s="2" t="inlineStr">
        <is>
          <t>Hastings</t>
        </is>
      </c>
      <c r="J105" s="2" t="inlineStr">
        <is>
          <t>Hawkes's Bay</t>
        </is>
      </c>
      <c r="K105" s="2" t="n">
        <v>5510</v>
      </c>
      <c r="L105" s="2" t="inlineStr">
        <is>
          <t>New Zealand</t>
        </is>
      </c>
      <c r="M105" s="2" t="inlineStr">
        <is>
          <t>Hastings</t>
        </is>
      </c>
      <c r="N105" s="2" t="inlineStr">
        <is>
          <t>New Zealand</t>
        </is>
      </c>
      <c r="P105" s="2" t="inlineStr">
        <is>
          <t>Operational Control</t>
        </is>
      </c>
      <c r="Q105" s="2" t="inlineStr">
        <is>
          <t>Operational Control</t>
        </is>
      </c>
      <c r="R105" s="2" t="inlineStr">
        <is>
          <t>Transport &amp; Infrastructure (T&amp;I)</t>
        </is>
      </c>
      <c r="S105" s="2" t="inlineStr">
        <is>
          <t>Downer</t>
        </is>
      </c>
      <c r="T105" s="2" t="n">
        <v>100</v>
      </c>
      <c r="U105" s="2" t="inlineStr">
        <is>
          <t>1899/12/31</t>
        </is>
      </c>
      <c r="W105" s="2" t="inlineStr">
        <is>
          <t>Classification</t>
        </is>
      </c>
      <c r="X105" s="2" t="n">
        <v>-39.6113005</v>
      </c>
      <c r="Y105" s="2" t="n">
        <v>176.7880201</v>
      </c>
      <c r="Z105" s="2" t="n">
        <v>729</v>
      </c>
      <c r="AA105" s="11" t="n">
        <v>42917</v>
      </c>
    </row>
    <row r="106">
      <c r="A106" s="2" t="inlineStr">
        <is>
          <t>Downer</t>
        </is>
      </c>
      <c r="B106" s="2" t="inlineStr">
        <is>
          <t>_CLOSED_Depot_T_Hawera</t>
        </is>
      </c>
      <c r="C106" s="2" t="inlineStr">
        <is>
          <t>Other</t>
        </is>
      </c>
      <c r="D106" s="2" t="inlineStr">
        <is>
          <t>L9.DNZJ.55570</t>
        </is>
      </c>
      <c r="E106" s="2" t="n">
        <v>5033</v>
      </c>
      <c r="G106" s="2" t="inlineStr">
        <is>
          <t>Support Services for TS - New facilities established for more granular reporting and to reflect new structure for FY17. See facility named "NZ-Infrastructure Services" for historical data.</t>
        </is>
      </c>
      <c r="H106" s="2" t="inlineStr">
        <is>
          <t>32-34 Glover Road</t>
        </is>
      </c>
      <c r="I106" s="2" t="inlineStr">
        <is>
          <t>Hawera</t>
        </is>
      </c>
      <c r="J106" s="2" t="inlineStr">
        <is>
          <t>Taranaki</t>
        </is>
      </c>
      <c r="K106" s="2" t="n">
        <v>9810</v>
      </c>
      <c r="L106" s="2" t="inlineStr">
        <is>
          <t>New Zealand</t>
        </is>
      </c>
      <c r="M106" s="2" t="inlineStr">
        <is>
          <t>Hawera</t>
        </is>
      </c>
      <c r="N106" s="2" t="inlineStr">
        <is>
          <t>New Zealand</t>
        </is>
      </c>
      <c r="P106" s="2" t="inlineStr">
        <is>
          <t>Operational Control</t>
        </is>
      </c>
      <c r="Q106" s="2" t="inlineStr">
        <is>
          <t>Operational Control</t>
        </is>
      </c>
      <c r="R106" s="2" t="inlineStr">
        <is>
          <t>Transport &amp; Infrastructure (T&amp;I)</t>
        </is>
      </c>
      <c r="S106" s="2" t="inlineStr">
        <is>
          <t>Downer</t>
        </is>
      </c>
      <c r="T106" s="2" t="n">
        <v>100</v>
      </c>
      <c r="U106" s="2" t="inlineStr">
        <is>
          <t>1899/12/31</t>
        </is>
      </c>
      <c r="W106" s="2" t="inlineStr">
        <is>
          <t>Classification</t>
        </is>
      </c>
      <c r="X106" s="2" t="n">
        <v>-39.5804281</v>
      </c>
      <c r="Y106" s="2" t="n">
        <v>174.280404699999</v>
      </c>
      <c r="Z106" s="2" t="n">
        <v>729</v>
      </c>
      <c r="AA106" s="11" t="n">
        <v>42917</v>
      </c>
    </row>
    <row r="107">
      <c r="A107" s="2" t="inlineStr">
        <is>
          <t>Downer</t>
        </is>
      </c>
      <c r="B107" s="2" t="inlineStr">
        <is>
          <t>_CLOSED_Depot_T_Horowhenua</t>
        </is>
      </c>
      <c r="C107" s="2" t="inlineStr">
        <is>
          <t>Other</t>
        </is>
      </c>
      <c r="D107" s="2" t="inlineStr">
        <is>
          <t>L9.DNZJ.55604</t>
        </is>
      </c>
      <c r="E107" s="2" t="n">
        <v>5034</v>
      </c>
      <c r="G107" s="2" t="inlineStr">
        <is>
          <t>Support Services for TS - New facilities established for more granular reporting and to reflect new structure for FY17. See facility named "NZ-Infrastructure Services" for historical data.</t>
        </is>
      </c>
      <c r="H107" s="2" t="inlineStr">
        <is>
          <t>122 Hokio Beach Road</t>
        </is>
      </c>
      <c r="I107" s="2" t="inlineStr">
        <is>
          <t>Levin</t>
        </is>
      </c>
      <c r="J107" s="2" t="inlineStr">
        <is>
          <t>Manawatu-Wanganui</t>
        </is>
      </c>
      <c r="K107" s="2" t="n">
        <v>7371</v>
      </c>
      <c r="L107" s="2" t="inlineStr">
        <is>
          <t>New Zealand</t>
        </is>
      </c>
      <c r="M107" s="2" t="inlineStr">
        <is>
          <t>Levin</t>
        </is>
      </c>
      <c r="N107" s="2" t="inlineStr">
        <is>
          <t>New Zealand</t>
        </is>
      </c>
      <c r="P107" s="2" t="inlineStr">
        <is>
          <t>Operational Control</t>
        </is>
      </c>
      <c r="Q107" s="2" t="inlineStr">
        <is>
          <t>Operational Control</t>
        </is>
      </c>
      <c r="R107" s="2" t="inlineStr">
        <is>
          <t>Transport &amp; Infrastructure (T&amp;I)</t>
        </is>
      </c>
      <c r="S107" s="2" t="inlineStr">
        <is>
          <t>Downer</t>
        </is>
      </c>
      <c r="T107" s="2" t="n">
        <v>100</v>
      </c>
      <c r="U107" s="2" t="inlineStr">
        <is>
          <t>1899/12/31</t>
        </is>
      </c>
      <c r="W107" s="2" t="inlineStr">
        <is>
          <t>Classification</t>
        </is>
      </c>
      <c r="X107" s="2" t="n">
        <v>-40.6251629999999</v>
      </c>
      <c r="Y107" s="2" t="n">
        <v>175.257604799999</v>
      </c>
      <c r="Z107" s="2" t="n">
        <v>729</v>
      </c>
      <c r="AA107" s="11" t="n">
        <v>42917</v>
      </c>
    </row>
    <row r="108">
      <c r="A108" s="2" t="inlineStr">
        <is>
          <t>Downer</t>
        </is>
      </c>
      <c r="B108" s="2" t="inlineStr">
        <is>
          <t>_CLOSED_Depot_T_Invercargill</t>
        </is>
      </c>
      <c r="C108" s="2" t="inlineStr">
        <is>
          <t>Other</t>
        </is>
      </c>
      <c r="D108" s="2" t="inlineStr">
        <is>
          <t>L9.DNZJ.55670</t>
        </is>
      </c>
      <c r="E108" s="2" t="n">
        <v>5035</v>
      </c>
      <c r="G108" s="2" t="inlineStr">
        <is>
          <t>Support Services for TS - New facilities established for more granular reporting and to reflect new structure for FY17. See facility named "NZ-Infrastructure Services" for historical data.</t>
        </is>
      </c>
      <c r="H108" s="2" t="inlineStr">
        <is>
          <t>159 Liddel Street, West Invercargill</t>
        </is>
      </c>
      <c r="I108" s="2" t="inlineStr">
        <is>
          <t>Invercargill</t>
        </is>
      </c>
      <c r="J108" s="2" t="inlineStr">
        <is>
          <t>Southland</t>
        </is>
      </c>
      <c r="K108" s="2" t="n">
        <v>6035</v>
      </c>
      <c r="L108" s="2" t="inlineStr">
        <is>
          <t>New Zealand</t>
        </is>
      </c>
      <c r="M108" s="2" t="inlineStr">
        <is>
          <t>Invercargill</t>
        </is>
      </c>
      <c r="N108" s="2" t="inlineStr">
        <is>
          <t>New Zealand</t>
        </is>
      </c>
      <c r="P108" s="2" t="inlineStr">
        <is>
          <t>Operational Control</t>
        </is>
      </c>
      <c r="Q108" s="2" t="inlineStr">
        <is>
          <t>Operational Control</t>
        </is>
      </c>
      <c r="R108" s="2" t="inlineStr">
        <is>
          <t>Transport &amp; Infrastructure (T&amp;I)</t>
        </is>
      </c>
      <c r="S108" s="2" t="inlineStr">
        <is>
          <t>Downer</t>
        </is>
      </c>
      <c r="T108" s="2" t="n">
        <v>100</v>
      </c>
      <c r="U108" s="2" t="inlineStr">
        <is>
          <t>1899/12/31</t>
        </is>
      </c>
      <c r="W108" s="2" t="inlineStr">
        <is>
          <t>Classification</t>
        </is>
      </c>
      <c r="X108" s="2" t="n">
        <v>-46.4214029</v>
      </c>
      <c r="Y108" s="2" t="n">
        <v>168.3453492</v>
      </c>
      <c r="Z108" s="2" t="n">
        <v>729</v>
      </c>
      <c r="AA108" s="11" t="n">
        <v>42917</v>
      </c>
    </row>
    <row r="109">
      <c r="A109" s="2" t="inlineStr">
        <is>
          <t>Downer</t>
        </is>
      </c>
      <c r="B109" s="2" t="inlineStr">
        <is>
          <t>_CLOSED_Depot_T_Kaikaoura</t>
        </is>
      </c>
      <c r="C109" s="2" t="inlineStr">
        <is>
          <t>Other</t>
        </is>
      </c>
      <c r="D109" s="2" t="inlineStr">
        <is>
          <t>L9.DNZJ.55626</t>
        </is>
      </c>
      <c r="E109" s="2" t="n">
        <v>5036</v>
      </c>
      <c r="G109" s="2" t="inlineStr">
        <is>
          <t>Support Services for TS - New facilities established for more granular reporting and to reflect new structure for FY17. See facility named "NZ-Infrastructure Services" for historical data.</t>
        </is>
      </c>
      <c r="H109" s="2" t="inlineStr">
        <is>
          <t>Kowhai Ford Road, Kaikoura Flat</t>
        </is>
      </c>
      <c r="I109" s="2" t="inlineStr">
        <is>
          <t>Kaikoura</t>
        </is>
      </c>
      <c r="J109" s="2" t="inlineStr">
        <is>
          <t>Canterbury</t>
        </is>
      </c>
      <c r="K109" s="2" t="n">
        <v>9435</v>
      </c>
      <c r="L109" s="2" t="inlineStr">
        <is>
          <t>New Zealand</t>
        </is>
      </c>
      <c r="M109" s="2" t="inlineStr">
        <is>
          <t>Kaikoura</t>
        </is>
      </c>
      <c r="N109" s="2" t="inlineStr">
        <is>
          <t>New Zealand</t>
        </is>
      </c>
      <c r="P109" s="2" t="inlineStr">
        <is>
          <t>Operational Control</t>
        </is>
      </c>
      <c r="Q109" s="2" t="inlineStr">
        <is>
          <t>Operational Control</t>
        </is>
      </c>
      <c r="R109" s="2" t="inlineStr">
        <is>
          <t>Transport &amp; Infrastructure (T&amp;I)</t>
        </is>
      </c>
      <c r="S109" s="2" t="inlineStr">
        <is>
          <t>Downer</t>
        </is>
      </c>
      <c r="T109" s="2" t="n">
        <v>100</v>
      </c>
      <c r="U109" s="2" t="inlineStr">
        <is>
          <t>1899/12/31</t>
        </is>
      </c>
      <c r="W109" s="2" t="inlineStr">
        <is>
          <t>Classification</t>
        </is>
      </c>
      <c r="X109" s="2" t="n">
        <v>-42.3849678</v>
      </c>
      <c r="Y109" s="2" t="n">
        <v>173.6287984</v>
      </c>
      <c r="Z109" s="2" t="n">
        <v>729</v>
      </c>
      <c r="AA109" s="11" t="n">
        <v>42917</v>
      </c>
    </row>
    <row r="110">
      <c r="A110" s="2" t="inlineStr">
        <is>
          <t>Downer</t>
        </is>
      </c>
      <c r="B110" s="2" t="inlineStr">
        <is>
          <t>_CLOSED_Depot_T_Kiwi Point</t>
        </is>
      </c>
      <c r="C110" s="2" t="inlineStr">
        <is>
          <t>Other</t>
        </is>
      </c>
      <c r="D110" s="2" t="inlineStr">
        <is>
          <t>L9.DNZJ.55606</t>
        </is>
      </c>
      <c r="E110" s="2" t="n">
        <v>5037</v>
      </c>
      <c r="G110" s="2" t="inlineStr">
        <is>
          <t>Support Services for TS - New facilities established for more granular reporting and to reflect new structure for FY17. See facility named "NZ-Infrastructure Services" for historical data.</t>
        </is>
      </c>
      <c r="H110" s="2" t="inlineStr">
        <is>
          <t>Kiwi Point, 137 Centennial Highway, Ngauranga</t>
        </is>
      </c>
      <c r="I110" s="2" t="inlineStr">
        <is>
          <t>Wellington</t>
        </is>
      </c>
      <c r="J110" s="2" t="inlineStr">
        <is>
          <t>Wellington</t>
        </is>
      </c>
      <c r="K110" s="2" t="n">
        <v>9591</v>
      </c>
      <c r="L110" s="2" t="inlineStr">
        <is>
          <t>New Zealand</t>
        </is>
      </c>
      <c r="M110" s="2" t="inlineStr">
        <is>
          <t>Wellington</t>
        </is>
      </c>
      <c r="N110" s="2" t="inlineStr">
        <is>
          <t>New Zealand</t>
        </is>
      </c>
      <c r="P110" s="2" t="inlineStr">
        <is>
          <t>Operational Control</t>
        </is>
      </c>
      <c r="Q110" s="2" t="inlineStr">
        <is>
          <t>Operational Control</t>
        </is>
      </c>
      <c r="R110" s="2" t="inlineStr">
        <is>
          <t>Transport &amp; Infrastructure (T&amp;I)</t>
        </is>
      </c>
      <c r="S110" s="2" t="inlineStr">
        <is>
          <t>Downer</t>
        </is>
      </c>
      <c r="T110" s="2" t="n">
        <v>100</v>
      </c>
      <c r="U110" s="2" t="inlineStr">
        <is>
          <t>1899/12/31</t>
        </is>
      </c>
      <c r="W110" s="2" t="inlineStr">
        <is>
          <t>Classification</t>
        </is>
      </c>
      <c r="X110" s="2" t="n">
        <v>-41.237631</v>
      </c>
      <c r="Y110" s="2" t="n">
        <v>174.805085999999</v>
      </c>
      <c r="Z110" s="2" t="n">
        <v>729</v>
      </c>
      <c r="AA110" s="11" t="n">
        <v>42917</v>
      </c>
    </row>
    <row r="111">
      <c r="A111" s="2" t="inlineStr">
        <is>
          <t>Downer</t>
        </is>
      </c>
      <c r="B111" s="2" t="inlineStr">
        <is>
          <t>_CLOSED_Depot_T_Lawrence</t>
        </is>
      </c>
      <c r="C111" s="2" t="inlineStr">
        <is>
          <t>Other</t>
        </is>
      </c>
      <c r="D111" s="2" t="inlineStr">
        <is>
          <t>L9.DNZJ.55688</t>
        </is>
      </c>
      <c r="E111" s="2" t="n">
        <v>5039</v>
      </c>
      <c r="G111" s="2" t="inlineStr">
        <is>
          <t>Support Services for TS - New facilities established for more granular reporting and to reflect new structure for FY17. See facility named "NZ-Infrastructure Services" for historical data.</t>
        </is>
      </c>
      <c r="H111" s="2" t="inlineStr">
        <is>
          <t>36 Waipori Road, Lawrence Gabriels Gully</t>
        </is>
      </c>
      <c r="I111" s="2" t="inlineStr">
        <is>
          <t>Timaru</t>
        </is>
      </c>
      <c r="J111" s="2" t="inlineStr">
        <is>
          <t>Canterbury</t>
        </is>
      </c>
      <c r="K111" s="2" t="n">
        <v>4710</v>
      </c>
      <c r="L111" s="2" t="inlineStr">
        <is>
          <t>New Zealand</t>
        </is>
      </c>
      <c r="M111" s="2" t="inlineStr">
        <is>
          <t>Milton</t>
        </is>
      </c>
      <c r="N111" s="2" t="inlineStr">
        <is>
          <t>New Zealand</t>
        </is>
      </c>
      <c r="P111" s="2" t="inlineStr">
        <is>
          <t>Operational Control</t>
        </is>
      </c>
      <c r="Q111" s="2" t="inlineStr">
        <is>
          <t>Operational Control</t>
        </is>
      </c>
      <c r="R111" s="2" t="inlineStr">
        <is>
          <t>Transport &amp; Infrastructure (T&amp;I)</t>
        </is>
      </c>
      <c r="S111" s="2" t="inlineStr">
        <is>
          <t>Downer</t>
        </is>
      </c>
      <c r="T111" s="2" t="n">
        <v>100</v>
      </c>
      <c r="U111" s="2" t="inlineStr">
        <is>
          <t>1899/12/31</t>
        </is>
      </c>
      <c r="W111" s="2" t="inlineStr">
        <is>
          <t>Classification</t>
        </is>
      </c>
      <c r="X111" s="2" t="n">
        <v>-45.9085645</v>
      </c>
      <c r="Y111" s="2" t="n">
        <v>169.7007283</v>
      </c>
      <c r="Z111" s="2" t="n">
        <v>729</v>
      </c>
      <c r="AA111" s="11" t="n">
        <v>42917</v>
      </c>
    </row>
    <row r="112">
      <c r="A112" s="2" t="inlineStr">
        <is>
          <t>Downer</t>
        </is>
      </c>
      <c r="B112" s="2" t="inlineStr">
        <is>
          <t>_CLOSED_Depot_T_Lower Hutt</t>
        </is>
      </c>
      <c r="C112" s="2" t="inlineStr">
        <is>
          <t>Other</t>
        </is>
      </c>
      <c r="D112" s="2" t="inlineStr">
        <is>
          <t>L9.DNZJ.55601</t>
        </is>
      </c>
      <c r="E112" s="2" t="n">
        <v>5040</v>
      </c>
      <c r="G112" s="2" t="inlineStr">
        <is>
          <t>Support Services for TS - New facilities established for more granular reporting and to reflect new structure for FY17. See facility named "NZ-Infrastructure Services" for historical data.</t>
        </is>
      </c>
      <c r="H112" s="2" t="inlineStr">
        <is>
          <t>26A Bracken Street, Petone</t>
        </is>
      </c>
      <c r="I112" s="2" t="inlineStr">
        <is>
          <t>Lower Hutt</t>
        </is>
      </c>
      <c r="J112" s="2" t="inlineStr">
        <is>
          <t>Wellington</t>
        </is>
      </c>
      <c r="K112" s="2" t="n">
        <v>7730</v>
      </c>
      <c r="L112" s="2" t="inlineStr">
        <is>
          <t>New Zealand</t>
        </is>
      </c>
      <c r="M112" s="2" t="inlineStr">
        <is>
          <t>Lower Hutt</t>
        </is>
      </c>
      <c r="N112" s="2" t="inlineStr">
        <is>
          <t>New Zealand</t>
        </is>
      </c>
      <c r="P112" s="2" t="inlineStr">
        <is>
          <t>Operational Control</t>
        </is>
      </c>
      <c r="Q112" s="2" t="inlineStr">
        <is>
          <t>Operational Control</t>
        </is>
      </c>
      <c r="R112" s="2" t="inlineStr">
        <is>
          <t>Transport &amp; Infrastructure (T&amp;I)</t>
        </is>
      </c>
      <c r="S112" s="2" t="inlineStr">
        <is>
          <t>Downer</t>
        </is>
      </c>
      <c r="T112" s="2" t="n">
        <v>100</v>
      </c>
      <c r="U112" s="2" t="inlineStr">
        <is>
          <t>1899/12/31</t>
        </is>
      </c>
      <c r="W112" s="2" t="inlineStr">
        <is>
          <t>Classification</t>
        </is>
      </c>
      <c r="X112" s="2" t="n">
        <v>-41.2238344999999</v>
      </c>
      <c r="Y112" s="2" t="n">
        <v>174.896524199999</v>
      </c>
      <c r="Z112" s="2" t="n">
        <v>729</v>
      </c>
      <c r="AA112" s="11" t="n">
        <v>42917</v>
      </c>
    </row>
    <row r="113">
      <c r="A113" s="2" t="inlineStr">
        <is>
          <t>Downer</t>
        </is>
      </c>
      <c r="B113" s="2" t="inlineStr">
        <is>
          <t>_CLOSED_Depot_T_Marton</t>
        </is>
      </c>
      <c r="C113" s="2" t="inlineStr">
        <is>
          <t>Other</t>
        </is>
      </c>
      <c r="D113" s="2" t="inlineStr">
        <is>
          <t>L9.DNZJ.55752</t>
        </is>
      </c>
      <c r="E113" s="2" t="n">
        <v>5041</v>
      </c>
      <c r="G113" s="2" t="inlineStr">
        <is>
          <t>Support Services for TS - New facilities established for more granular reporting and to reflect new structure for FY17. See facility named "NZ-Infrastructure Services" for historical data.</t>
        </is>
      </c>
      <c r="H113" s="2" t="inlineStr">
        <is>
          <t>7 King Street</t>
        </is>
      </c>
      <c r="I113" s="2" t="inlineStr">
        <is>
          <t>Marton</t>
        </is>
      </c>
      <c r="J113" s="2" t="inlineStr">
        <is>
          <t>Manawatu-Wanganui</t>
        </is>
      </c>
      <c r="K113" s="2" t="n">
        <v>7081</v>
      </c>
      <c r="L113" s="2" t="inlineStr">
        <is>
          <t>New Zealand</t>
        </is>
      </c>
      <c r="M113" s="2" t="inlineStr">
        <is>
          <t>Bulls</t>
        </is>
      </c>
      <c r="N113" s="2" t="inlineStr">
        <is>
          <t>New Zealand</t>
        </is>
      </c>
      <c r="P113" s="2" t="inlineStr">
        <is>
          <t>Operational Control</t>
        </is>
      </c>
      <c r="Q113" s="2" t="inlineStr">
        <is>
          <t>Operational Control</t>
        </is>
      </c>
      <c r="R113" s="2" t="inlineStr">
        <is>
          <t>Transport &amp; Infrastructure (T&amp;I)</t>
        </is>
      </c>
      <c r="S113" s="2" t="inlineStr">
        <is>
          <t>Downer</t>
        </is>
      </c>
      <c r="T113" s="2" t="n">
        <v>100</v>
      </c>
      <c r="U113" s="2" t="inlineStr">
        <is>
          <t>1899/12/31</t>
        </is>
      </c>
      <c r="W113" s="2" t="inlineStr">
        <is>
          <t>Classification</t>
        </is>
      </c>
      <c r="X113" s="2" t="n">
        <v>-40.0865135</v>
      </c>
      <c r="Y113" s="2" t="n">
        <v>175.389476599999</v>
      </c>
      <c r="Z113" s="2" t="n">
        <v>729</v>
      </c>
      <c r="AA113" s="11" t="n">
        <v>42917</v>
      </c>
    </row>
    <row r="114">
      <c r="A114" s="2" t="inlineStr">
        <is>
          <t>Downer</t>
        </is>
      </c>
      <c r="B114" s="2" t="inlineStr">
        <is>
          <t>_CLOSED_Depot_T_Methven (Excell)</t>
        </is>
      </c>
      <c r="C114" s="2" t="inlineStr">
        <is>
          <t>Other</t>
        </is>
      </c>
      <c r="D114" s="2" t="inlineStr">
        <is>
          <t>L9.DNZJ.55643</t>
        </is>
      </c>
      <c r="E114" s="2" t="n">
        <v>5042</v>
      </c>
      <c r="G114" s="2" t="inlineStr">
        <is>
          <t>Support Services for TS - New facilities established for more granular reporting and to reflect new structure for FY17. See facility named "NZ-Infrastructure Services" for historical data.</t>
        </is>
      </c>
      <c r="H114" s="2" t="inlineStr">
        <is>
          <t>62 Racecourse Avenue</t>
        </is>
      </c>
      <c r="I114" s="2" t="inlineStr">
        <is>
          <t>Methven</t>
        </is>
      </c>
      <c r="J114" s="2" t="inlineStr">
        <is>
          <t>Canterbury</t>
        </is>
      </c>
      <c r="K114" s="2" t="n">
        <v>4312</v>
      </c>
      <c r="L114" s="2" t="inlineStr">
        <is>
          <t>New Zealand</t>
        </is>
      </c>
      <c r="M114" s="2" t="inlineStr">
        <is>
          <t>Methven</t>
        </is>
      </c>
      <c r="N114" s="2" t="inlineStr">
        <is>
          <t>New Zealand</t>
        </is>
      </c>
      <c r="P114" s="2" t="inlineStr">
        <is>
          <t>Operational Control</t>
        </is>
      </c>
      <c r="Q114" s="2" t="inlineStr">
        <is>
          <t>Operational Control</t>
        </is>
      </c>
      <c r="R114" s="2" t="inlineStr">
        <is>
          <t>Transport &amp; Infrastructure (T&amp;I)</t>
        </is>
      </c>
      <c r="S114" s="2" t="inlineStr">
        <is>
          <t>Downer</t>
        </is>
      </c>
      <c r="T114" s="2" t="n">
        <v>100</v>
      </c>
      <c r="U114" s="2" t="inlineStr">
        <is>
          <t>1899/12/31</t>
        </is>
      </c>
      <c r="W114" s="2" t="inlineStr">
        <is>
          <t>Classification</t>
        </is>
      </c>
      <c r="X114" s="2" t="n">
        <v>-43.6259763</v>
      </c>
      <c r="Y114" s="2" t="n">
        <v>171.6403076</v>
      </c>
      <c r="Z114" s="2" t="n">
        <v>729</v>
      </c>
      <c r="AA114" s="11" t="n">
        <v>42917</v>
      </c>
    </row>
    <row r="115">
      <c r="A115" s="2" t="inlineStr">
        <is>
          <t>Downer</t>
        </is>
      </c>
      <c r="B115" s="2" t="inlineStr">
        <is>
          <t>_CLOSED_Depot_T_Nelson</t>
        </is>
      </c>
      <c r="C115" s="2" t="inlineStr">
        <is>
          <t>Other</t>
        </is>
      </c>
      <c r="D115" s="2" t="inlineStr">
        <is>
          <t>L9.DNZJ.55610</t>
        </is>
      </c>
      <c r="E115" s="2" t="n">
        <v>5043</v>
      </c>
      <c r="G115" s="2" t="inlineStr">
        <is>
          <t>Support Services for TS - New facilities established for more granular reporting and to reflect new structure for FY17. See facility named "NZ-Infrastructure Services" for historical data.</t>
        </is>
      </c>
      <c r="H115" s="2" t="inlineStr">
        <is>
          <t>4/750 Lower Queen St</t>
        </is>
      </c>
      <c r="I115" s="2" t="inlineStr">
        <is>
          <t>Richmond</t>
        </is>
      </c>
      <c r="J115" s="2" t="inlineStr">
        <is>
          <t>Nelson</t>
        </is>
      </c>
      <c r="K115" s="2" t="n">
        <v>9412</v>
      </c>
      <c r="L115" s="2" t="inlineStr">
        <is>
          <t>New Zealand</t>
        </is>
      </c>
      <c r="M115" s="2" t="inlineStr">
        <is>
          <t>Mapua</t>
        </is>
      </c>
      <c r="N115" s="2" t="inlineStr">
        <is>
          <t>New Zealand</t>
        </is>
      </c>
      <c r="P115" s="2" t="inlineStr">
        <is>
          <t>Operational Control</t>
        </is>
      </c>
      <c r="Q115" s="2" t="inlineStr">
        <is>
          <t>Operational Control</t>
        </is>
      </c>
      <c r="R115" s="2" t="inlineStr">
        <is>
          <t>Transport &amp; Infrastructure (T&amp;I)</t>
        </is>
      </c>
      <c r="S115" s="2" t="inlineStr">
        <is>
          <t>Downer</t>
        </is>
      </c>
      <c r="T115" s="2" t="n">
        <v>100</v>
      </c>
      <c r="U115" s="2" t="inlineStr">
        <is>
          <t>1899/12/31</t>
        </is>
      </c>
      <c r="W115" s="2" t="inlineStr">
        <is>
          <t>Classification</t>
        </is>
      </c>
      <c r="X115" s="2" t="n">
        <v>-41.307521</v>
      </c>
      <c r="Y115" s="2" t="n">
        <v>173.152852</v>
      </c>
      <c r="Z115" s="2" t="n">
        <v>729</v>
      </c>
      <c r="AA115" s="11" t="n">
        <v>42917</v>
      </c>
    </row>
    <row r="116">
      <c r="A116" s="2" t="inlineStr">
        <is>
          <t>Downer</t>
        </is>
      </c>
      <c r="B116" s="2" t="inlineStr">
        <is>
          <t>_CLOSED_Depot_T_New Plymouth</t>
        </is>
      </c>
      <c r="C116" s="2" t="inlineStr">
        <is>
          <t>Other</t>
        </is>
      </c>
      <c r="D116" s="2" t="inlineStr">
        <is>
          <t>L9.DNZJ.55572</t>
        </is>
      </c>
      <c r="E116" s="2" t="n">
        <v>5044</v>
      </c>
      <c r="G116" s="2" t="inlineStr">
        <is>
          <t>Support Services for TS - New facilities established for more granular reporting and to reflect new structure for FY17. See facility named "NZ-Infrastructure Services" for historical data.</t>
        </is>
      </c>
      <c r="H116" s="2" t="inlineStr">
        <is>
          <t>106 Rifle Range Rd, Waiwhakaiho</t>
        </is>
      </c>
      <c r="I116" s="2" t="inlineStr">
        <is>
          <t>New Plymouth</t>
        </is>
      </c>
      <c r="J116" s="2" t="inlineStr">
        <is>
          <t>Taranaki</t>
        </is>
      </c>
      <c r="K116" s="2" t="n">
        <v>3600</v>
      </c>
      <c r="L116" s="2" t="inlineStr">
        <is>
          <t>New Zealand</t>
        </is>
      </c>
      <c r="M116" s="2" t="inlineStr">
        <is>
          <t>New Plymouth</t>
        </is>
      </c>
      <c r="N116" s="2" t="inlineStr">
        <is>
          <t>New Zealand</t>
        </is>
      </c>
      <c r="P116" s="2" t="inlineStr">
        <is>
          <t>Operational Control</t>
        </is>
      </c>
      <c r="Q116" s="2" t="inlineStr">
        <is>
          <t>Operational Control</t>
        </is>
      </c>
      <c r="R116" s="2" t="inlineStr">
        <is>
          <t>Transport &amp; Infrastructure (T&amp;I)</t>
        </is>
      </c>
      <c r="S116" s="2" t="inlineStr">
        <is>
          <t>Downer</t>
        </is>
      </c>
      <c r="T116" s="2" t="n">
        <v>100</v>
      </c>
      <c r="U116" s="2" t="inlineStr">
        <is>
          <t>1899/12/31</t>
        </is>
      </c>
      <c r="W116" s="2" t="inlineStr">
        <is>
          <t>Classification</t>
        </is>
      </c>
      <c r="X116" s="2" t="n">
        <v>-39.042342</v>
      </c>
      <c r="Y116" s="2" t="n">
        <v>174.119168299999</v>
      </c>
      <c r="Z116" s="2" t="n">
        <v>729</v>
      </c>
      <c r="AA116" s="11" t="n">
        <v>42917</v>
      </c>
    </row>
    <row r="117">
      <c r="A117" s="2" t="inlineStr">
        <is>
          <t>Downer</t>
        </is>
      </c>
      <c r="B117" s="2" t="inlineStr">
        <is>
          <t>_CLOSED_Depot_T_Oamaru</t>
        </is>
      </c>
      <c r="C117" s="2" t="inlineStr">
        <is>
          <t>Depot</t>
        </is>
      </c>
      <c r="D117" s="2" t="inlineStr">
        <is>
          <t>L9.DNZJ.55684</t>
        </is>
      </c>
      <c r="E117" s="2" t="n">
        <v>5289</v>
      </c>
      <c r="G117" s="2" t="inlineStr">
        <is>
          <t>Support Services for TS - New facilities established in FY19</t>
        </is>
      </c>
      <c r="M117" s="2" t="inlineStr">
        <is>
          <t>Oamaru</t>
        </is>
      </c>
      <c r="N117" s="2" t="inlineStr">
        <is>
          <t>New Zealand</t>
        </is>
      </c>
      <c r="P117" s="2" t="inlineStr">
        <is>
          <t>Operational Control</t>
        </is>
      </c>
      <c r="Q117" s="2" t="inlineStr">
        <is>
          <t>Operational Control</t>
        </is>
      </c>
      <c r="R117" s="2" t="inlineStr">
        <is>
          <t>Transport &amp; Infrastructure (T&amp;I)</t>
        </is>
      </c>
      <c r="S117" s="2" t="inlineStr">
        <is>
          <t>Downer</t>
        </is>
      </c>
      <c r="T117" s="2" t="n">
        <v>100</v>
      </c>
      <c r="U117" s="2" t="inlineStr">
        <is>
          <t>1899/12/31</t>
        </is>
      </c>
      <c r="W117" s="2" t="inlineStr">
        <is>
          <t>Classification</t>
        </is>
      </c>
    </row>
    <row r="118">
      <c r="A118" s="2" t="inlineStr">
        <is>
          <t>Downer</t>
        </is>
      </c>
      <c r="B118" s="2" t="inlineStr">
        <is>
          <t>_CLOSED_Depot_T_Omarama (Excell)</t>
        </is>
      </c>
      <c r="C118" s="2" t="inlineStr">
        <is>
          <t>Other</t>
        </is>
      </c>
      <c r="D118" s="2" t="inlineStr">
        <is>
          <t>L9.DNZJ.55908</t>
        </is>
      </c>
      <c r="E118" s="2" t="n">
        <v>5045</v>
      </c>
      <c r="G118" s="2" t="inlineStr">
        <is>
          <t>Support Services for TS - New facilities established for more granular reporting and to reflect new structure for FY17. See facility named "NZ-Infrastructure Services" for historical data.</t>
        </is>
      </c>
      <c r="H118" s="2" t="inlineStr">
        <is>
          <t>57 Chain Hills Highway</t>
        </is>
      </c>
      <c r="I118" s="2" t="inlineStr">
        <is>
          <t>Omarama</t>
        </is>
      </c>
      <c r="J118" s="2" t="inlineStr">
        <is>
          <t>Canterbury</t>
        </is>
      </c>
      <c r="K118" s="2" t="n">
        <v>9431</v>
      </c>
      <c r="L118" s="2" t="inlineStr">
        <is>
          <t>New Zealand</t>
        </is>
      </c>
      <c r="M118" s="2" t="inlineStr">
        <is>
          <t>Omarama</t>
        </is>
      </c>
      <c r="N118" s="2" t="inlineStr">
        <is>
          <t>New Zealand</t>
        </is>
      </c>
      <c r="P118" s="2" t="inlineStr">
        <is>
          <t>Operational Control</t>
        </is>
      </c>
      <c r="Q118" s="2" t="inlineStr">
        <is>
          <t>Operational Control</t>
        </is>
      </c>
      <c r="R118" s="2" t="inlineStr">
        <is>
          <t>Transport &amp; Infrastructure (T&amp;I)</t>
        </is>
      </c>
      <c r="S118" s="2" t="inlineStr">
        <is>
          <t>Downer</t>
        </is>
      </c>
      <c r="T118" s="2" t="n">
        <v>100</v>
      </c>
      <c r="U118" s="2" t="inlineStr">
        <is>
          <t>1899/12/31</t>
        </is>
      </c>
      <c r="W118" s="2" t="inlineStr">
        <is>
          <t>Classification</t>
        </is>
      </c>
      <c r="X118" s="2" t="n">
        <v>-44.4897342999999</v>
      </c>
      <c r="Y118" s="2" t="n">
        <v>169.971264199999</v>
      </c>
      <c r="Z118" s="2" t="n">
        <v>729</v>
      </c>
      <c r="AA118" s="11" t="n">
        <v>42917</v>
      </c>
    </row>
    <row r="119">
      <c r="A119" s="2" t="inlineStr">
        <is>
          <t>Downer</t>
        </is>
      </c>
      <c r="B119" s="2" t="inlineStr">
        <is>
          <t>_CLOSED_Depot_T_Paeroa</t>
        </is>
      </c>
      <c r="C119" s="2" t="inlineStr">
        <is>
          <t>Other</t>
        </is>
      </c>
      <c r="D119" s="2" t="inlineStr">
        <is>
          <t>L9.DNZJ.55552</t>
        </is>
      </c>
      <c r="E119" s="2" t="n">
        <v>5046</v>
      </c>
      <c r="G119" s="2" t="inlineStr">
        <is>
          <t>Support Services for TS - New facilities established for more granular reporting and to reflect new structure for FY17. See facility named "NZ-Infrastructure Services" for historical data.</t>
        </is>
      </c>
      <c r="H119" s="2" t="inlineStr">
        <is>
          <t>1-11 Grey Street</t>
        </is>
      </c>
      <c r="I119" s="2" t="inlineStr">
        <is>
          <t>Paeroa</t>
        </is>
      </c>
      <c r="J119" s="2" t="inlineStr">
        <is>
          <t>Waikato</t>
        </is>
      </c>
      <c r="K119" s="2" t="n">
        <v>4478</v>
      </c>
      <c r="L119" s="2" t="inlineStr">
        <is>
          <t>New Zealand</t>
        </is>
      </c>
      <c r="M119" s="2" t="inlineStr">
        <is>
          <t>Paeroa</t>
        </is>
      </c>
      <c r="N119" s="2" t="inlineStr">
        <is>
          <t>New Zealand</t>
        </is>
      </c>
      <c r="P119" s="2" t="inlineStr">
        <is>
          <t>Operational Control</t>
        </is>
      </c>
      <c r="Q119" s="2" t="inlineStr">
        <is>
          <t>Operational Control</t>
        </is>
      </c>
      <c r="R119" s="2" t="inlineStr">
        <is>
          <t>Transport &amp; Infrastructure (T&amp;I)</t>
        </is>
      </c>
      <c r="S119" s="2" t="inlineStr">
        <is>
          <t>Downer</t>
        </is>
      </c>
      <c r="T119" s="2" t="n">
        <v>100</v>
      </c>
      <c r="U119" s="2" t="inlineStr">
        <is>
          <t>1899/12/31</t>
        </is>
      </c>
      <c r="W119" s="2" t="inlineStr">
        <is>
          <t>Classification</t>
        </is>
      </c>
      <c r="X119" s="2" t="n">
        <v>-37.3746564</v>
      </c>
      <c r="Y119" s="2" t="n">
        <v>175.662224299999</v>
      </c>
      <c r="Z119" s="2" t="n">
        <v>729</v>
      </c>
      <c r="AA119" s="11" t="n">
        <v>42917</v>
      </c>
    </row>
    <row r="120">
      <c r="A120" s="2" t="inlineStr">
        <is>
          <t>Downer</t>
        </is>
      </c>
      <c r="B120" s="2" t="inlineStr">
        <is>
          <t>_CLOSED_Depot_T_Palmerston</t>
        </is>
      </c>
      <c r="C120" s="2" t="inlineStr">
        <is>
          <t>Other</t>
        </is>
      </c>
      <c r="D120" s="2" t="inlineStr">
        <is>
          <t>L9.DNZJ.55550</t>
        </is>
      </c>
      <c r="E120" s="2" t="n">
        <v>5047</v>
      </c>
      <c r="G120" s="2" t="inlineStr">
        <is>
          <t>Support Services for TS - New facilities established for more granular reporting and to reflect new structure for FY17. See facility named "NZ-Infrastructure Services" for historical data.</t>
        </is>
      </c>
      <c r="H120" s="2" t="inlineStr">
        <is>
          <t>1192 Goodwood Road</t>
        </is>
      </c>
      <c r="I120" s="2" t="inlineStr">
        <is>
          <t>Palmerston</t>
        </is>
      </c>
      <c r="J120" s="2" t="inlineStr">
        <is>
          <t>Otago</t>
        </is>
      </c>
      <c r="K120" s="2" t="n">
        <v>1061</v>
      </c>
      <c r="L120" s="2" t="inlineStr">
        <is>
          <t>New Zealand</t>
        </is>
      </c>
      <c r="M120" s="2" t="inlineStr">
        <is>
          <t>Karitane</t>
        </is>
      </c>
      <c r="N120" s="2" t="inlineStr">
        <is>
          <t>New Zealand</t>
        </is>
      </c>
      <c r="P120" s="2" t="inlineStr">
        <is>
          <t>Operational Control</t>
        </is>
      </c>
      <c r="Q120" s="2" t="inlineStr">
        <is>
          <t>Operational Control</t>
        </is>
      </c>
      <c r="R120" s="2" t="inlineStr">
        <is>
          <t>Transport &amp; Infrastructure (T&amp;I)</t>
        </is>
      </c>
      <c r="S120" s="2" t="inlineStr">
        <is>
          <t>Downer</t>
        </is>
      </c>
      <c r="T120" s="2" t="n">
        <v>100</v>
      </c>
      <c r="U120" s="2" t="inlineStr">
        <is>
          <t>1899/12/31</t>
        </is>
      </c>
      <c r="W120" s="2" t="inlineStr">
        <is>
          <t>Classification</t>
        </is>
      </c>
      <c r="X120" s="2" t="n">
        <v>-45.4889187</v>
      </c>
      <c r="Y120" s="2" t="n">
        <v>170.7152249</v>
      </c>
      <c r="Z120" s="2" t="n">
        <v>729</v>
      </c>
      <c r="AA120" s="11" t="n">
        <v>42917</v>
      </c>
    </row>
    <row r="121">
      <c r="A121" s="2" t="inlineStr">
        <is>
          <t>Downer</t>
        </is>
      </c>
      <c r="B121" s="2" t="inlineStr">
        <is>
          <t>_CLOSED_Depot_T_Palmerston North</t>
        </is>
      </c>
      <c r="C121" s="2" t="inlineStr">
        <is>
          <t>Other</t>
        </is>
      </c>
      <c r="D121" s="2" t="inlineStr">
        <is>
          <t>L9.DNZJ.55590</t>
        </is>
      </c>
      <c r="E121" s="2" t="n">
        <v>5048</v>
      </c>
      <c r="G121" s="2" t="inlineStr">
        <is>
          <t>Support Services for TS - New facilities established for more granular reporting and to reflect new structure for FY17. See facility named "NZ-Infrastructure Services" for historical data.</t>
        </is>
      </c>
      <c r="H121" s="2" t="inlineStr">
        <is>
          <t>5 Valor Drive</t>
        </is>
      </c>
      <c r="I121" s="2" t="inlineStr">
        <is>
          <t>Palmerston North</t>
        </is>
      </c>
      <c r="J121" s="2" t="inlineStr">
        <is>
          <t>Manawatu-Wanganui</t>
        </is>
      </c>
      <c r="K121" s="2" t="n">
        <v>7220</v>
      </c>
      <c r="L121" s="2" t="inlineStr">
        <is>
          <t>New Zealand</t>
        </is>
      </c>
      <c r="M121" s="2" t="inlineStr">
        <is>
          <t>Palmerston North</t>
        </is>
      </c>
      <c r="N121" s="2" t="inlineStr">
        <is>
          <t>New Zealand</t>
        </is>
      </c>
      <c r="P121" s="2" t="inlineStr">
        <is>
          <t>Operational Control</t>
        </is>
      </c>
      <c r="Q121" s="2" t="inlineStr">
        <is>
          <t>Operational Control</t>
        </is>
      </c>
      <c r="R121" s="2" t="inlineStr">
        <is>
          <t>Transport &amp; Infrastructure (T&amp;I)</t>
        </is>
      </c>
      <c r="S121" s="2" t="inlineStr">
        <is>
          <t>Downer</t>
        </is>
      </c>
      <c r="T121" s="2" t="n">
        <v>100</v>
      </c>
      <c r="U121" s="2" t="inlineStr">
        <is>
          <t>1899/12/31</t>
        </is>
      </c>
      <c r="W121" s="2" t="inlineStr">
        <is>
          <t>Classification</t>
        </is>
      </c>
      <c r="X121" s="2" t="n">
        <v>-40.3161135</v>
      </c>
      <c r="Y121" s="2" t="n">
        <v>175.6247591</v>
      </c>
      <c r="Z121" s="2" t="n">
        <v>729</v>
      </c>
      <c r="AA121" s="11" t="n">
        <v>42917</v>
      </c>
    </row>
    <row r="122">
      <c r="A122" s="2" t="inlineStr">
        <is>
          <t>Downer</t>
        </is>
      </c>
      <c r="B122" s="2" t="inlineStr">
        <is>
          <t>_CLOSED_Depot_T_Penrose</t>
        </is>
      </c>
      <c r="C122" s="2" t="inlineStr">
        <is>
          <t>Other</t>
        </is>
      </c>
      <c r="D122" s="2" t="inlineStr">
        <is>
          <t>L9.DNZJ.55530</t>
        </is>
      </c>
      <c r="E122" s="2" t="n">
        <v>5049</v>
      </c>
      <c r="G122" s="2" t="inlineStr">
        <is>
          <t>Support Services for TS - New facilities established for more granular reporting and to reflect new structure for FY17. See facility named "NZ-Infrastructure Services" for historical data.</t>
        </is>
      </c>
      <c r="H122" s="2" t="inlineStr">
        <is>
          <t>645 Great South Rd, Penrose</t>
        </is>
      </c>
      <c r="I122" s="2" t="inlineStr">
        <is>
          <t>Auckland</t>
        </is>
      </c>
      <c r="J122" s="2" t="inlineStr">
        <is>
          <t>Auckland</t>
        </is>
      </c>
      <c r="K122" s="2" t="n">
        <v>9371</v>
      </c>
      <c r="L122" s="2" t="inlineStr">
        <is>
          <t>New Zealand</t>
        </is>
      </c>
      <c r="M122" s="2" t="inlineStr">
        <is>
          <t>Panmure</t>
        </is>
      </c>
      <c r="N122" s="2" t="inlineStr">
        <is>
          <t>New Zealand</t>
        </is>
      </c>
      <c r="P122" s="2" t="inlineStr">
        <is>
          <t>Operational Control</t>
        </is>
      </c>
      <c r="Q122" s="2" t="inlineStr">
        <is>
          <t>Operational Control</t>
        </is>
      </c>
      <c r="R122" s="2" t="inlineStr">
        <is>
          <t>Transport &amp; Infrastructure (T&amp;I)</t>
        </is>
      </c>
      <c r="S122" s="2" t="inlineStr">
        <is>
          <t>Downer</t>
        </is>
      </c>
      <c r="T122" s="2" t="n">
        <v>100</v>
      </c>
      <c r="U122" s="2" t="inlineStr">
        <is>
          <t>1899/12/31</t>
        </is>
      </c>
      <c r="W122" s="2" t="inlineStr">
        <is>
          <t>Classification</t>
        </is>
      </c>
      <c r="X122" s="2" t="n">
        <v>-36.9152136</v>
      </c>
      <c r="Y122" s="2" t="n">
        <v>174.820280899999</v>
      </c>
      <c r="Z122" s="2" t="n">
        <v>729</v>
      </c>
      <c r="AA122" s="11" t="n">
        <v>42917</v>
      </c>
    </row>
    <row r="123">
      <c r="A123" s="2" t="inlineStr">
        <is>
          <t>Downer</t>
        </is>
      </c>
      <c r="B123" s="2" t="inlineStr">
        <is>
          <t>_CLOSED_Depot_T_Picton</t>
        </is>
      </c>
      <c r="C123" s="2" t="inlineStr">
        <is>
          <t>Other</t>
        </is>
      </c>
      <c r="D123" s="2" t="inlineStr">
        <is>
          <t>L9.DNZJ.55628</t>
        </is>
      </c>
      <c r="E123" s="2" t="n">
        <v>5050</v>
      </c>
      <c r="G123" s="2" t="inlineStr">
        <is>
          <t>Support Services for TS - New facilities established for more granular reporting and to reflect new structure for FY17. See facility named "NZ-Infrastructure Services" for historical data.</t>
        </is>
      </c>
      <c r="H123" s="2" t="inlineStr">
        <is>
          <t>18 Devon Street</t>
        </is>
      </c>
      <c r="I123" s="2" t="inlineStr">
        <is>
          <t>Picton</t>
        </is>
      </c>
      <c r="J123" s="2" t="inlineStr">
        <is>
          <t>Marlborough</t>
        </is>
      </c>
      <c r="K123" s="2" t="n">
        <v>4632</v>
      </c>
      <c r="L123" s="2" t="inlineStr">
        <is>
          <t>New Zealand</t>
        </is>
      </c>
      <c r="M123" s="2" t="inlineStr">
        <is>
          <t>Picton</t>
        </is>
      </c>
      <c r="N123" s="2" t="inlineStr">
        <is>
          <t>New Zealand</t>
        </is>
      </c>
      <c r="P123" s="2" t="inlineStr">
        <is>
          <t>Operational Control</t>
        </is>
      </c>
      <c r="Q123" s="2" t="inlineStr">
        <is>
          <t>Operational Control</t>
        </is>
      </c>
      <c r="R123" s="2" t="inlineStr">
        <is>
          <t>Transport &amp; Infrastructure (T&amp;I)</t>
        </is>
      </c>
      <c r="S123" s="2" t="inlineStr">
        <is>
          <t>Downer</t>
        </is>
      </c>
      <c r="T123" s="2" t="n">
        <v>100</v>
      </c>
      <c r="U123" s="2" t="inlineStr">
        <is>
          <t>1899/12/31</t>
        </is>
      </c>
      <c r="W123" s="2" t="inlineStr">
        <is>
          <t>Classification</t>
        </is>
      </c>
      <c r="X123" s="2" t="n">
        <v>-41.2924894</v>
      </c>
      <c r="Y123" s="2" t="n">
        <v>174.003523099999</v>
      </c>
      <c r="Z123" s="2" t="n">
        <v>729</v>
      </c>
      <c r="AA123" s="11" t="n">
        <v>42917</v>
      </c>
    </row>
    <row r="124">
      <c r="A124" s="2" t="inlineStr">
        <is>
          <t>Downer</t>
        </is>
      </c>
      <c r="B124" s="2" t="inlineStr">
        <is>
          <t>_CLOSED_Depot_T_Queenstown</t>
        </is>
      </c>
      <c r="C124" s="2" t="inlineStr">
        <is>
          <t>Other</t>
        </is>
      </c>
      <c r="D124" s="2" t="inlineStr">
        <is>
          <t>L9.DNZJ.55680</t>
        </is>
      </c>
      <c r="E124" s="2" t="n">
        <v>5051</v>
      </c>
      <c r="G124" s="2" t="inlineStr">
        <is>
          <t>Support Services for TS - New facilities established for more granular reporting and to reflect new structure for FY17. See facility named "NZ-Infrastructure Services" for historical data.</t>
        </is>
      </c>
      <c r="H124" s="2" t="inlineStr">
        <is>
          <t>7 Jock Boyd Place, Frankton</t>
        </is>
      </c>
      <c r="I124" s="2" t="inlineStr">
        <is>
          <t>Queenstown</t>
        </is>
      </c>
      <c r="J124" s="2" t="inlineStr">
        <is>
          <t>Otago</t>
        </is>
      </c>
      <c r="K124" s="2" t="n">
        <v>7471</v>
      </c>
      <c r="L124" s="2" t="inlineStr">
        <is>
          <t>New Zealand</t>
        </is>
      </c>
      <c r="M124" s="2" t="inlineStr">
        <is>
          <t>Queenstown</t>
        </is>
      </c>
      <c r="N124" s="2" t="inlineStr">
        <is>
          <t>New Zealand</t>
        </is>
      </c>
      <c r="P124" s="2" t="inlineStr">
        <is>
          <t>Operational Control</t>
        </is>
      </c>
      <c r="Q124" s="2" t="inlineStr">
        <is>
          <t>Operational Control</t>
        </is>
      </c>
      <c r="R124" s="2" t="inlineStr">
        <is>
          <t>Transport &amp; Infrastructure (T&amp;I)</t>
        </is>
      </c>
      <c r="S124" s="2" t="inlineStr">
        <is>
          <t>Downer</t>
        </is>
      </c>
      <c r="T124" s="2" t="n">
        <v>100</v>
      </c>
      <c r="U124" s="2" t="inlineStr">
        <is>
          <t>1899/12/31</t>
        </is>
      </c>
      <c r="W124" s="2" t="inlineStr">
        <is>
          <t>Classification</t>
        </is>
      </c>
      <c r="X124" s="2" t="n">
        <v>-45.0060231</v>
      </c>
      <c r="Y124" s="2" t="n">
        <v>168.7504003</v>
      </c>
      <c r="Z124" s="2" t="n">
        <v>729</v>
      </c>
      <c r="AA124" s="11" t="n">
        <v>42917</v>
      </c>
    </row>
    <row r="125">
      <c r="A125" s="2" t="inlineStr">
        <is>
          <t>Downer</t>
        </is>
      </c>
      <c r="B125" s="2" t="inlineStr">
        <is>
          <t>_CLOSED_Depot_T_Raetihi</t>
        </is>
      </c>
      <c r="C125" s="2" t="inlineStr">
        <is>
          <t>Other</t>
        </is>
      </c>
      <c r="D125" s="2" t="inlineStr">
        <is>
          <t>L9.DNZJ.55560</t>
        </is>
      </c>
      <c r="E125" s="2" t="n">
        <v>5052</v>
      </c>
      <c r="G125" s="2" t="inlineStr">
        <is>
          <t>Support Services for TS - New facilities established for more granular reporting and to reflect new structure for FY17. See facility named "NZ-Infrastructure Services" for historical data.</t>
        </is>
      </c>
      <c r="H125" s="2" t="inlineStr">
        <is>
          <t>1 George Street</t>
        </is>
      </c>
      <c r="I125" s="2" t="inlineStr">
        <is>
          <t>Raetihi</t>
        </is>
      </c>
      <c r="J125" s="2" t="inlineStr">
        <is>
          <t>Manawatu-Wanganui</t>
        </is>
      </c>
      <c r="K125" s="2" t="n">
        <v>4332</v>
      </c>
      <c r="L125" s="2" t="inlineStr">
        <is>
          <t>New Zealand</t>
        </is>
      </c>
      <c r="M125" s="2" t="inlineStr">
        <is>
          <t>Waiouru</t>
        </is>
      </c>
      <c r="N125" s="2" t="inlineStr">
        <is>
          <t>New Zealand</t>
        </is>
      </c>
      <c r="P125" s="2" t="inlineStr">
        <is>
          <t>Operational Control</t>
        </is>
      </c>
      <c r="Q125" s="2" t="inlineStr">
        <is>
          <t>Operational Control</t>
        </is>
      </c>
      <c r="R125" s="2" t="inlineStr">
        <is>
          <t>Transport &amp; Infrastructure (T&amp;I)</t>
        </is>
      </c>
      <c r="S125" s="2" t="inlineStr">
        <is>
          <t>Downer</t>
        </is>
      </c>
      <c r="T125" s="2" t="n">
        <v>100</v>
      </c>
      <c r="U125" s="2" t="inlineStr">
        <is>
          <t>1899/12/31</t>
        </is>
      </c>
      <c r="W125" s="2" t="inlineStr">
        <is>
          <t>Classification</t>
        </is>
      </c>
      <c r="X125" s="2" t="n">
        <v>-39.4325065</v>
      </c>
      <c r="Y125" s="2" t="n">
        <v>175.281656699999</v>
      </c>
      <c r="Z125" s="2" t="n">
        <v>729</v>
      </c>
      <c r="AA125" s="11" t="n">
        <v>42917</v>
      </c>
    </row>
    <row r="126">
      <c r="A126" s="2" t="inlineStr">
        <is>
          <t>Downer</t>
        </is>
      </c>
      <c r="B126" s="2" t="inlineStr">
        <is>
          <t>_CLOSED_Depot_T_Stratford</t>
        </is>
      </c>
      <c r="C126" s="2" t="inlineStr">
        <is>
          <t>Other</t>
        </is>
      </c>
      <c r="D126" s="2" t="inlineStr">
        <is>
          <t>L9.DNZJ.55574</t>
        </is>
      </c>
      <c r="E126" s="2" t="n">
        <v>5054</v>
      </c>
      <c r="G126" s="2" t="inlineStr">
        <is>
          <t>Support Services for TS - New facilities established for more granular reporting and to reflect new structure for FY17. See facility named "NZ-Infrastructure Services" for historical data.</t>
        </is>
      </c>
      <c r="H126" s="2" t="inlineStr">
        <is>
          <t>134-136 Orlando Street</t>
        </is>
      </c>
      <c r="I126" s="2" t="inlineStr">
        <is>
          <t>Stratford</t>
        </is>
      </c>
      <c r="J126" s="2" t="inlineStr">
        <is>
          <t>Taranaki</t>
        </is>
      </c>
      <c r="K126" s="2" t="n">
        <v>3920</v>
      </c>
      <c r="L126" s="2" t="inlineStr">
        <is>
          <t>New Zealand</t>
        </is>
      </c>
      <c r="M126" s="2" t="inlineStr">
        <is>
          <t>Eltham</t>
        </is>
      </c>
      <c r="N126" s="2" t="inlineStr">
        <is>
          <t>New Zealand</t>
        </is>
      </c>
      <c r="P126" s="2" t="inlineStr">
        <is>
          <t>Operational Control</t>
        </is>
      </c>
      <c r="Q126" s="2" t="inlineStr">
        <is>
          <t>Operational Control</t>
        </is>
      </c>
      <c r="R126" s="2" t="inlineStr">
        <is>
          <t>Transport &amp; Infrastructure (T&amp;I)</t>
        </is>
      </c>
      <c r="S126" s="2" t="inlineStr">
        <is>
          <t>Downer</t>
        </is>
      </c>
      <c r="T126" s="2" t="n">
        <v>100</v>
      </c>
      <c r="U126" s="2" t="inlineStr">
        <is>
          <t>1899/12/31</t>
        </is>
      </c>
      <c r="W126" s="2" t="inlineStr">
        <is>
          <t>Classification</t>
        </is>
      </c>
      <c r="X126" s="2" t="n">
        <v>-39.3492798</v>
      </c>
      <c r="Y126" s="2" t="n">
        <v>174.2919713</v>
      </c>
      <c r="Z126" s="2" t="n">
        <v>729</v>
      </c>
      <c r="AA126" s="11" t="n">
        <v>42917</v>
      </c>
    </row>
    <row r="127">
      <c r="A127" s="2" t="inlineStr">
        <is>
          <t>Downer</t>
        </is>
      </c>
      <c r="B127" s="2" t="inlineStr">
        <is>
          <t>_CLOSED_Depot_T_Tararua</t>
        </is>
      </c>
      <c r="C127" s="2" t="inlineStr">
        <is>
          <t>Other</t>
        </is>
      </c>
      <c r="D127" s="2" t="inlineStr">
        <is>
          <t>L9.DNZJ.55755</t>
        </is>
      </c>
      <c r="E127" s="2" t="inlineStr">
        <is>
          <t>L9.DNZJ.55755</t>
        </is>
      </c>
      <c r="F127" s="2" t="inlineStr">
        <is>
          <t>L9.DNZJ.55755</t>
        </is>
      </c>
      <c r="G127" s="2" t="inlineStr">
        <is>
          <t>Support Services for TS - New facilities established for more granular reporting and to reflect new structure for FY17. See facility named "NZ-Infrastructure Services" for historical data.</t>
        </is>
      </c>
      <c r="H127" s="2" t="inlineStr">
        <is>
          <t>9 Oringi Rd</t>
        </is>
      </c>
      <c r="I127" s="2" t="inlineStr">
        <is>
          <t>Dannevirke, Tararua</t>
        </is>
      </c>
      <c r="J127" s="2" t="inlineStr">
        <is>
          <t>Manawatu-Wanganui</t>
        </is>
      </c>
      <c r="K127" s="2" t="n">
        <v>3330</v>
      </c>
      <c r="L127" s="2" t="inlineStr">
        <is>
          <t>New Zealand</t>
        </is>
      </c>
      <c r="M127" s="2" t="inlineStr">
        <is>
          <t>Palmerston North</t>
        </is>
      </c>
      <c r="N127" s="2" t="inlineStr">
        <is>
          <t>New Zealand</t>
        </is>
      </c>
      <c r="P127" s="2" t="inlineStr">
        <is>
          <t>Operational Control</t>
        </is>
      </c>
      <c r="Q127" s="2" t="inlineStr">
        <is>
          <t>Operational Control</t>
        </is>
      </c>
      <c r="R127" s="2" t="inlineStr">
        <is>
          <t>Transport &amp; Infrastructure (T&amp;I)</t>
        </is>
      </c>
      <c r="S127" s="2" t="inlineStr">
        <is>
          <t>Downer</t>
        </is>
      </c>
      <c r="T127" s="2" t="n">
        <v>100</v>
      </c>
      <c r="U127" s="2" t="inlineStr">
        <is>
          <t>1899/12/31</t>
        </is>
      </c>
      <c r="W127" s="2" t="inlineStr">
        <is>
          <t>Classification</t>
        </is>
      </c>
      <c r="X127" s="2" t="n">
        <v>-40.2631851</v>
      </c>
      <c r="Y127" s="2" t="n">
        <v>176.0311314</v>
      </c>
      <c r="Z127" s="2" t="n">
        <v>729</v>
      </c>
      <c r="AA127" s="11" t="n">
        <v>42917</v>
      </c>
    </row>
    <row r="128">
      <c r="A128" s="2" t="inlineStr">
        <is>
          <t>Downer</t>
        </is>
      </c>
      <c r="B128" s="2" t="inlineStr">
        <is>
          <t>_CLOSED_Depot_T_Taumarunui</t>
        </is>
      </c>
      <c r="C128" s="2" t="inlineStr">
        <is>
          <t>Other</t>
        </is>
      </c>
      <c r="D128" s="2" t="inlineStr">
        <is>
          <t>L9.DNZJ.55563</t>
        </is>
      </c>
      <c r="E128" s="2" t="n">
        <v>5056</v>
      </c>
      <c r="G128" s="2" t="inlineStr">
        <is>
          <t>Support Services for TS - New facilities established for more granular reporting and to reflect new structure for FY17. See facility named "NZ-Infrastructure Services" for historical data.</t>
        </is>
      </c>
      <c r="H128" s="2" t="inlineStr">
        <is>
          <t>58 Kururau Road</t>
        </is>
      </c>
      <c r="I128" s="2" t="inlineStr">
        <is>
          <t>Taumarunui</t>
        </is>
      </c>
      <c r="J128" s="2" t="inlineStr">
        <is>
          <t>Manawatu-Wanganui</t>
        </is>
      </c>
      <c r="K128" s="2" t="n">
        <v>3330</v>
      </c>
      <c r="L128" s="2" t="inlineStr">
        <is>
          <t>New Zealand</t>
        </is>
      </c>
      <c r="M128" s="2" t="inlineStr">
        <is>
          <t>Taumarunui</t>
        </is>
      </c>
      <c r="N128" s="2" t="inlineStr">
        <is>
          <t>New Zealand</t>
        </is>
      </c>
      <c r="P128" s="2" t="inlineStr">
        <is>
          <t>Operational Control</t>
        </is>
      </c>
      <c r="Q128" s="2" t="inlineStr">
        <is>
          <t>Operational Control</t>
        </is>
      </c>
      <c r="R128" s="2" t="inlineStr">
        <is>
          <t>Transport &amp; Infrastructure (T&amp;I)</t>
        </is>
      </c>
      <c r="S128" s="2" t="inlineStr">
        <is>
          <t>Downer</t>
        </is>
      </c>
      <c r="T128" s="2" t="n">
        <v>100</v>
      </c>
      <c r="U128" s="2" t="inlineStr">
        <is>
          <t>1899/12/31</t>
        </is>
      </c>
      <c r="W128" s="2" t="inlineStr">
        <is>
          <t>Classification</t>
        </is>
      </c>
      <c r="X128" s="2" t="n">
        <v>-38.8897055</v>
      </c>
      <c r="Y128" s="2" t="n">
        <v>175.246212499999</v>
      </c>
      <c r="Z128" s="2" t="n">
        <v>729</v>
      </c>
      <c r="AA128" s="11" t="n">
        <v>42917</v>
      </c>
    </row>
    <row r="129">
      <c r="A129" s="2" t="inlineStr">
        <is>
          <t>Downer</t>
        </is>
      </c>
      <c r="B129" s="2" t="inlineStr">
        <is>
          <t>_CLOSED_Depot_T_Taupo</t>
        </is>
      </c>
      <c r="C129" s="2" t="inlineStr">
        <is>
          <t>Other</t>
        </is>
      </c>
      <c r="D129" s="2" t="inlineStr">
        <is>
          <t>L9.DNZJ.55564</t>
        </is>
      </c>
      <c r="E129" s="2" t="n">
        <v>5057</v>
      </c>
      <c r="G129" s="2" t="inlineStr">
        <is>
          <t>Support Services for TS - New facilities established for more granular reporting and to reflect new structure for FY17. See facility named "NZ-Infrastructure Services" for historical data.</t>
        </is>
      </c>
      <c r="H129" s="2" t="inlineStr">
        <is>
          <t>11 Ashwood Avenue, Tuahara</t>
        </is>
      </c>
      <c r="I129" s="2" t="inlineStr">
        <is>
          <t>Taupo</t>
        </is>
      </c>
      <c r="J129" s="2" t="inlineStr">
        <is>
          <t>Waikato</t>
        </is>
      </c>
      <c r="K129" s="2" t="n">
        <v>3171</v>
      </c>
      <c r="L129" s="2" t="inlineStr">
        <is>
          <t>New Zealand</t>
        </is>
      </c>
      <c r="M129" s="2" t="inlineStr">
        <is>
          <t>Taupo</t>
        </is>
      </c>
      <c r="N129" s="2" t="inlineStr">
        <is>
          <t>New Zealand</t>
        </is>
      </c>
      <c r="P129" s="2" t="inlineStr">
        <is>
          <t>Operational Control</t>
        </is>
      </c>
      <c r="Q129" s="2" t="inlineStr">
        <is>
          <t>Operational Control</t>
        </is>
      </c>
      <c r="R129" s="2" t="inlineStr">
        <is>
          <t>Transport &amp; Infrastructure (T&amp;I)</t>
        </is>
      </c>
      <c r="S129" s="2" t="inlineStr">
        <is>
          <t>Downer</t>
        </is>
      </c>
      <c r="T129" s="2" t="n">
        <v>100</v>
      </c>
      <c r="U129" s="2" t="inlineStr">
        <is>
          <t>1899/12/31</t>
        </is>
      </c>
      <c r="W129" s="2" t="inlineStr">
        <is>
          <t>Classification</t>
        </is>
      </c>
      <c r="X129" s="2" t="n">
        <v>-38.6950471</v>
      </c>
      <c r="Y129" s="2" t="n">
        <v>176.1095006</v>
      </c>
      <c r="Z129" s="2" t="n">
        <v>729</v>
      </c>
      <c r="AA129" s="11" t="n">
        <v>42917</v>
      </c>
    </row>
    <row r="130">
      <c r="A130" s="2" t="inlineStr">
        <is>
          <t>Downer</t>
        </is>
      </c>
      <c r="B130" s="2" t="inlineStr">
        <is>
          <t>_CLOSED_Depot_T_Taupo (Mahoe St)</t>
        </is>
      </c>
      <c r="C130" s="2" t="inlineStr">
        <is>
          <t>Other</t>
        </is>
      </c>
      <c r="D130" s="2" t="inlineStr">
        <is>
          <t>L9.DNZJ.55615</t>
        </is>
      </c>
      <c r="E130" s="2" t="n">
        <v>5058</v>
      </c>
      <c r="G130" s="2" t="inlineStr">
        <is>
          <t>Support Services for TS - New facilities established for more granular reporting and to reflect new structure for FY17. See facility named "NZ-Infrastructure Services" for historical data.</t>
        </is>
      </c>
      <c r="H130" s="2" t="inlineStr">
        <is>
          <t>9/13 Mahoe Street, Tuahara</t>
        </is>
      </c>
      <c r="I130" s="2" t="inlineStr">
        <is>
          <t>Taupo</t>
        </is>
      </c>
      <c r="J130" s="2" t="inlineStr">
        <is>
          <t>Waikato</t>
        </is>
      </c>
      <c r="K130" s="2" t="n">
        <v>9600</v>
      </c>
      <c r="L130" s="2" t="inlineStr">
        <is>
          <t>New Zealand</t>
        </is>
      </c>
      <c r="M130" s="2" t="inlineStr">
        <is>
          <t>Taupo</t>
        </is>
      </c>
      <c r="N130" s="2" t="inlineStr">
        <is>
          <t>New Zealand</t>
        </is>
      </c>
      <c r="P130" s="2" t="inlineStr">
        <is>
          <t>Operational Control</t>
        </is>
      </c>
      <c r="Q130" s="2" t="inlineStr">
        <is>
          <t>Operational Control</t>
        </is>
      </c>
      <c r="R130" s="2" t="inlineStr">
        <is>
          <t>Transport &amp; Infrastructure (T&amp;I)</t>
        </is>
      </c>
      <c r="S130" s="2" t="inlineStr">
        <is>
          <t>Downer</t>
        </is>
      </c>
      <c r="T130" s="2" t="n">
        <v>100</v>
      </c>
      <c r="U130" s="2" t="inlineStr">
        <is>
          <t>1899/12/31</t>
        </is>
      </c>
      <c r="W130" s="2" t="inlineStr">
        <is>
          <t>Classification</t>
        </is>
      </c>
      <c r="X130" s="2" t="n">
        <v>-38.6920363</v>
      </c>
      <c r="Y130" s="2" t="n">
        <v>176.106111599999</v>
      </c>
      <c r="Z130" s="2" t="n">
        <v>729</v>
      </c>
      <c r="AA130" s="11" t="n">
        <v>42917</v>
      </c>
    </row>
    <row r="131">
      <c r="A131" s="2" t="inlineStr">
        <is>
          <t>Downer</t>
        </is>
      </c>
      <c r="B131" s="2" t="inlineStr">
        <is>
          <t>_CLOSED_Depot_T_Tauranga</t>
        </is>
      </c>
      <c r="C131" s="2" t="inlineStr">
        <is>
          <t>Other</t>
        </is>
      </c>
      <c r="D131" s="2" t="inlineStr">
        <is>
          <t>L9.DNZJ.55553</t>
        </is>
      </c>
      <c r="E131" s="2" t="n">
        <v>5059</v>
      </c>
      <c r="G131" s="2" t="inlineStr">
        <is>
          <t>Support Services for TS - New facilities established for more granular reporting and to reflect new structure for FY17. See facility named "NZ-Infrastructure Services" for historical data.</t>
        </is>
      </c>
      <c r="H131" s="2" t="inlineStr">
        <is>
          <t>58 Taurikura Drive, Tauriko</t>
        </is>
      </c>
      <c r="I131" s="2" t="inlineStr">
        <is>
          <t>Tauranga</t>
        </is>
      </c>
      <c r="J131" s="2" t="inlineStr">
        <is>
          <t>Bay of Plenty</t>
        </is>
      </c>
      <c r="K131" s="2" t="n">
        <v>3910</v>
      </c>
      <c r="L131" s="2" t="inlineStr">
        <is>
          <t>New Zealand</t>
        </is>
      </c>
      <c r="M131" s="2" t="inlineStr">
        <is>
          <t>Tauranga</t>
        </is>
      </c>
      <c r="N131" s="2" t="inlineStr">
        <is>
          <t>New Zealand</t>
        </is>
      </c>
      <c r="P131" s="2" t="inlineStr">
        <is>
          <t>Operational Control</t>
        </is>
      </c>
      <c r="Q131" s="2" t="inlineStr">
        <is>
          <t>Operational Control</t>
        </is>
      </c>
      <c r="R131" s="2" t="inlineStr">
        <is>
          <t>Transport &amp; Infrastructure (T&amp;I)</t>
        </is>
      </c>
      <c r="S131" s="2" t="inlineStr">
        <is>
          <t>Downer</t>
        </is>
      </c>
      <c r="T131" s="2" t="n">
        <v>100</v>
      </c>
      <c r="U131" s="2" t="inlineStr">
        <is>
          <t>1899/12/31</t>
        </is>
      </c>
      <c r="W131" s="2" t="inlineStr">
        <is>
          <t>Classification</t>
        </is>
      </c>
      <c r="X131" s="2" t="n">
        <v>-37.7421669999999</v>
      </c>
      <c r="Y131" s="2" t="n">
        <v>176.101698899999</v>
      </c>
      <c r="Z131" s="2" t="n">
        <v>729</v>
      </c>
      <c r="AA131" s="11" t="n">
        <v>42917</v>
      </c>
    </row>
    <row r="132">
      <c r="A132" s="2" t="inlineStr">
        <is>
          <t>Downer</t>
        </is>
      </c>
      <c r="B132" s="2" t="inlineStr">
        <is>
          <t>_CLOSED_Depot_T_Te Anau</t>
        </is>
      </c>
      <c r="C132" s="2" t="inlineStr">
        <is>
          <t>Other</t>
        </is>
      </c>
      <c r="D132" s="2" t="inlineStr">
        <is>
          <t>L9.DNZJ.55682</t>
        </is>
      </c>
      <c r="E132" s="2" t="n">
        <v>5060</v>
      </c>
      <c r="G132" s="2" t="inlineStr">
        <is>
          <t>Support Services for TS - New facilities established for more granular reporting and to reflect new structure for FY17. See facility named "NZ-Infrastructure Services" for historical data.</t>
        </is>
      </c>
      <c r="H132" s="2" t="inlineStr">
        <is>
          <t>29 Caswell Street</t>
        </is>
      </c>
      <c r="I132" s="2" t="inlineStr">
        <is>
          <t>Te Anau</t>
        </is>
      </c>
      <c r="J132" s="2" t="inlineStr">
        <is>
          <t>Southland</t>
        </is>
      </c>
      <c r="K132" s="2" t="n">
        <v>3500</v>
      </c>
      <c r="L132" s="2" t="inlineStr">
        <is>
          <t>New Zealand</t>
        </is>
      </c>
      <c r="M132" s="2" t="inlineStr">
        <is>
          <t>Te Anau</t>
        </is>
      </c>
      <c r="N132" s="2" t="inlineStr">
        <is>
          <t>New Zealand</t>
        </is>
      </c>
      <c r="P132" s="2" t="inlineStr">
        <is>
          <t>Operational Control</t>
        </is>
      </c>
      <c r="Q132" s="2" t="inlineStr">
        <is>
          <t>Operational Control</t>
        </is>
      </c>
      <c r="R132" s="2" t="inlineStr">
        <is>
          <t>Transport &amp; Infrastructure (T&amp;I)</t>
        </is>
      </c>
      <c r="S132" s="2" t="inlineStr">
        <is>
          <t>Downer</t>
        </is>
      </c>
      <c r="T132" s="2" t="n">
        <v>100</v>
      </c>
      <c r="U132" s="2" t="inlineStr">
        <is>
          <t>1899/12/31</t>
        </is>
      </c>
      <c r="W132" s="2" t="inlineStr">
        <is>
          <t>Classification</t>
        </is>
      </c>
      <c r="X132" s="2" t="n">
        <v>-45.4123894</v>
      </c>
      <c r="Y132" s="2" t="n">
        <v>167.7316005</v>
      </c>
      <c r="Z132" s="2" t="n">
        <v>729</v>
      </c>
      <c r="AA132" s="11" t="n">
        <v>42917</v>
      </c>
    </row>
    <row r="133">
      <c r="A133" s="2" t="inlineStr">
        <is>
          <t>Downer</t>
        </is>
      </c>
      <c r="B133" s="2" t="inlineStr">
        <is>
          <t>_CLOSED_Depot_T_Timaru</t>
        </is>
      </c>
      <c r="C133" s="2" t="inlineStr">
        <is>
          <t>Other</t>
        </is>
      </c>
      <c r="D133" s="2" t="inlineStr">
        <is>
          <t>L9.DNZJ.55652</t>
        </is>
      </c>
      <c r="E133" s="2" t="n">
        <v>5063</v>
      </c>
      <c r="G133" s="2" t="inlineStr">
        <is>
          <t>Support Services for TS - New facilities established for more granular reporting and to reflect new structure for FY17. See facility named "NZ-Infrastructure Services" for historical data.</t>
        </is>
      </c>
      <c r="H133" s="2" t="inlineStr">
        <is>
          <t>86 Meadows Rd, Washdyke</t>
        </is>
      </c>
      <c r="I133" s="2" t="inlineStr">
        <is>
          <t>Timaru</t>
        </is>
      </c>
      <c r="J133" s="2" t="inlineStr">
        <is>
          <t>Canterbury</t>
        </is>
      </c>
      <c r="K133" s="2" t="n">
        <v>7901</v>
      </c>
      <c r="L133" s="2" t="inlineStr">
        <is>
          <t>New Zealand</t>
        </is>
      </c>
      <c r="M133" s="2" t="inlineStr">
        <is>
          <t>Timaru</t>
        </is>
      </c>
      <c r="N133" s="2" t="inlineStr">
        <is>
          <t>New Zealand</t>
        </is>
      </c>
      <c r="P133" s="2" t="inlineStr">
        <is>
          <t>Operational Control</t>
        </is>
      </c>
      <c r="Q133" s="2" t="inlineStr">
        <is>
          <t>Operational Control</t>
        </is>
      </c>
      <c r="R133" s="2" t="inlineStr">
        <is>
          <t>Transport &amp; Infrastructure (T&amp;I)</t>
        </is>
      </c>
      <c r="S133" s="2" t="inlineStr">
        <is>
          <t>Downer</t>
        </is>
      </c>
      <c r="T133" s="2" t="n">
        <v>100</v>
      </c>
      <c r="U133" s="2" t="inlineStr">
        <is>
          <t>1899/12/31</t>
        </is>
      </c>
      <c r="W133" s="2" t="inlineStr">
        <is>
          <t>Classification</t>
        </is>
      </c>
      <c r="X133" s="2" t="n">
        <v>-44.3540933</v>
      </c>
      <c r="Y133" s="2" t="n">
        <v>171.246624699999</v>
      </c>
      <c r="Z133" s="2" t="n">
        <v>729</v>
      </c>
      <c r="AA133" s="11" t="n">
        <v>42917</v>
      </c>
    </row>
    <row r="134">
      <c r="A134" s="2" t="inlineStr">
        <is>
          <t>Downer</t>
        </is>
      </c>
      <c r="B134" s="2" t="inlineStr">
        <is>
          <t>_CLOSED_Depot_T_Tirau</t>
        </is>
      </c>
      <c r="C134" s="2" t="inlineStr">
        <is>
          <t>Other</t>
        </is>
      </c>
      <c r="D134" s="2" t="inlineStr">
        <is>
          <t>L9.DNZJ.55568</t>
        </is>
      </c>
      <c r="E134" s="2" t="n">
        <v>5064</v>
      </c>
      <c r="G134" s="2" t="inlineStr">
        <is>
          <t>Support Services for TS - New facilities established for more granular reporting and to reflect new structure for FY17. See facility named "NZ-Infrastructure Services" for historical data.</t>
        </is>
      </c>
      <c r="H134" s="2" t="inlineStr">
        <is>
          <t>25 Patetere Street</t>
        </is>
      </c>
      <c r="I134" s="2" t="inlineStr">
        <is>
          <t>Tirau</t>
        </is>
      </c>
      <c r="J134" s="2" t="inlineStr">
        <is>
          <t>Waikato</t>
        </is>
      </c>
      <c r="K134" s="2" t="n">
        <v>4108</v>
      </c>
      <c r="L134" s="2" t="inlineStr">
        <is>
          <t>New Zealand</t>
        </is>
      </c>
      <c r="M134" s="2" t="inlineStr">
        <is>
          <t>Tirau</t>
        </is>
      </c>
      <c r="N134" s="2" t="inlineStr">
        <is>
          <t>New Zealand</t>
        </is>
      </c>
      <c r="P134" s="2" t="inlineStr">
        <is>
          <t>Operational Control</t>
        </is>
      </c>
      <c r="Q134" s="2" t="inlineStr">
        <is>
          <t>Operational Control</t>
        </is>
      </c>
      <c r="R134" s="2" t="inlineStr">
        <is>
          <t>Transport &amp; Infrastructure (T&amp;I)</t>
        </is>
      </c>
      <c r="S134" s="2" t="inlineStr">
        <is>
          <t>Downer</t>
        </is>
      </c>
      <c r="T134" s="2" t="n">
        <v>100</v>
      </c>
      <c r="U134" s="2" t="inlineStr">
        <is>
          <t>1899/12/31</t>
        </is>
      </c>
      <c r="W134" s="2" t="inlineStr">
        <is>
          <t>Classification</t>
        </is>
      </c>
      <c r="X134" s="2" t="n">
        <v>-37.974215</v>
      </c>
      <c r="Y134" s="2" t="n">
        <v>175.758590799999</v>
      </c>
      <c r="Z134" s="2" t="n">
        <v>729</v>
      </c>
      <c r="AA134" s="11" t="n">
        <v>42917</v>
      </c>
    </row>
    <row r="135">
      <c r="A135" s="2" t="inlineStr">
        <is>
          <t>Downer</t>
        </is>
      </c>
      <c r="B135" s="2" t="inlineStr">
        <is>
          <t>_CLOSED_Depot_T_Twizel</t>
        </is>
      </c>
      <c r="C135" s="2" t="inlineStr">
        <is>
          <t>Other</t>
        </is>
      </c>
      <c r="D135" s="2" t="inlineStr">
        <is>
          <t>L9.DNZJ.55654</t>
        </is>
      </c>
      <c r="E135" s="2" t="n">
        <v>5065</v>
      </c>
      <c r="G135" s="2" t="inlineStr">
        <is>
          <t>Support Services for TS - New facilities established for more granular reporting and to reflect new structure for FY17. See facility named "NZ-Infrastructure Services" for historical data.</t>
        </is>
      </c>
      <c r="H135" s="2" t="inlineStr">
        <is>
          <t>23 Hooker Crescent</t>
        </is>
      </c>
      <c r="I135" s="2" t="inlineStr">
        <is>
          <t>Twizel</t>
        </is>
      </c>
      <c r="J135" s="2" t="inlineStr">
        <is>
          <t>Canterbury</t>
        </is>
      </c>
      <c r="K135" s="2" t="n">
        <v>9494</v>
      </c>
      <c r="L135" s="2" t="inlineStr">
        <is>
          <t>New Zealand</t>
        </is>
      </c>
      <c r="M135" s="2" t="inlineStr">
        <is>
          <t>Omarama</t>
        </is>
      </c>
      <c r="N135" s="2" t="inlineStr">
        <is>
          <t>New Zealand</t>
        </is>
      </c>
      <c r="P135" s="2" t="inlineStr">
        <is>
          <t>Operational Control</t>
        </is>
      </c>
      <c r="Q135" s="2" t="inlineStr">
        <is>
          <t>Operational Control</t>
        </is>
      </c>
      <c r="R135" s="2" t="inlineStr">
        <is>
          <t>Transport &amp; Infrastructure (T&amp;I)</t>
        </is>
      </c>
      <c r="S135" s="2" t="inlineStr">
        <is>
          <t>Downer</t>
        </is>
      </c>
      <c r="T135" s="2" t="n">
        <v>100</v>
      </c>
      <c r="U135" s="2" t="inlineStr">
        <is>
          <t>1899/12/31</t>
        </is>
      </c>
      <c r="W135" s="2" t="inlineStr">
        <is>
          <t>Classification</t>
        </is>
      </c>
      <c r="X135" s="2" t="n">
        <v>-44.2655651</v>
      </c>
      <c r="Y135" s="2" t="n">
        <v>170.089578399999</v>
      </c>
      <c r="Z135" s="2" t="n">
        <v>729</v>
      </c>
      <c r="AA135" s="11" t="n">
        <v>42917</v>
      </c>
    </row>
    <row r="136">
      <c r="A136" s="2" t="inlineStr">
        <is>
          <t>Downer</t>
        </is>
      </c>
      <c r="B136" s="2" t="inlineStr">
        <is>
          <t>_CLOSED_Depot_T_Util_Depot_Henderson</t>
        </is>
      </c>
      <c r="C136" s="2" t="inlineStr">
        <is>
          <t>Other</t>
        </is>
      </c>
      <c r="D136" s="2" t="inlineStr">
        <is>
          <t>L9.DNZJ.55528</t>
        </is>
      </c>
      <c r="E136" s="2" t="n">
        <v>5165</v>
      </c>
      <c r="G136" s="2" t="inlineStr">
        <is>
          <t>Support Services for Utilities Water Business - New facilities established for more granular reporting and to reflect new structure for FY17. See facility named "NZ-Infrastructure Services" for historical data.</t>
        </is>
      </c>
      <c r="H136" s="2" t="inlineStr">
        <is>
          <t>9 Rabone Street, Henderson</t>
        </is>
      </c>
      <c r="I136" s="2" t="inlineStr">
        <is>
          <t>Auckland</t>
        </is>
      </c>
      <c r="J136" s="2" t="inlineStr">
        <is>
          <t>Auckland</t>
        </is>
      </c>
      <c r="K136" s="2" t="n">
        <v>8051</v>
      </c>
      <c r="L136" s="2" t="inlineStr">
        <is>
          <t>New Zealand</t>
        </is>
      </c>
      <c r="M136" s="2" t="inlineStr">
        <is>
          <t>Waitakere</t>
        </is>
      </c>
      <c r="N136" s="2" t="inlineStr">
        <is>
          <t>New Zealand</t>
        </is>
      </c>
      <c r="P136" s="2" t="inlineStr">
        <is>
          <t>Operational Control</t>
        </is>
      </c>
      <c r="Q136" s="2" t="inlineStr">
        <is>
          <t>Operational Control</t>
        </is>
      </c>
      <c r="R136" s="2" t="inlineStr">
        <is>
          <t>Transport &amp; Infrastructure (T&amp;I)</t>
        </is>
      </c>
      <c r="S136" s="2" t="inlineStr">
        <is>
          <t>Downer</t>
        </is>
      </c>
      <c r="T136" s="2" t="n">
        <v>100</v>
      </c>
      <c r="U136" s="2" t="inlineStr">
        <is>
          <t>1899/12/31</t>
        </is>
      </c>
      <c r="W136" s="2" t="inlineStr">
        <is>
          <t>Classification</t>
        </is>
      </c>
      <c r="X136" s="2" t="n">
        <v>-36.8879465</v>
      </c>
      <c r="Y136" s="2" t="n">
        <v>174.6303298</v>
      </c>
      <c r="Z136" s="2" t="n">
        <v>729</v>
      </c>
      <c r="AA136" s="11" t="n">
        <v>42917</v>
      </c>
    </row>
    <row r="137">
      <c r="A137" s="2" t="inlineStr">
        <is>
          <t>Downer</t>
        </is>
      </c>
      <c r="B137" s="2" t="inlineStr">
        <is>
          <t>_CLOSED_Depot_T_Util_Water_Albany</t>
        </is>
      </c>
      <c r="C137" s="2" t="inlineStr">
        <is>
          <t>Other</t>
        </is>
      </c>
      <c r="D137" s="2" t="inlineStr">
        <is>
          <t>L9.DNZJ.55535</t>
        </is>
      </c>
      <c r="E137" s="2" t="n">
        <v>5166</v>
      </c>
      <c r="G137" s="2" t="inlineStr">
        <is>
          <t>Support Services for Utilities Water Business - New facilities established for more granular reporting and to reflect new structure for FY17. See facility named "NZ-Infrastructure Services" for historical data.</t>
        </is>
      </c>
      <c r="H137" s="2" t="inlineStr">
        <is>
          <t>8 Furnace Place, Silverdale</t>
        </is>
      </c>
      <c r="I137" s="2" t="inlineStr">
        <is>
          <t>Auckland</t>
        </is>
      </c>
      <c r="J137" s="2" t="inlineStr">
        <is>
          <t>Auckland</t>
        </is>
      </c>
      <c r="K137" s="2" t="n">
        <v>1640</v>
      </c>
      <c r="L137" s="2" t="inlineStr">
        <is>
          <t>New Zealand</t>
        </is>
      </c>
      <c r="M137" s="2" t="inlineStr">
        <is>
          <t>Whenuapai</t>
        </is>
      </c>
      <c r="N137" s="2" t="inlineStr">
        <is>
          <t>New Zealand</t>
        </is>
      </c>
      <c r="P137" s="2" t="inlineStr">
        <is>
          <t>Operational Control</t>
        </is>
      </c>
      <c r="Q137" s="2" t="inlineStr">
        <is>
          <t>Operational Control</t>
        </is>
      </c>
      <c r="R137" s="2" t="inlineStr">
        <is>
          <t>Transport &amp; Infrastructure (T&amp;I)</t>
        </is>
      </c>
      <c r="S137" s="2" t="inlineStr">
        <is>
          <t>Downer</t>
        </is>
      </c>
      <c r="T137" s="2" t="n">
        <v>100</v>
      </c>
      <c r="U137" s="2" t="inlineStr">
        <is>
          <t>1899/12/31</t>
        </is>
      </c>
      <c r="W137" s="2" t="inlineStr">
        <is>
          <t>Classification</t>
        </is>
      </c>
      <c r="X137" s="2" t="n">
        <v>-36.6253758</v>
      </c>
      <c r="Y137" s="2" t="n">
        <v>174.6801863</v>
      </c>
      <c r="Z137" s="2" t="n">
        <v>729</v>
      </c>
      <c r="AA137" s="11" t="n">
        <v>42917</v>
      </c>
    </row>
    <row r="138">
      <c r="A138" s="2" t="inlineStr">
        <is>
          <t>Downer</t>
        </is>
      </c>
      <c r="B138" s="2" t="inlineStr">
        <is>
          <t>_CLOSED_Depot_T_Util_Water_Silverdale</t>
        </is>
      </c>
      <c r="C138" s="2" t="inlineStr">
        <is>
          <t>Other</t>
        </is>
      </c>
      <c r="D138" s="2" t="inlineStr">
        <is>
          <t>L9.DNZJ.55522</t>
        </is>
      </c>
      <c r="E138" s="2" t="n">
        <v>5164</v>
      </c>
      <c r="G138" s="2" t="inlineStr">
        <is>
          <t>Support Services for Utilities Water Business - New facilities established for more granular reporting and to reflect new structure for FY17. See facility named "NZ-Infrastructure Services" for historical data.</t>
        </is>
      </c>
      <c r="H138" s="2" t="inlineStr">
        <is>
          <t>2B William Pickering Dr, Rosedale, Albany</t>
        </is>
      </c>
      <c r="I138" s="2" t="inlineStr">
        <is>
          <t>Auckland</t>
        </is>
      </c>
      <c r="J138" s="2" t="inlineStr">
        <is>
          <t>Auckland</t>
        </is>
      </c>
      <c r="K138" s="2" t="n">
        <v>932</v>
      </c>
      <c r="L138" s="2" t="inlineStr">
        <is>
          <t>New Zealand</t>
        </is>
      </c>
      <c r="M138" s="2" t="inlineStr">
        <is>
          <t>North Shore</t>
        </is>
      </c>
      <c r="N138" s="2" t="inlineStr">
        <is>
          <t>New Zealand</t>
        </is>
      </c>
      <c r="P138" s="2" t="inlineStr">
        <is>
          <t>Operational Control</t>
        </is>
      </c>
      <c r="Q138" s="2" t="inlineStr">
        <is>
          <t>Operational Control</t>
        </is>
      </c>
      <c r="R138" s="2" t="inlineStr">
        <is>
          <t>Transport &amp; Infrastructure (T&amp;I)</t>
        </is>
      </c>
      <c r="S138" s="2" t="inlineStr">
        <is>
          <t>Downer</t>
        </is>
      </c>
      <c r="T138" s="2" t="n">
        <v>100</v>
      </c>
      <c r="U138" s="2" t="inlineStr">
        <is>
          <t>1899/12/31</t>
        </is>
      </c>
      <c r="W138" s="2" t="inlineStr">
        <is>
          <t>Classification</t>
        </is>
      </c>
      <c r="X138" s="2" t="n">
        <v>-36.7539698</v>
      </c>
      <c r="Y138" s="2" t="n">
        <v>174.706742699999</v>
      </c>
      <c r="Z138" s="2" t="n">
        <v>729</v>
      </c>
      <c r="AA138" s="11" t="n">
        <v>42917</v>
      </c>
    </row>
    <row r="139">
      <c r="A139" s="2" t="inlineStr">
        <is>
          <t>Downer</t>
        </is>
      </c>
      <c r="B139" s="2" t="inlineStr">
        <is>
          <t>_CLOSED_Depot_T_Waipawa</t>
        </is>
      </c>
      <c r="C139" s="2" t="inlineStr">
        <is>
          <t>Depot</t>
        </is>
      </c>
      <c r="D139" s="2" t="inlineStr">
        <is>
          <t>L9.DNZJ.55583</t>
        </is>
      </c>
      <c r="E139" s="2" t="n">
        <v>5288</v>
      </c>
      <c r="G139" s="2" t="inlineStr">
        <is>
          <t>Support Services for TS - New facilities established in FY19</t>
        </is>
      </c>
      <c r="M139" s="2" t="inlineStr">
        <is>
          <t>Waipawa</t>
        </is>
      </c>
      <c r="N139" s="2" t="inlineStr">
        <is>
          <t>New Zealand</t>
        </is>
      </c>
      <c r="P139" s="2" t="inlineStr">
        <is>
          <t>Operational Control</t>
        </is>
      </c>
      <c r="Q139" s="2" t="inlineStr">
        <is>
          <t>Operational Control</t>
        </is>
      </c>
      <c r="R139" s="2" t="inlineStr">
        <is>
          <t>Transport &amp; Infrastructure (T&amp;I)</t>
        </is>
      </c>
      <c r="S139" s="2" t="inlineStr">
        <is>
          <t>Downer</t>
        </is>
      </c>
      <c r="T139" s="2" t="n">
        <v>100</v>
      </c>
      <c r="U139" s="2" t="inlineStr">
        <is>
          <t>1899/12/31</t>
        </is>
      </c>
      <c r="W139" s="2" t="inlineStr">
        <is>
          <t>Classification</t>
        </is>
      </c>
    </row>
    <row r="140">
      <c r="A140" s="2" t="inlineStr">
        <is>
          <t>Downer</t>
        </is>
      </c>
      <c r="B140" s="2" t="inlineStr">
        <is>
          <t>_CLOSED_Depot_T_Waitaki (OSM)</t>
        </is>
      </c>
      <c r="C140" s="2" t="inlineStr">
        <is>
          <t>Other</t>
        </is>
      </c>
      <c r="D140" s="2" t="inlineStr">
        <is>
          <t>L9.DNZJ.55613</t>
        </is>
      </c>
      <c r="E140" s="2" t="n">
        <v>5067</v>
      </c>
      <c r="G140" s="2" t="inlineStr">
        <is>
          <t>Support Services for TS - New facilities established for more granular reporting and to reflect new structure for FY17. See facility named "NZ-Infrastructure Services" for historical data.</t>
        </is>
      </c>
      <c r="H140" s="2" t="inlineStr">
        <is>
          <t>Chelmer Street</t>
        </is>
      </c>
      <c r="I140" s="2" t="inlineStr">
        <is>
          <t>Oamaru</t>
        </is>
      </c>
      <c r="J140" s="2" t="inlineStr">
        <is>
          <t>Otago</t>
        </is>
      </c>
      <c r="K140" s="2" t="n">
        <v>4501</v>
      </c>
      <c r="L140" s="2" t="inlineStr">
        <is>
          <t>New Zealand</t>
        </is>
      </c>
      <c r="M140" s="2" t="inlineStr">
        <is>
          <t>Oamaru</t>
        </is>
      </c>
      <c r="N140" s="2" t="inlineStr">
        <is>
          <t>New Zealand</t>
        </is>
      </c>
      <c r="P140" s="2" t="inlineStr">
        <is>
          <t>Operational Control</t>
        </is>
      </c>
      <c r="Q140" s="2" t="inlineStr">
        <is>
          <t>Operational Control</t>
        </is>
      </c>
      <c r="R140" s="2" t="inlineStr">
        <is>
          <t>Transport &amp; Infrastructure (T&amp;I)</t>
        </is>
      </c>
      <c r="S140" s="2" t="inlineStr">
        <is>
          <t>Downer</t>
        </is>
      </c>
      <c r="T140" s="2" t="n">
        <v>100</v>
      </c>
      <c r="W140" s="2" t="inlineStr">
        <is>
          <t>Classification</t>
        </is>
      </c>
      <c r="X140" s="2" t="n">
        <v>-45.0978481999999</v>
      </c>
      <c r="Y140" s="2" t="n">
        <v>170.9606991</v>
      </c>
      <c r="Z140" s="2" t="n">
        <v>729</v>
      </c>
      <c r="AA140" s="11" t="n">
        <v>42917</v>
      </c>
    </row>
    <row r="141">
      <c r="A141" s="2" t="inlineStr">
        <is>
          <t>Downer</t>
        </is>
      </c>
      <c r="B141" s="2" t="inlineStr">
        <is>
          <t>_CLOSED_Depot_T_Waitoki</t>
        </is>
      </c>
      <c r="C141" s="2" t="inlineStr">
        <is>
          <t>Other</t>
        </is>
      </c>
      <c r="D141" s="2" t="inlineStr">
        <is>
          <t>L9.DNZJ.55524</t>
        </is>
      </c>
      <c r="E141" s="2" t="n">
        <v>5068</v>
      </c>
      <c r="G141" s="2" t="inlineStr">
        <is>
          <t>Support Services for TS - New facilities established for more granular reporting and to reflect new structure for FY17. See facility named "NZ-Infrastructure Services" for historical data.</t>
        </is>
      </c>
      <c r="H141" s="2" t="inlineStr">
        <is>
          <t>543 Waitoki Road, Wainui</t>
        </is>
      </c>
      <c r="I141" s="2" t="inlineStr">
        <is>
          <t>Auckland</t>
        </is>
      </c>
      <c r="J141" s="2" t="inlineStr">
        <is>
          <t>Auckland</t>
        </is>
      </c>
      <c r="K141" s="2" t="n">
        <v>5022</v>
      </c>
      <c r="L141" s="2" t="inlineStr">
        <is>
          <t>New Zealand</t>
        </is>
      </c>
      <c r="M141" s="2" t="inlineStr">
        <is>
          <t>Parakai</t>
        </is>
      </c>
      <c r="N141" s="2" t="inlineStr">
        <is>
          <t>New Zealand</t>
        </is>
      </c>
      <c r="P141" s="2" t="inlineStr">
        <is>
          <t>Operational Control</t>
        </is>
      </c>
      <c r="Q141" s="2" t="inlineStr">
        <is>
          <t>Operational Control</t>
        </is>
      </c>
      <c r="R141" s="2" t="inlineStr">
        <is>
          <t>Transport &amp; Infrastructure (T&amp;I)</t>
        </is>
      </c>
      <c r="S141" s="2" t="inlineStr">
        <is>
          <t>Downer</t>
        </is>
      </c>
      <c r="T141" s="2" t="n">
        <v>100</v>
      </c>
      <c r="U141" s="2" t="inlineStr">
        <is>
          <t>1899/12/31</t>
        </is>
      </c>
      <c r="W141" s="2" t="inlineStr">
        <is>
          <t>Classification</t>
        </is>
      </c>
      <c r="X141" s="2" t="n">
        <v>-36.6022353</v>
      </c>
      <c r="Y141" s="2" t="n">
        <v>174.591959699999</v>
      </c>
      <c r="Z141" s="2" t="n">
        <v>729</v>
      </c>
      <c r="AA141" s="11" t="n">
        <v>42917</v>
      </c>
    </row>
    <row r="142">
      <c r="A142" s="2" t="inlineStr">
        <is>
          <t>Downer</t>
        </is>
      </c>
      <c r="B142" s="2" t="inlineStr">
        <is>
          <t>_CLOSED_Depot_T_Wanganui</t>
        </is>
      </c>
      <c r="C142" s="2" t="inlineStr">
        <is>
          <t>Other</t>
        </is>
      </c>
      <c r="D142" s="2" t="inlineStr">
        <is>
          <t>L9.DNZJ.55596</t>
        </is>
      </c>
      <c r="E142" s="2" t="n">
        <v>5069</v>
      </c>
      <c r="G142" s="2" t="inlineStr">
        <is>
          <t>Support Services for TS - New facilities established for more granular reporting and to reflect new structure for FY17. See facility named "NZ-Infrastructure Services" for historical data.</t>
        </is>
      </c>
      <c r="H142" s="2" t="inlineStr">
        <is>
          <t>501 Heads Rd, Castlecliff</t>
        </is>
      </c>
      <c r="I142" s="2" t="inlineStr">
        <is>
          <t>Wanganui</t>
        </is>
      </c>
      <c r="J142" s="2" t="inlineStr">
        <is>
          <t>Manawatu-Wanganui</t>
        </is>
      </c>
      <c r="K142" s="2" t="n">
        <v>4010</v>
      </c>
      <c r="L142" s="2" t="inlineStr">
        <is>
          <t>New Zealand</t>
        </is>
      </c>
      <c r="M142" s="2" t="inlineStr">
        <is>
          <t>Manawatu-Wanganui</t>
        </is>
      </c>
      <c r="N142" s="2" t="inlineStr">
        <is>
          <t>New Zealand</t>
        </is>
      </c>
      <c r="P142" s="2" t="inlineStr">
        <is>
          <t>Operational Control</t>
        </is>
      </c>
      <c r="Q142" s="2" t="inlineStr">
        <is>
          <t>Operational Control</t>
        </is>
      </c>
      <c r="R142" s="2" t="inlineStr">
        <is>
          <t>Transport &amp; Infrastructure (T&amp;I)</t>
        </is>
      </c>
      <c r="S142" s="2" t="inlineStr">
        <is>
          <t>Downer</t>
        </is>
      </c>
      <c r="T142" s="2" t="n">
        <v>100</v>
      </c>
      <c r="U142" s="2" t="inlineStr">
        <is>
          <t>1899/12/31</t>
        </is>
      </c>
      <c r="W142" s="2" t="inlineStr">
        <is>
          <t>Classification</t>
        </is>
      </c>
      <c r="X142" s="2" t="n">
        <v>-39.9436207999999</v>
      </c>
      <c r="Y142" s="2" t="n">
        <v>174.9952482</v>
      </c>
      <c r="Z142" s="2" t="n">
        <v>729</v>
      </c>
      <c r="AA142" s="11" t="n">
        <v>42917</v>
      </c>
    </row>
    <row r="143">
      <c r="A143" s="2" t="inlineStr">
        <is>
          <t>Downer</t>
        </is>
      </c>
      <c r="B143" s="2" t="inlineStr">
        <is>
          <t>_CLOSED_Depot_T_Wellington</t>
        </is>
      </c>
      <c r="C143" s="2" t="inlineStr">
        <is>
          <t>Other</t>
        </is>
      </c>
      <c r="D143" s="2" t="inlineStr">
        <is>
          <t>L9.DNZJ.55602</t>
        </is>
      </c>
      <c r="E143" s="2" t="n">
        <v>5070</v>
      </c>
      <c r="G143" s="2" t="inlineStr">
        <is>
          <t>Support Services for TS - New facilities established for more granular reporting and to reflect new structure for FY17. See facility named "NZ-Infrastructure Services" for historical data.</t>
        </is>
      </c>
      <c r="H143" s="2" t="inlineStr">
        <is>
          <t>14-16 Makaro Street</t>
        </is>
      </c>
      <c r="I143" s="2" t="inlineStr">
        <is>
          <t>Porirua</t>
        </is>
      </c>
      <c r="J143" s="2" t="inlineStr">
        <is>
          <t>Wellington</t>
        </is>
      </c>
      <c r="K143" s="2" t="n">
        <v>110</v>
      </c>
      <c r="L143" s="2" t="inlineStr">
        <is>
          <t>New Zealand</t>
        </is>
      </c>
      <c r="M143" s="2" t="inlineStr">
        <is>
          <t>Porirua</t>
        </is>
      </c>
      <c r="N143" s="2" t="inlineStr">
        <is>
          <t>New Zealand</t>
        </is>
      </c>
      <c r="P143" s="2" t="inlineStr">
        <is>
          <t>Operational Control</t>
        </is>
      </c>
      <c r="Q143" s="2" t="inlineStr">
        <is>
          <t>Operational Control</t>
        </is>
      </c>
      <c r="R143" s="2" t="inlineStr">
        <is>
          <t>Transport &amp; Infrastructure (T&amp;I)</t>
        </is>
      </c>
      <c r="S143" s="2" t="inlineStr">
        <is>
          <t>Downer</t>
        </is>
      </c>
      <c r="T143" s="2" t="n">
        <v>100</v>
      </c>
      <c r="U143" s="2" t="inlineStr">
        <is>
          <t>1899/12/31</t>
        </is>
      </c>
      <c r="W143" s="2" t="inlineStr">
        <is>
          <t>Classification</t>
        </is>
      </c>
      <c r="X143" s="2" t="n">
        <v>-41.1375906</v>
      </c>
      <c r="Y143" s="2" t="n">
        <v>174.831221499999</v>
      </c>
      <c r="Z143" s="2" t="n">
        <v>729</v>
      </c>
      <c r="AA143" s="11" t="n">
        <v>42917</v>
      </c>
    </row>
    <row r="144">
      <c r="A144" s="2" t="inlineStr">
        <is>
          <t>Downer</t>
        </is>
      </c>
      <c r="B144" s="2" t="inlineStr">
        <is>
          <t>_CLOSED_Depot_T_Whangarei</t>
        </is>
      </c>
      <c r="C144" s="2" t="inlineStr">
        <is>
          <t>Other</t>
        </is>
      </c>
      <c r="D144" s="2" t="inlineStr">
        <is>
          <t>L9.DNZJ.55510</t>
        </is>
      </c>
      <c r="E144" s="2" t="n">
        <v>5072</v>
      </c>
      <c r="G144" s="2" t="inlineStr">
        <is>
          <t>Support Services for TS - New facilities established for more granular reporting and to reflect new structure for FY17. See facility named "NZ-Infrastructure Services" for historical data.</t>
        </is>
      </c>
      <c r="H144" s="2" t="inlineStr">
        <is>
          <t>120-122 Port Road</t>
        </is>
      </c>
      <c r="I144" s="2" t="inlineStr">
        <is>
          <t>Whangarei</t>
        </is>
      </c>
      <c r="J144" s="2" t="inlineStr">
        <is>
          <t>Northland</t>
        </is>
      </c>
      <c r="K144" s="2" t="n">
        <v>1061</v>
      </c>
      <c r="L144" s="2" t="inlineStr">
        <is>
          <t>New Zealand</t>
        </is>
      </c>
      <c r="M144" s="2" t="inlineStr">
        <is>
          <t>Whangarei</t>
        </is>
      </c>
      <c r="N144" s="2" t="inlineStr">
        <is>
          <t>New Zealand</t>
        </is>
      </c>
      <c r="P144" s="2" t="inlineStr">
        <is>
          <t>Operational Control</t>
        </is>
      </c>
      <c r="Q144" s="2" t="inlineStr">
        <is>
          <t>Operational Control</t>
        </is>
      </c>
      <c r="R144" s="2" t="inlineStr">
        <is>
          <t>Transport &amp; Infrastructure (T&amp;I)</t>
        </is>
      </c>
      <c r="S144" s="2" t="inlineStr">
        <is>
          <t>Downer</t>
        </is>
      </c>
      <c r="T144" s="2" t="n">
        <v>100</v>
      </c>
      <c r="U144" s="2" t="inlineStr">
        <is>
          <t>1899/12/31</t>
        </is>
      </c>
      <c r="W144" s="2" t="inlineStr">
        <is>
          <t>Classification</t>
        </is>
      </c>
      <c r="X144" s="2" t="n">
        <v>-35.7431694</v>
      </c>
      <c r="Y144" s="2" t="n">
        <v>174.3415903</v>
      </c>
      <c r="Z144" s="2" t="n">
        <v>729</v>
      </c>
      <c r="AA144" s="11" t="n">
        <v>42917</v>
      </c>
    </row>
    <row r="145">
      <c r="A145" s="2" t="inlineStr">
        <is>
          <t>Downer</t>
        </is>
      </c>
      <c r="B145" s="2" t="inlineStr">
        <is>
          <t>_CLOSED_Depot_U_P&amp;G_Elec_Matamata</t>
        </is>
      </c>
      <c r="C145" s="2" t="inlineStr">
        <is>
          <t>Other</t>
        </is>
      </c>
      <c r="D145" s="2" t="inlineStr">
        <is>
          <t>L9.DUN.60124</t>
        </is>
      </c>
      <c r="E145" s="2" t="n">
        <v>5157</v>
      </c>
      <c r="G145" s="2" t="inlineStr">
        <is>
          <t>Support Services for Utilities P&amp;G Business - New facilities established for more granular reporting and to reflect new structure for FY17. See facility named "NZ-Technology Solutions &amp; Corporate Services" for historical data.</t>
        </is>
      </c>
      <c r="H145" s="2" t="inlineStr">
        <is>
          <t>58 Firth Street</t>
        </is>
      </c>
      <c r="I145" s="2" t="inlineStr">
        <is>
          <t>Matamata</t>
        </is>
      </c>
      <c r="J145" s="2" t="inlineStr">
        <is>
          <t>Waikato</t>
        </is>
      </c>
      <c r="K145" s="2" t="n">
        <v>4501</v>
      </c>
      <c r="L145" s="2" t="inlineStr">
        <is>
          <t>New Zealand</t>
        </is>
      </c>
      <c r="M145" s="2" t="inlineStr">
        <is>
          <t>Matamata</t>
        </is>
      </c>
      <c r="N145" s="2" t="inlineStr">
        <is>
          <t>New Zealand</t>
        </is>
      </c>
      <c r="P145" s="2" t="inlineStr">
        <is>
          <t>Operational Control</t>
        </is>
      </c>
      <c r="Q145" s="2" t="inlineStr">
        <is>
          <t>Operational Control</t>
        </is>
      </c>
      <c r="R145" s="2" t="inlineStr">
        <is>
          <t>Energy and Utilities (EU)</t>
        </is>
      </c>
      <c r="S145" s="2" t="inlineStr">
        <is>
          <t>Downer</t>
        </is>
      </c>
      <c r="T145" s="2" t="n">
        <v>100</v>
      </c>
      <c r="W145" s="2" t="inlineStr">
        <is>
          <t>Classification</t>
        </is>
      </c>
      <c r="X145" s="2" t="n">
        <v>-37.8100685</v>
      </c>
      <c r="Y145" s="2" t="n">
        <v>175.7708414</v>
      </c>
      <c r="Z145" s="2" t="n">
        <v>310</v>
      </c>
      <c r="AA145" s="11" t="n">
        <v>42917</v>
      </c>
    </row>
    <row r="146">
      <c r="A146" s="2" t="inlineStr">
        <is>
          <t>Downer</t>
        </is>
      </c>
      <c r="B146" s="2" t="inlineStr">
        <is>
          <t>_CLOSED_Depot_U_P&amp;G_Elec_Taihape-Raetihi</t>
        </is>
      </c>
      <c r="C146" s="2" t="inlineStr">
        <is>
          <t>Other</t>
        </is>
      </c>
      <c r="D146" s="2" t="inlineStr">
        <is>
          <t>L9.DUN.60224</t>
        </is>
      </c>
      <c r="E146" s="2" t="n">
        <v>5163</v>
      </c>
      <c r="G146" s="2" t="inlineStr">
        <is>
          <t>Support Services for Utilities P&amp;G Business - New facilities established for more granular reporting and to reflect new structure for FY17. See facility named "NZ-Technology Solutions &amp; Corporate Services" for historical data.</t>
        </is>
      </c>
      <c r="H146" s="2" t="inlineStr">
        <is>
          <t>5131 Abattoir Road</t>
        </is>
      </c>
      <c r="I146" s="2" t="inlineStr">
        <is>
          <t>Taihape</t>
        </is>
      </c>
      <c r="J146" s="2" t="inlineStr">
        <is>
          <t>Manawatu-Wanganui</t>
        </is>
      </c>
      <c r="K146" s="2" t="n">
        <v>612</v>
      </c>
      <c r="L146" s="2" t="inlineStr">
        <is>
          <t>New Zealand</t>
        </is>
      </c>
      <c r="M146" s="2" t="inlineStr">
        <is>
          <t>Waiouru</t>
        </is>
      </c>
      <c r="N146" s="2" t="inlineStr">
        <is>
          <t>New Zealand</t>
        </is>
      </c>
      <c r="P146" s="2" t="inlineStr">
        <is>
          <t>Operational Control</t>
        </is>
      </c>
      <c r="Q146" s="2" t="inlineStr">
        <is>
          <t>Operational Control</t>
        </is>
      </c>
      <c r="R146" s="2" t="inlineStr">
        <is>
          <t>Energy and Utilities (EU)</t>
        </is>
      </c>
      <c r="S146" s="2" t="inlineStr">
        <is>
          <t>Downer</t>
        </is>
      </c>
      <c r="T146" s="2" t="n">
        <v>100</v>
      </c>
      <c r="W146" s="2" t="inlineStr">
        <is>
          <t>Classification</t>
        </is>
      </c>
      <c r="X146" s="2" t="n">
        <v>-39.659501</v>
      </c>
      <c r="Y146" s="2" t="n">
        <v>175.783091</v>
      </c>
      <c r="Z146" s="2" t="n">
        <v>310</v>
      </c>
      <c r="AA146" s="11" t="n">
        <v>42917</v>
      </c>
    </row>
    <row r="147">
      <c r="A147" s="2" t="inlineStr">
        <is>
          <t>Downer</t>
        </is>
      </c>
      <c r="B147" s="2" t="inlineStr">
        <is>
          <t>_CLOSED_Depot_U_Shands-Rd</t>
        </is>
      </c>
      <c r="C147" s="2" t="inlineStr">
        <is>
          <t>Other</t>
        </is>
      </c>
      <c r="D147" s="2" t="inlineStr">
        <is>
          <t>L9.DNZJ.564416</t>
        </is>
      </c>
      <c r="E147" s="2" t="n">
        <v>5126</v>
      </c>
      <c r="G147" s="2" t="inlineStr">
        <is>
          <t>Support Services for Utilities Business - New facilities established for more granular reporting and to reflect new structure for FY17. See facility named "NZ-Technology Solutions &amp; Corporate Services" for historical data.</t>
        </is>
      </c>
      <c r="H147" s="2" t="inlineStr">
        <is>
          <t>55 Shands Rd, Hornby</t>
        </is>
      </c>
      <c r="I147" s="2" t="inlineStr">
        <is>
          <t>Christchurch</t>
        </is>
      </c>
      <c r="J147" s="2" t="inlineStr">
        <is>
          <t>Canterbury</t>
        </is>
      </c>
      <c r="K147" s="2" t="n">
        <v>8042</v>
      </c>
      <c r="L147" s="2" t="inlineStr">
        <is>
          <t>New Zealand</t>
        </is>
      </c>
      <c r="M147" s="2" t="inlineStr">
        <is>
          <t>Christchurch</t>
        </is>
      </c>
      <c r="N147" s="2" t="inlineStr">
        <is>
          <t>New Zealand</t>
        </is>
      </c>
      <c r="P147" s="2" t="inlineStr">
        <is>
          <t>Operational Control</t>
        </is>
      </c>
      <c r="Q147" s="2" t="inlineStr">
        <is>
          <t>Operational Control</t>
        </is>
      </c>
      <c r="R147" s="2" t="inlineStr">
        <is>
          <t>Energy and Utilities (EU)</t>
        </is>
      </c>
      <c r="S147" s="2" t="inlineStr">
        <is>
          <t>Downer</t>
        </is>
      </c>
      <c r="T147" s="2" t="n">
        <v>100</v>
      </c>
      <c r="W147" s="2" t="inlineStr">
        <is>
          <t>Classification</t>
        </is>
      </c>
      <c r="X147" s="2" t="n">
        <v>-43.547387</v>
      </c>
      <c r="Y147" s="2" t="n">
        <v>172.52175</v>
      </c>
      <c r="Z147" s="2" t="n">
        <v>729</v>
      </c>
      <c r="AA147" s="11" t="n">
        <v>42917</v>
      </c>
    </row>
    <row r="148">
      <c r="A148" s="2" t="inlineStr">
        <is>
          <t>Downer</t>
        </is>
      </c>
      <c r="B148" s="2" t="inlineStr">
        <is>
          <t>_CLOSED_Depot_U_Util_UFB</t>
        </is>
      </c>
      <c r="C148" s="2" t="inlineStr">
        <is>
          <t>Depot</t>
        </is>
      </c>
      <c r="D148" s="2" t="inlineStr">
        <is>
          <t>L9.DNZJ.561671</t>
        </is>
      </c>
      <c r="E148" s="2" t="inlineStr">
        <is>
          <t>L9.DNZJ.561671</t>
        </is>
      </c>
      <c r="G148" s="2" t="inlineStr">
        <is>
          <t>Support Services for Utilities Business - New facilities established for more granular reporting and to reflect new structure for FY17. See facility named "NZ-Technology Solutions &amp; Corporate Services" for historical data.</t>
        </is>
      </c>
      <c r="H148" s="2" t="inlineStr">
        <is>
          <t>14 John Seddon Drive</t>
        </is>
      </c>
      <c r="I148" s="2" t="inlineStr">
        <is>
          <t>Porirua</t>
        </is>
      </c>
      <c r="J148" s="2" t="inlineStr">
        <is>
          <t>Wellington</t>
        </is>
      </c>
      <c r="K148" s="2" t="n">
        <v>2104</v>
      </c>
      <c r="L148" s="2" t="inlineStr">
        <is>
          <t>New Zealand</t>
        </is>
      </c>
      <c r="M148" s="2" t="inlineStr">
        <is>
          <t>Porirua</t>
        </is>
      </c>
      <c r="N148" s="2" t="inlineStr">
        <is>
          <t>New Zealand</t>
        </is>
      </c>
      <c r="P148" s="2" t="inlineStr">
        <is>
          <t>Operational Control</t>
        </is>
      </c>
      <c r="Q148" s="2" t="inlineStr">
        <is>
          <t>Operational Control</t>
        </is>
      </c>
      <c r="R148" s="2" t="inlineStr">
        <is>
          <t>Energy and Utilities (EU)</t>
        </is>
      </c>
      <c r="S148" s="2" t="inlineStr">
        <is>
          <t>Downer</t>
        </is>
      </c>
      <c r="T148" s="2" t="n">
        <v>100</v>
      </c>
      <c r="W148" s="2" t="inlineStr">
        <is>
          <t>Classification</t>
        </is>
      </c>
      <c r="X148" s="2" t="n">
        <v>-41.136853</v>
      </c>
      <c r="Y148" s="2" t="n">
        <v>174.834395</v>
      </c>
      <c r="Z148" s="2" t="n">
        <v>729</v>
      </c>
      <c r="AA148" s="11" t="n">
        <v>42917</v>
      </c>
    </row>
    <row r="149">
      <c r="A149" s="2" t="inlineStr">
        <is>
          <t>Downer</t>
        </is>
      </c>
      <c r="B149" s="2" t="inlineStr">
        <is>
          <t>_CLOSED_DI-East Perth Office</t>
        </is>
      </c>
      <c r="C149" s="2" t="inlineStr">
        <is>
          <t>Other</t>
        </is>
      </c>
      <c r="D149" s="2" t="inlineStr">
        <is>
          <t>L9.J.300005</t>
        </is>
      </c>
      <c r="E149" s="2" t="n">
        <v>2006</v>
      </c>
      <c r="F149" s="2" t="n">
        <v>360</v>
      </c>
      <c r="G149" s="2" t="inlineStr">
        <is>
          <t>Site previously reported as DI-West Perth Office -renamed to DI-East Perth office when moved to EC&amp;M for FY16. New Office - May 2013</t>
        </is>
      </c>
      <c r="H149" s="2" t="inlineStr">
        <is>
          <t>Level 3, 181 Adelaide Terrace</t>
        </is>
      </c>
      <c r="I149" s="2" t="inlineStr">
        <is>
          <t>East Perth</t>
        </is>
      </c>
      <c r="J149" s="2" t="inlineStr">
        <is>
          <t>WA</t>
        </is>
      </c>
      <c r="K149" s="2" t="n">
        <v>6004</v>
      </c>
      <c r="L149" s="2" t="inlineStr">
        <is>
          <t>Australia</t>
        </is>
      </c>
      <c r="M149" s="2" t="inlineStr">
        <is>
          <t>Western Australia</t>
        </is>
      </c>
      <c r="N149" s="2" t="inlineStr">
        <is>
          <t>Australia</t>
        </is>
      </c>
      <c r="P149" s="2" t="inlineStr">
        <is>
          <t>Operational Control</t>
        </is>
      </c>
      <c r="Q149" s="2" t="inlineStr">
        <is>
          <t>Operational Control</t>
        </is>
      </c>
      <c r="R149" s="2" t="inlineStr">
        <is>
          <t>Asset &amp; Development Services (Baseline)</t>
        </is>
      </c>
      <c r="S149" s="2" t="inlineStr">
        <is>
          <t>Downer</t>
        </is>
      </c>
      <c r="T149" s="2" t="n">
        <v>100</v>
      </c>
      <c r="V149" s="11" t="n">
        <v>45107</v>
      </c>
      <c r="W149" s="2" t="inlineStr">
        <is>
          <t>Classification</t>
        </is>
      </c>
      <c r="X149" s="2" t="n">
        <v>-31.959793</v>
      </c>
      <c r="Y149" s="2" t="n">
        <v>115.870454</v>
      </c>
      <c r="Z149" s="2" t="n">
        <v>692</v>
      </c>
    </row>
    <row r="150">
      <c r="A150" s="2" t="inlineStr">
        <is>
          <t>Downer</t>
        </is>
      </c>
      <c r="B150" s="2" t="inlineStr">
        <is>
          <t>_CLOSED_DO_Ararat</t>
        </is>
      </c>
      <c r="C150" s="2" t="inlineStr">
        <is>
          <t>Depot</t>
        </is>
      </c>
      <c r="D150" s="2" t="inlineStr">
        <is>
          <t>L9.J.24170006</t>
        </is>
      </c>
      <c r="E150" s="2" t="n">
        <v>100</v>
      </c>
      <c r="H150" s="2" t="inlineStr">
        <is>
          <t>Lot 5, McGibbony St</t>
        </is>
      </c>
      <c r="I150" s="2" t="inlineStr">
        <is>
          <t>Ararat</t>
        </is>
      </c>
      <c r="J150" s="2" t="inlineStr">
        <is>
          <t>VIC</t>
        </is>
      </c>
      <c r="K150" s="2" t="n">
        <v>3377</v>
      </c>
      <c r="L150" s="2" t="inlineStr">
        <is>
          <t>Australia</t>
        </is>
      </c>
      <c r="M150" s="2" t="inlineStr">
        <is>
          <t>Victoria</t>
        </is>
      </c>
      <c r="N150" s="2" t="inlineStr">
        <is>
          <t>Australia</t>
        </is>
      </c>
      <c r="P150" s="2" t="inlineStr">
        <is>
          <t>Operational Control</t>
        </is>
      </c>
      <c r="Q150" s="2" t="inlineStr">
        <is>
          <t>Operational Control</t>
        </is>
      </c>
      <c r="R150" s="2" t="inlineStr">
        <is>
          <t>Energy and Utilities (EU)</t>
        </is>
      </c>
      <c r="S150" s="2" t="inlineStr">
        <is>
          <t>Downer</t>
        </is>
      </c>
      <c r="T150" s="2" t="n">
        <v>100</v>
      </c>
      <c r="W150" s="2" t="inlineStr">
        <is>
          <t>Classification</t>
        </is>
      </c>
      <c r="X150" s="2" t="n">
        <v>-37.285735</v>
      </c>
      <c r="Y150" s="2" t="n">
        <v>142.929087</v>
      </c>
    </row>
    <row r="151">
      <c r="A151" s="2" t="inlineStr">
        <is>
          <t>Downer</t>
        </is>
      </c>
      <c r="B151" s="2" t="inlineStr">
        <is>
          <t>_CLOSED_DO_Ballarat</t>
        </is>
      </c>
      <c r="C151" s="2" t="inlineStr">
        <is>
          <t>Depot</t>
        </is>
      </c>
      <c r="D151" s="2" t="inlineStr">
        <is>
          <t>L9.J.24170003</t>
        </is>
      </c>
      <c r="E151" s="2" t="n">
        <v>850</v>
      </c>
      <c r="H151" s="2" t="inlineStr">
        <is>
          <t>352 Dowling St</t>
        </is>
      </c>
      <c r="I151" s="2" t="inlineStr">
        <is>
          <t>Wendouree</t>
        </is>
      </c>
      <c r="J151" s="2" t="inlineStr">
        <is>
          <t>VIC</t>
        </is>
      </c>
      <c r="K151" s="2" t="n">
        <v>3350</v>
      </c>
      <c r="L151" s="2" t="inlineStr">
        <is>
          <t>Australia</t>
        </is>
      </c>
      <c r="M151" s="2" t="inlineStr">
        <is>
          <t>Victoria</t>
        </is>
      </c>
      <c r="N151" s="2" t="inlineStr">
        <is>
          <t>Australia</t>
        </is>
      </c>
      <c r="P151" s="2" t="inlineStr">
        <is>
          <t>Operational Control</t>
        </is>
      </c>
      <c r="Q151" s="2" t="inlineStr">
        <is>
          <t>Operational Control</t>
        </is>
      </c>
      <c r="R151" s="2" t="inlineStr">
        <is>
          <t>Energy and Utilities (EU)</t>
        </is>
      </c>
      <c r="S151" s="2" t="inlineStr">
        <is>
          <t>Downer</t>
        </is>
      </c>
      <c r="T151" s="2" t="n">
        <v>100</v>
      </c>
      <c r="W151" s="2" t="inlineStr">
        <is>
          <t>Classification</t>
        </is>
      </c>
      <c r="X151" s="2" t="n">
        <v>-37.503326</v>
      </c>
      <c r="Y151" s="2" t="n">
        <v>143.761404</v>
      </c>
      <c r="AB151" s="11" t="n">
        <v>42916</v>
      </c>
    </row>
    <row r="152">
      <c r="A152" s="2" t="inlineStr">
        <is>
          <t>Downer</t>
        </is>
      </c>
      <c r="B152" s="2" t="inlineStr">
        <is>
          <t>_CLOSED_DO_Bendigo</t>
        </is>
      </c>
      <c r="C152" s="2" t="inlineStr">
        <is>
          <t>Depot</t>
        </is>
      </c>
      <c r="D152" s="2" t="inlineStr">
        <is>
          <t>L9.J.24170002</t>
        </is>
      </c>
      <c r="E152" s="2" t="n">
        <v>855</v>
      </c>
      <c r="H152" s="2" t="inlineStr">
        <is>
          <t>116 Holmes St</t>
        </is>
      </c>
      <c r="I152" s="2" t="inlineStr">
        <is>
          <t>Bendigo</t>
        </is>
      </c>
      <c r="J152" s="2" t="inlineStr">
        <is>
          <t>VIC</t>
        </is>
      </c>
      <c r="K152" s="2" t="n">
        <v>3550</v>
      </c>
      <c r="L152" s="2" t="inlineStr">
        <is>
          <t>Australia</t>
        </is>
      </c>
      <c r="M152" s="2" t="inlineStr">
        <is>
          <t>Victoria</t>
        </is>
      </c>
      <c r="N152" s="2" t="inlineStr">
        <is>
          <t>Australia</t>
        </is>
      </c>
      <c r="P152" s="2" t="inlineStr">
        <is>
          <t>Operational Control</t>
        </is>
      </c>
      <c r="Q152" s="2" t="inlineStr">
        <is>
          <t>Operational Control</t>
        </is>
      </c>
      <c r="R152" s="2" t="inlineStr">
        <is>
          <t>Energy and Utilities (EU)</t>
        </is>
      </c>
      <c r="S152" s="2" t="inlineStr">
        <is>
          <t>Downer</t>
        </is>
      </c>
      <c r="T152" s="2" t="n">
        <v>100</v>
      </c>
      <c r="W152" s="2" t="inlineStr">
        <is>
          <t>Classification</t>
        </is>
      </c>
      <c r="X152" s="2" t="n">
        <v>-36.733797</v>
      </c>
      <c r="Y152" s="2" t="n">
        <v>144.265742</v>
      </c>
    </row>
    <row r="153">
      <c r="A153" s="2" t="inlineStr">
        <is>
          <t>Downer</t>
        </is>
      </c>
      <c r="B153" s="2" t="inlineStr">
        <is>
          <t>_CLOSED_DO_Colac</t>
        </is>
      </c>
      <c r="C153" s="2" t="inlineStr">
        <is>
          <t>Depot</t>
        </is>
      </c>
      <c r="D153" s="2" t="inlineStr">
        <is>
          <t>L9.J.24170005</t>
        </is>
      </c>
      <c r="E153" s="2" t="n">
        <v>210</v>
      </c>
      <c r="H153" s="2" t="inlineStr">
        <is>
          <t>49a Rossmoyne Rd</t>
        </is>
      </c>
      <c r="I153" s="2" t="inlineStr">
        <is>
          <t>Colac</t>
        </is>
      </c>
      <c r="J153" s="2" t="inlineStr">
        <is>
          <t>VIC</t>
        </is>
      </c>
      <c r="K153" s="2" t="n">
        <v>3250</v>
      </c>
      <c r="L153" s="2" t="inlineStr">
        <is>
          <t>Australia</t>
        </is>
      </c>
      <c r="M153" s="2" t="inlineStr">
        <is>
          <t>Victoria</t>
        </is>
      </c>
      <c r="N153" s="2" t="inlineStr">
        <is>
          <t>Australia</t>
        </is>
      </c>
      <c r="P153" s="2" t="inlineStr">
        <is>
          <t>Operational Control</t>
        </is>
      </c>
      <c r="Q153" s="2" t="inlineStr">
        <is>
          <t>Operational Control</t>
        </is>
      </c>
      <c r="R153" s="2" t="inlineStr">
        <is>
          <t>Energy and Utilities (EU)</t>
        </is>
      </c>
      <c r="S153" s="2" t="inlineStr">
        <is>
          <t>Downer</t>
        </is>
      </c>
      <c r="T153" s="2" t="n">
        <v>100</v>
      </c>
      <c r="W153" s="2" t="inlineStr">
        <is>
          <t>Classification</t>
        </is>
      </c>
      <c r="X153" s="2" t="n">
        <v>-38.331149</v>
      </c>
      <c r="Y153" s="2" t="n">
        <v>143.549348</v>
      </c>
    </row>
    <row r="154">
      <c r="A154" s="2" t="inlineStr">
        <is>
          <t>Downer</t>
        </is>
      </c>
      <c r="B154" s="2" t="inlineStr">
        <is>
          <t>_CLOSED_Dry Creek - Rail</t>
        </is>
      </c>
      <c r="C154" s="2" t="inlineStr">
        <is>
          <t>Other</t>
        </is>
      </c>
      <c r="D154" s="2" t="inlineStr">
        <is>
          <t>L9.J.20043038</t>
        </is>
      </c>
      <c r="E154" s="2" t="n">
        <v>3006</v>
      </c>
      <c r="F154" s="2" t="n">
        <v>96</v>
      </c>
      <c r="H154" s="2" t="inlineStr">
        <is>
          <t>2/26 Churchill Road North</t>
        </is>
      </c>
      <c r="I154" s="2" t="inlineStr">
        <is>
          <t>Dry Creek</t>
        </is>
      </c>
      <c r="J154" s="2" t="inlineStr">
        <is>
          <t>South Australia</t>
        </is>
      </c>
      <c r="K154" s="2" t="n">
        <v>5094</v>
      </c>
      <c r="L154" s="2" t="inlineStr">
        <is>
          <t>Australia</t>
        </is>
      </c>
      <c r="M154" s="2" t="inlineStr">
        <is>
          <t>South Australia</t>
        </is>
      </c>
      <c r="N154" s="2" t="inlineStr">
        <is>
          <t>Australia</t>
        </is>
      </c>
      <c r="P154" s="2" t="inlineStr">
        <is>
          <t>Operational Control</t>
        </is>
      </c>
      <c r="Q154" s="2" t="inlineStr">
        <is>
          <t>Operational Control</t>
        </is>
      </c>
      <c r="R154" s="2" t="inlineStr">
        <is>
          <t>DT Infrastructure (pre Sept 23 divestment)</t>
        </is>
      </c>
      <c r="S154" s="2" t="inlineStr">
        <is>
          <t>Downer</t>
        </is>
      </c>
      <c r="T154" s="2" t="n">
        <v>100</v>
      </c>
      <c r="V154" s="11" t="n">
        <v>45199</v>
      </c>
      <c r="W154" s="2" t="inlineStr">
        <is>
          <t>Classification</t>
        </is>
      </c>
      <c r="X154" s="2" t="n">
        <v>-34.825</v>
      </c>
      <c r="Y154" s="2" t="n">
        <v>138.591</v>
      </c>
      <c r="Z154" s="2" t="n">
        <v>239</v>
      </c>
      <c r="AB154" s="11" t="n">
        <v>43281</v>
      </c>
    </row>
    <row r="155">
      <c r="A155" s="2" t="inlineStr">
        <is>
          <t>Downer</t>
        </is>
      </c>
      <c r="B155" s="2" t="inlineStr">
        <is>
          <t>_CLOSED_Envar Group - Welshpool</t>
        </is>
      </c>
      <c r="C155" s="2" t="inlineStr">
        <is>
          <t>Branch Office</t>
        </is>
      </c>
      <c r="D155" s="2" t="inlineStr">
        <is>
          <t>L9.S.13001078</t>
        </is>
      </c>
      <c r="E155" s="2" t="n">
        <v>9167</v>
      </c>
      <c r="G155" s="2" t="inlineStr">
        <is>
          <t>47 Furnace Road
WELSHPOOL  WA  6106</t>
        </is>
      </c>
      <c r="M155" s="2" t="inlineStr">
        <is>
          <t>Western Australia</t>
        </is>
      </c>
      <c r="N155" s="2" t="inlineStr">
        <is>
          <t>Australia</t>
        </is>
      </c>
      <c r="P155" s="2" t="inlineStr">
        <is>
          <t>Operational Control</t>
        </is>
      </c>
      <c r="Q155" s="2" t="inlineStr">
        <is>
          <t>Operational Control</t>
        </is>
      </c>
      <c r="R155" s="2" t="inlineStr">
        <is>
          <t>Asset &amp; Development Services (Baseline)</t>
        </is>
      </c>
      <c r="S155" s="2" t="inlineStr">
        <is>
          <t>Downer</t>
        </is>
      </c>
      <c r="T155" s="2" t="n">
        <v>100</v>
      </c>
      <c r="V155" s="11" t="n">
        <v>45107</v>
      </c>
      <c r="W155" s="2" t="inlineStr">
        <is>
          <t>Classification</t>
        </is>
      </c>
      <c r="Z155" s="2" t="n">
        <v>692</v>
      </c>
      <c r="AB155" s="11" t="n">
        <v>45280</v>
      </c>
    </row>
    <row r="156">
      <c r="A156" s="2" t="inlineStr">
        <is>
          <t>Downer</t>
        </is>
      </c>
      <c r="B156" s="2" t="inlineStr">
        <is>
          <t>_CLOSED_Eyre Peninsula ECI</t>
        </is>
      </c>
      <c r="C156" s="2" t="inlineStr">
        <is>
          <t>Site</t>
        </is>
      </c>
      <c r="D156" s="2" t="inlineStr">
        <is>
          <t>L9.J.3773000158</t>
        </is>
      </c>
      <c r="E156" s="2" t="inlineStr">
        <is>
          <t>IP-3773000158</t>
        </is>
      </c>
      <c r="M156" s="2" t="inlineStr">
        <is>
          <t>South Australia</t>
        </is>
      </c>
      <c r="N156" s="2" t="inlineStr">
        <is>
          <t>Australia</t>
        </is>
      </c>
      <c r="P156" s="2" t="inlineStr">
        <is>
          <t>Operational Control</t>
        </is>
      </c>
      <c r="Q156" s="2" t="inlineStr">
        <is>
          <t>Operational Control</t>
        </is>
      </c>
      <c r="R156" s="2" t="inlineStr">
        <is>
          <t>Energy and Utilities (EU)</t>
        </is>
      </c>
      <c r="S156" s="2" t="inlineStr">
        <is>
          <t>Downer</t>
        </is>
      </c>
      <c r="T156" s="2" t="n">
        <v>100</v>
      </c>
      <c r="W156" s="2" t="inlineStr">
        <is>
          <t>Classification</t>
        </is>
      </c>
      <c r="AB156" s="11" t="n">
        <v>45262</v>
      </c>
    </row>
    <row r="157">
      <c r="A157" s="2" t="inlineStr">
        <is>
          <t>Downer</t>
        </is>
      </c>
      <c r="B157" s="2" t="inlineStr">
        <is>
          <t>_CLOSED_F_AE Smith NZ</t>
        </is>
      </c>
      <c r="C157" s="2" t="inlineStr">
        <is>
          <t>Office</t>
        </is>
      </c>
      <c r="D157" s="2" t="inlineStr">
        <is>
          <t>L9.S.26017940</t>
        </is>
      </c>
      <c r="E157" s="2" t="n">
        <v>5292</v>
      </c>
      <c r="M157" s="2" t="inlineStr">
        <is>
          <t>Auckland City</t>
        </is>
      </c>
      <c r="N157" s="2" t="inlineStr">
        <is>
          <t>New Zealand</t>
        </is>
      </c>
      <c r="P157" s="2" t="inlineStr">
        <is>
          <t>Operational Control</t>
        </is>
      </c>
      <c r="Q157" s="2" t="inlineStr">
        <is>
          <t>Operational Control</t>
        </is>
      </c>
      <c r="R157" s="2" t="inlineStr">
        <is>
          <t>Social Infra &amp; Citizen Serv (SICS)</t>
        </is>
      </c>
      <c r="S157" s="2" t="inlineStr">
        <is>
          <t>Downer</t>
        </is>
      </c>
      <c r="T157" s="2" t="n">
        <v>100</v>
      </c>
      <c r="W157" s="2" t="inlineStr">
        <is>
          <t>Classification</t>
        </is>
      </c>
      <c r="Z157" s="2" t="n">
        <v>731</v>
      </c>
    </row>
    <row r="158">
      <c r="A158" s="2" t="inlineStr">
        <is>
          <t>Downer</t>
        </is>
      </c>
      <c r="B158" s="2" t="inlineStr">
        <is>
          <t>_CLOSED_F10448 - North Heatherton Wetland Renewal</t>
        </is>
      </c>
      <c r="C158" s="2" t="inlineStr">
        <is>
          <t>Construction Site</t>
        </is>
      </c>
      <c r="D158" s="2" t="inlineStr">
        <is>
          <t>L9.J.241209</t>
        </is>
      </c>
      <c r="E158" s="2" t="inlineStr">
        <is>
          <t>L9.J.241209</t>
        </is>
      </c>
      <c r="M158" s="2" t="inlineStr">
        <is>
          <t>Victoria</t>
        </is>
      </c>
      <c r="N158" s="2" t="inlineStr">
        <is>
          <t>Australia</t>
        </is>
      </c>
      <c r="P158" s="2" t="inlineStr">
        <is>
          <t>Operational Control</t>
        </is>
      </c>
      <c r="Q158" s="2" t="inlineStr">
        <is>
          <t>Operational Control</t>
        </is>
      </c>
      <c r="R158" s="2" t="inlineStr">
        <is>
          <t>Energy and Utilities (EU)</t>
        </is>
      </c>
      <c r="S158" s="2" t="inlineStr">
        <is>
          <t>Downer</t>
        </is>
      </c>
      <c r="T158" s="2" t="n">
        <v>100</v>
      </c>
      <c r="W158" s="2" t="inlineStr">
        <is>
          <t>Classification</t>
        </is>
      </c>
      <c r="AB158" s="11" t="n">
        <v>45842</v>
      </c>
    </row>
    <row r="159">
      <c r="A159" s="2" t="inlineStr">
        <is>
          <t>Downer</t>
        </is>
      </c>
      <c r="B159" s="2" t="inlineStr">
        <is>
          <t>_CLOSED_FY20Rev_Asset &amp; Development Services (SAP)</t>
        </is>
      </c>
      <c r="C159" s="2" t="inlineStr">
        <is>
          <t>Facility</t>
        </is>
      </c>
      <c r="D159" s="2" t="inlineStr">
        <is>
          <t>L9.S.13000757</t>
        </is>
      </c>
      <c r="E159" s="2" t="inlineStr">
        <is>
          <t>L9.S.13000757</t>
        </is>
      </c>
      <c r="M159" s="2" t="inlineStr">
        <is>
          <t>North Ryde</t>
        </is>
      </c>
      <c r="N159" s="2" t="inlineStr">
        <is>
          <t>Australia</t>
        </is>
      </c>
      <c r="P159" s="2" t="inlineStr">
        <is>
          <t>Operational Control</t>
        </is>
      </c>
      <c r="Q159" s="2" t="inlineStr">
        <is>
          <t>Operational Control</t>
        </is>
      </c>
      <c r="R159" s="2" t="inlineStr">
        <is>
          <t>Asset &amp; Development Services (Baseline)</t>
        </is>
      </c>
      <c r="S159" s="2" t="inlineStr">
        <is>
          <t>Downer</t>
        </is>
      </c>
      <c r="T159" s="2" t="n">
        <v>100</v>
      </c>
      <c r="V159" s="11" t="n">
        <v>45107</v>
      </c>
      <c r="W159" s="2" t="inlineStr">
        <is>
          <t>Classification</t>
        </is>
      </c>
    </row>
    <row r="160">
      <c r="A160" s="2" t="inlineStr">
        <is>
          <t>Downer</t>
        </is>
      </c>
      <c r="B160" s="2" t="inlineStr">
        <is>
          <t>_CLOSED_FY20Rev_Commercial Electrical</t>
        </is>
      </c>
      <c r="C160" s="2" t="inlineStr">
        <is>
          <t>Facility</t>
        </is>
      </c>
      <c r="D160" s="2" t="inlineStr">
        <is>
          <t>L9.S.13000757</t>
        </is>
      </c>
      <c r="E160" s="2" t="inlineStr">
        <is>
          <t>L9.S.13000757</t>
        </is>
      </c>
      <c r="M160" s="2" t="inlineStr">
        <is>
          <t>North Ryde</t>
        </is>
      </c>
      <c r="N160" s="2" t="inlineStr">
        <is>
          <t>Australia</t>
        </is>
      </c>
      <c r="P160" s="2" t="inlineStr">
        <is>
          <t>Operational Control</t>
        </is>
      </c>
      <c r="Q160" s="2" t="inlineStr">
        <is>
          <t>Operational Control</t>
        </is>
      </c>
      <c r="R160" s="2" t="inlineStr">
        <is>
          <t>Asset &amp; Development Services (Baseline)</t>
        </is>
      </c>
      <c r="S160" s="2" t="inlineStr">
        <is>
          <t>Downer</t>
        </is>
      </c>
      <c r="T160" s="2" t="n">
        <v>100</v>
      </c>
      <c r="V160" s="11" t="n">
        <v>45107</v>
      </c>
      <c r="W160" s="2" t="inlineStr">
        <is>
          <t>Classification</t>
        </is>
      </c>
    </row>
    <row r="161">
      <c r="A161" s="2" t="inlineStr">
        <is>
          <t>Downer</t>
        </is>
      </c>
      <c r="B161" s="2" t="inlineStr">
        <is>
          <t>_CLOSED_FY20Rev_Corporate</t>
        </is>
      </c>
      <c r="C161" s="2" t="inlineStr">
        <is>
          <t>Facility</t>
        </is>
      </c>
      <c r="D161" s="2" t="inlineStr">
        <is>
          <t>L9.J.105001</t>
        </is>
      </c>
      <c r="E161" s="2" t="inlineStr">
        <is>
          <t>L9.J.105001</t>
        </is>
      </c>
      <c r="M161" s="2" t="inlineStr">
        <is>
          <t>North Ryde</t>
        </is>
      </c>
      <c r="N161" s="2" t="inlineStr">
        <is>
          <t>Australia</t>
        </is>
      </c>
      <c r="P161" s="2" t="inlineStr">
        <is>
          <t>Operational Control</t>
        </is>
      </c>
      <c r="Q161" s="2" t="inlineStr">
        <is>
          <t>Operational Control</t>
        </is>
      </c>
      <c r="R161" s="2" t="inlineStr">
        <is>
          <t>Corporate</t>
        </is>
      </c>
      <c r="S161" s="2" t="inlineStr">
        <is>
          <t>Downer</t>
        </is>
      </c>
      <c r="T161" s="2" t="n">
        <v>100</v>
      </c>
      <c r="W161" s="2" t="inlineStr">
        <is>
          <t>Classification</t>
        </is>
      </c>
    </row>
    <row r="162">
      <c r="A162" s="2" t="inlineStr">
        <is>
          <t>Downer</t>
        </is>
      </c>
      <c r="B162" s="2" t="inlineStr">
        <is>
          <t>_CLOSED_FY20Rev_Corporate Office</t>
        </is>
      </c>
      <c r="C162" s="2" t="inlineStr">
        <is>
          <t>Facility</t>
        </is>
      </c>
      <c r="D162" s="2" t="inlineStr">
        <is>
          <t>L9.J.362020</t>
        </is>
      </c>
      <c r="E162" s="2" t="inlineStr">
        <is>
          <t>L9.J.362020</t>
        </is>
      </c>
      <c r="M162" s="2" t="inlineStr">
        <is>
          <t>North Ryde</t>
        </is>
      </c>
      <c r="N162" s="2" t="inlineStr">
        <is>
          <t>Australia</t>
        </is>
      </c>
      <c r="P162" s="2" t="inlineStr">
        <is>
          <t>Operational Control</t>
        </is>
      </c>
      <c r="Q162" s="2" t="inlineStr">
        <is>
          <t>Operational Control</t>
        </is>
      </c>
      <c r="R162" s="2" t="inlineStr">
        <is>
          <t>Corporate</t>
        </is>
      </c>
      <c r="S162" s="2" t="inlineStr">
        <is>
          <t>Downer</t>
        </is>
      </c>
      <c r="T162" s="2" t="n">
        <v>100</v>
      </c>
      <c r="W162" s="2" t="inlineStr">
        <is>
          <t>Classification</t>
        </is>
      </c>
    </row>
    <row r="163">
      <c r="A163" s="2" t="inlineStr">
        <is>
          <t>Downer</t>
        </is>
      </c>
      <c r="B163" s="2" t="inlineStr">
        <is>
          <t>_CLOSED_FY20Rev_DMJV (NSW) (252)</t>
        </is>
      </c>
      <c r="C163" s="2" t="inlineStr">
        <is>
          <t>Branch</t>
        </is>
      </c>
      <c r="D163" s="2" t="inlineStr">
        <is>
          <t>L9.J.170402</t>
        </is>
      </c>
      <c r="E163" s="2" t="inlineStr">
        <is>
          <t>L9.J.170402</t>
        </is>
      </c>
      <c r="M163" s="2" t="inlineStr">
        <is>
          <t>North Ryde</t>
        </is>
      </c>
      <c r="N163" s="2" t="inlineStr">
        <is>
          <t>Australia</t>
        </is>
      </c>
      <c r="P163" s="2" t="inlineStr">
        <is>
          <t>Operational Control</t>
        </is>
      </c>
      <c r="Q163" s="2" t="inlineStr">
        <is>
          <t>Operational Control</t>
        </is>
      </c>
      <c r="R163" s="2" t="inlineStr">
        <is>
          <t>Transport &amp; Infrastructure (T&amp;I)</t>
        </is>
      </c>
      <c r="S163" s="2" t="inlineStr">
        <is>
          <t>Downer</t>
        </is>
      </c>
      <c r="T163" s="2" t="n">
        <v>100</v>
      </c>
      <c r="W163" s="2" t="inlineStr">
        <is>
          <t>Classification</t>
        </is>
      </c>
    </row>
    <row r="164">
      <c r="A164" s="2" t="inlineStr">
        <is>
          <t>Downer</t>
        </is>
      </c>
      <c r="B164" s="2" t="inlineStr">
        <is>
          <t>_CLOSED_FY20Rev_DMJV (QLD) (253)</t>
        </is>
      </c>
      <c r="C164" s="2" t="inlineStr">
        <is>
          <t>Branch</t>
        </is>
      </c>
      <c r="D164" s="2" t="inlineStr">
        <is>
          <t>L9.J.170402</t>
        </is>
      </c>
      <c r="E164" s="2" t="inlineStr">
        <is>
          <t>L9.J.170402</t>
        </is>
      </c>
      <c r="M164" s="2" t="inlineStr">
        <is>
          <t>North Ryde</t>
        </is>
      </c>
      <c r="N164" s="2" t="inlineStr">
        <is>
          <t>Australia</t>
        </is>
      </c>
      <c r="P164" s="2" t="inlineStr">
        <is>
          <t>Operational Control</t>
        </is>
      </c>
      <c r="Q164" s="2" t="inlineStr">
        <is>
          <t>Operational Control</t>
        </is>
      </c>
      <c r="R164" s="2" t="inlineStr">
        <is>
          <t>Transport &amp; Infrastructure (T&amp;I)</t>
        </is>
      </c>
      <c r="S164" s="2" t="inlineStr">
        <is>
          <t>Downer</t>
        </is>
      </c>
      <c r="T164" s="2" t="n">
        <v>100</v>
      </c>
      <c r="W164" s="2" t="inlineStr">
        <is>
          <t>Classification</t>
        </is>
      </c>
    </row>
    <row r="165">
      <c r="A165" s="2" t="inlineStr">
        <is>
          <t>Downer</t>
        </is>
      </c>
      <c r="B165" s="2" t="inlineStr">
        <is>
          <t>_CLOSED_FY20Rev_DMJV (WA) (254)</t>
        </is>
      </c>
      <c r="C165" s="2" t="inlineStr">
        <is>
          <t>Branch</t>
        </is>
      </c>
      <c r="D165" s="2" t="inlineStr">
        <is>
          <t>L9.J.170402</t>
        </is>
      </c>
      <c r="E165" s="2" t="inlineStr">
        <is>
          <t>L9.J.170402</t>
        </is>
      </c>
      <c r="M165" s="2" t="inlineStr">
        <is>
          <t>North Ryde</t>
        </is>
      </c>
      <c r="N165" s="2" t="inlineStr">
        <is>
          <t>Australia</t>
        </is>
      </c>
      <c r="P165" s="2" t="inlineStr">
        <is>
          <t>Operational Control</t>
        </is>
      </c>
      <c r="Q165" s="2" t="inlineStr">
        <is>
          <t>Operational Control</t>
        </is>
      </c>
      <c r="R165" s="2" t="inlineStr">
        <is>
          <t>Transport &amp; Infrastructure (T&amp;I)</t>
        </is>
      </c>
      <c r="S165" s="2" t="inlineStr">
        <is>
          <t>Downer</t>
        </is>
      </c>
      <c r="T165" s="2" t="n">
        <v>100</v>
      </c>
      <c r="W165" s="2" t="inlineStr">
        <is>
          <t>Classification</t>
        </is>
      </c>
    </row>
    <row r="166">
      <c r="A166" s="2" t="inlineStr">
        <is>
          <t>Downer</t>
        </is>
      </c>
      <c r="B166" s="2" t="inlineStr">
        <is>
          <t>_CLOSED_FY20Rev_Downer Asset Services</t>
        </is>
      </c>
      <c r="C166" s="2" t="inlineStr">
        <is>
          <t>Branch</t>
        </is>
      </c>
      <c r="D166" s="2" t="inlineStr">
        <is>
          <t>L9.ENG.360.14125</t>
        </is>
      </c>
      <c r="E166" s="2" t="inlineStr">
        <is>
          <t>L9.ENG.360.14125</t>
        </is>
      </c>
      <c r="M166" s="2" t="inlineStr">
        <is>
          <t>North Ryde</t>
        </is>
      </c>
      <c r="N166" s="2" t="inlineStr">
        <is>
          <t>Australia</t>
        </is>
      </c>
      <c r="P166" s="2" t="inlineStr">
        <is>
          <t>Operational Control</t>
        </is>
      </c>
      <c r="Q166" s="2" t="inlineStr">
        <is>
          <t>Operational Control</t>
        </is>
      </c>
      <c r="R166" s="2" t="inlineStr">
        <is>
          <t>Energy and Utilities (EU)</t>
        </is>
      </c>
      <c r="S166" s="2" t="inlineStr">
        <is>
          <t>Downer</t>
        </is>
      </c>
      <c r="T166" s="2" t="n">
        <v>100</v>
      </c>
      <c r="W166" s="2" t="inlineStr">
        <is>
          <t>Classification</t>
        </is>
      </c>
    </row>
    <row r="167">
      <c r="A167" s="2" t="inlineStr">
        <is>
          <t>Downer</t>
        </is>
      </c>
      <c r="B167" s="2" t="inlineStr">
        <is>
          <t>_CLOSED_FY20Rev_Downer Defence</t>
        </is>
      </c>
      <c r="C167" s="2" t="inlineStr">
        <is>
          <t>Facility</t>
        </is>
      </c>
      <c r="D167" s="2" t="inlineStr">
        <is>
          <t>L9.S.16013945</t>
        </is>
      </c>
      <c r="E167" s="2" t="inlineStr">
        <is>
          <t>L9.S.16013945</t>
        </is>
      </c>
      <c r="M167" s="2" t="inlineStr">
        <is>
          <t>North Ryde</t>
        </is>
      </c>
      <c r="N167" s="2" t="inlineStr">
        <is>
          <t>Australia</t>
        </is>
      </c>
      <c r="P167" s="2" t="inlineStr">
        <is>
          <t>Operational Control</t>
        </is>
      </c>
      <c r="Q167" s="2" t="inlineStr">
        <is>
          <t>Operational Control</t>
        </is>
      </c>
      <c r="R167" s="2" t="inlineStr">
        <is>
          <t>Social Infra &amp; Citizen Serv (SICS)</t>
        </is>
      </c>
      <c r="S167" s="2" t="inlineStr">
        <is>
          <t>Downer</t>
        </is>
      </c>
      <c r="T167" s="2" t="n">
        <v>100</v>
      </c>
      <c r="W167" s="2" t="inlineStr">
        <is>
          <t>Classification</t>
        </is>
      </c>
    </row>
    <row r="168">
      <c r="A168" s="2" t="inlineStr">
        <is>
          <t>Downer</t>
        </is>
      </c>
      <c r="B168" s="2" t="inlineStr">
        <is>
          <t>_CLOSED_FY20Rev_E&amp;C Legacy</t>
        </is>
      </c>
      <c r="C168" s="2" t="inlineStr">
        <is>
          <t>Facility</t>
        </is>
      </c>
      <c r="D168" s="2" t="inlineStr">
        <is>
          <t>L9.J.362020</t>
        </is>
      </c>
      <c r="E168" s="2" t="inlineStr">
        <is>
          <t>L9.J.362020</t>
        </is>
      </c>
      <c r="M168" s="2" t="inlineStr">
        <is>
          <t>North Ryde</t>
        </is>
      </c>
      <c r="N168" s="2" t="inlineStr">
        <is>
          <t>Australia</t>
        </is>
      </c>
      <c r="P168" s="2" t="inlineStr">
        <is>
          <t>Operational Control</t>
        </is>
      </c>
      <c r="Q168" s="2" t="inlineStr">
        <is>
          <t>Operational Control</t>
        </is>
      </c>
      <c r="R168" s="2" t="inlineStr">
        <is>
          <t>Corporate</t>
        </is>
      </c>
      <c r="S168" s="2" t="inlineStr">
        <is>
          <t>Downer</t>
        </is>
      </c>
      <c r="T168" s="2" t="n">
        <v>100</v>
      </c>
      <c r="W168" s="2" t="inlineStr">
        <is>
          <t>Classification</t>
        </is>
      </c>
    </row>
    <row r="169">
      <c r="A169" s="2" t="inlineStr">
        <is>
          <t>Downer</t>
        </is>
      </c>
      <c r="B169" s="2" t="inlineStr">
        <is>
          <t>_CLOSED_FY20Rev_EDI Rail PPP Maintenance Pty Ltd (Waratah</t>
        </is>
      </c>
      <c r="C169" s="2" t="inlineStr">
        <is>
          <t>Branch</t>
        </is>
      </c>
      <c r="D169" s="2" t="inlineStr">
        <is>
          <t>L9.J.706202</t>
        </is>
      </c>
      <c r="E169" s="2" t="inlineStr">
        <is>
          <t>L9.J.706202</t>
        </is>
      </c>
      <c r="M169" s="2" t="inlineStr">
        <is>
          <t>North Ryde</t>
        </is>
      </c>
      <c r="N169" s="2" t="inlineStr">
        <is>
          <t>Australia</t>
        </is>
      </c>
      <c r="P169" s="2" t="inlineStr">
        <is>
          <t>Operational Control</t>
        </is>
      </c>
      <c r="Q169" s="2" t="inlineStr">
        <is>
          <t>Operational Control</t>
        </is>
      </c>
      <c r="R169" s="2" t="inlineStr">
        <is>
          <t>Rail &amp; Transit Systems (RTS)</t>
        </is>
      </c>
      <c r="S169" s="2" t="inlineStr">
        <is>
          <t>Downer</t>
        </is>
      </c>
      <c r="T169" s="2" t="n">
        <v>100</v>
      </c>
      <c r="W169" s="2" t="inlineStr">
        <is>
          <t>Classification</t>
        </is>
      </c>
    </row>
    <row r="170">
      <c r="A170" s="2" t="inlineStr">
        <is>
          <t>Downer</t>
        </is>
      </c>
      <c r="B170" s="2" t="inlineStr">
        <is>
          <t>_CLOSED_FY20Rev_EDIR Limited - Millennium (711)</t>
        </is>
      </c>
      <c r="C170" s="2" t="inlineStr">
        <is>
          <t>Branch</t>
        </is>
      </c>
      <c r="D170" s="2" t="inlineStr">
        <is>
          <t>L9.J.709002</t>
        </is>
      </c>
      <c r="E170" s="2" t="inlineStr">
        <is>
          <t>L9.J.709002</t>
        </is>
      </c>
      <c r="M170" s="2" t="inlineStr">
        <is>
          <t>North Ryde</t>
        </is>
      </c>
      <c r="N170" s="2" t="inlineStr">
        <is>
          <t>Australia</t>
        </is>
      </c>
      <c r="P170" s="2" t="inlineStr">
        <is>
          <t>Operational Control</t>
        </is>
      </c>
      <c r="Q170" s="2" t="inlineStr">
        <is>
          <t>Operational Control</t>
        </is>
      </c>
      <c r="R170" s="2" t="inlineStr">
        <is>
          <t>Rail &amp; Transit Systems (RTS)</t>
        </is>
      </c>
      <c r="S170" s="2" t="inlineStr">
        <is>
          <t>Downer</t>
        </is>
      </c>
      <c r="T170" s="2" t="n">
        <v>100</v>
      </c>
      <c r="W170" s="2" t="inlineStr">
        <is>
          <t>Classification</t>
        </is>
      </c>
    </row>
    <row r="171">
      <c r="A171" s="2" t="inlineStr">
        <is>
          <t>Downer</t>
        </is>
      </c>
      <c r="B171" s="2" t="inlineStr">
        <is>
          <t>_CLOSED_FY20Rev_EDIR Limited - Sydney Growth Trains (712)</t>
        </is>
      </c>
      <c r="C171" s="2" t="inlineStr">
        <is>
          <t>Branch</t>
        </is>
      </c>
      <c r="D171" s="2" t="inlineStr">
        <is>
          <t>L9.MPM.SGT</t>
        </is>
      </c>
      <c r="E171" s="2" t="inlineStr">
        <is>
          <t>L9.MPM.SGT</t>
        </is>
      </c>
      <c r="M171" s="2" t="inlineStr">
        <is>
          <t>North Ryde</t>
        </is>
      </c>
      <c r="N171" s="2" t="inlineStr">
        <is>
          <t>Australia</t>
        </is>
      </c>
      <c r="P171" s="2" t="inlineStr">
        <is>
          <t>Operational Control</t>
        </is>
      </c>
      <c r="Q171" s="2" t="inlineStr">
        <is>
          <t>Operational Control</t>
        </is>
      </c>
      <c r="R171" s="2" t="inlineStr">
        <is>
          <t>Rail &amp; Transit Systems (RTS)</t>
        </is>
      </c>
      <c r="S171" s="2" t="inlineStr">
        <is>
          <t>Downer</t>
        </is>
      </c>
      <c r="T171" s="2" t="n">
        <v>100</v>
      </c>
      <c r="W171" s="2" t="inlineStr">
        <is>
          <t>Classification</t>
        </is>
      </c>
    </row>
    <row r="172">
      <c r="A172" s="2" t="inlineStr">
        <is>
          <t>Downer</t>
        </is>
      </c>
      <c r="B172" s="2" t="inlineStr">
        <is>
          <t>_CLOSED_FY20Rev_EDIR Limited (709)</t>
        </is>
      </c>
      <c r="C172" s="2" t="inlineStr">
        <is>
          <t>Branch</t>
        </is>
      </c>
      <c r="D172" s="2" t="inlineStr">
        <is>
          <t>L9.D.20142004</t>
        </is>
      </c>
      <c r="E172" s="2" t="inlineStr">
        <is>
          <t>L9.D.20142004</t>
        </is>
      </c>
      <c r="M172" s="2" t="inlineStr">
        <is>
          <t>North Ryde</t>
        </is>
      </c>
      <c r="N172" s="2" t="inlineStr">
        <is>
          <t>Australia</t>
        </is>
      </c>
      <c r="P172" s="2" t="inlineStr">
        <is>
          <t>Operational Control</t>
        </is>
      </c>
      <c r="Q172" s="2" t="inlineStr">
        <is>
          <t>Operational Control</t>
        </is>
      </c>
      <c r="R172" s="2" t="inlineStr">
        <is>
          <t>Rail &amp; Transit Systems (RTS)</t>
        </is>
      </c>
      <c r="S172" s="2" t="inlineStr">
        <is>
          <t>Downer</t>
        </is>
      </c>
      <c r="T172" s="2" t="n">
        <v>100</v>
      </c>
      <c r="W172" s="2" t="inlineStr">
        <is>
          <t>Classification</t>
        </is>
      </c>
    </row>
    <row r="173">
      <c r="A173" s="2" t="inlineStr">
        <is>
          <t>Downer</t>
        </is>
      </c>
      <c r="B173" s="2" t="inlineStr">
        <is>
          <t>_CLOSED_FY20Rev_Government &amp; Citizen Services</t>
        </is>
      </c>
      <c r="C173" s="2" t="inlineStr">
        <is>
          <t>Facility</t>
        </is>
      </c>
      <c r="D173" s="2" t="inlineStr">
        <is>
          <t>L9.S.13000030</t>
        </is>
      </c>
      <c r="E173" s="2" t="inlineStr">
        <is>
          <t>L9.S.13000030</t>
        </is>
      </c>
      <c r="M173" s="2" t="inlineStr">
        <is>
          <t>North Ryde</t>
        </is>
      </c>
      <c r="N173" s="2" t="inlineStr">
        <is>
          <t>Australia</t>
        </is>
      </c>
      <c r="P173" s="2" t="inlineStr">
        <is>
          <t>Operational Control</t>
        </is>
      </c>
      <c r="Q173" s="2" t="inlineStr">
        <is>
          <t>Operational Control</t>
        </is>
      </c>
      <c r="R173" s="2" t="inlineStr">
        <is>
          <t>Social Infra &amp; Citizen Serv (SICS)</t>
        </is>
      </c>
      <c r="S173" s="2" t="inlineStr">
        <is>
          <t>Downer</t>
        </is>
      </c>
      <c r="T173" s="2" t="n">
        <v>100</v>
      </c>
      <c r="W173" s="2" t="inlineStr">
        <is>
          <t>Classification</t>
        </is>
      </c>
    </row>
    <row r="174">
      <c r="A174" s="2" t="inlineStr">
        <is>
          <t>Downer</t>
        </is>
      </c>
      <c r="B174" s="2" t="inlineStr">
        <is>
          <t>_CLOSED_FY20Rev_HCMT</t>
        </is>
      </c>
      <c r="C174" s="2" t="inlineStr">
        <is>
          <t>Branch</t>
        </is>
      </c>
      <c r="D174" s="2" t="inlineStr">
        <is>
          <t>L9.J.712002</t>
        </is>
      </c>
      <c r="E174" s="2" t="inlineStr">
        <is>
          <t>L9.J.712002</t>
        </is>
      </c>
      <c r="M174" s="2" t="inlineStr">
        <is>
          <t>North Ryde</t>
        </is>
      </c>
      <c r="N174" s="2" t="inlineStr">
        <is>
          <t>Australia</t>
        </is>
      </c>
      <c r="P174" s="2" t="inlineStr">
        <is>
          <t>Operational Control</t>
        </is>
      </c>
      <c r="Q174" s="2" t="inlineStr">
        <is>
          <t>Operational Control</t>
        </is>
      </c>
      <c r="R174" s="2" t="inlineStr">
        <is>
          <t>Rail &amp; Transit Systems (RTS)</t>
        </is>
      </c>
      <c r="S174" s="2" t="inlineStr">
        <is>
          <t>Downer</t>
        </is>
      </c>
      <c r="T174" s="2" t="n">
        <v>100</v>
      </c>
      <c r="W174" s="2" t="inlineStr">
        <is>
          <t>Classification</t>
        </is>
      </c>
    </row>
    <row r="175">
      <c r="A175" s="2" t="inlineStr">
        <is>
          <t>Downer</t>
        </is>
      </c>
      <c r="B175" s="2" t="inlineStr">
        <is>
          <t>_CLOSED_FY20Rev_Health &amp; Education</t>
        </is>
      </c>
      <c r="C175" s="2" t="inlineStr">
        <is>
          <t>Facility</t>
        </is>
      </c>
      <c r="D175" s="2" t="inlineStr">
        <is>
          <t>L9.S.13900021</t>
        </is>
      </c>
      <c r="E175" s="2" t="inlineStr">
        <is>
          <t>L9.S.11000870</t>
        </is>
      </c>
      <c r="M175" s="2" t="inlineStr">
        <is>
          <t>North Ryde</t>
        </is>
      </c>
      <c r="N175" s="2" t="inlineStr">
        <is>
          <t>Australia</t>
        </is>
      </c>
      <c r="P175" s="2" t="inlineStr">
        <is>
          <t>Operational Control</t>
        </is>
      </c>
      <c r="Q175" s="2" t="inlineStr">
        <is>
          <t>Operational Control</t>
        </is>
      </c>
      <c r="R175" s="2" t="inlineStr">
        <is>
          <t>Social Infra &amp; Citizen Serv (SICS)</t>
        </is>
      </c>
      <c r="S175" s="2" t="inlineStr">
        <is>
          <t>Downer</t>
        </is>
      </c>
      <c r="T175" s="2" t="n">
        <v>100</v>
      </c>
      <c r="W175" s="2" t="inlineStr">
        <is>
          <t>Classification</t>
        </is>
      </c>
    </row>
    <row r="176">
      <c r="A176" s="2" t="inlineStr">
        <is>
          <t>Downer</t>
        </is>
      </c>
      <c r="B176" s="2" t="inlineStr">
        <is>
          <t>_CLOSED_FY20Rev_Hospitality</t>
        </is>
      </c>
      <c r="C176" s="2" t="inlineStr">
        <is>
          <t>Facility</t>
        </is>
      </c>
      <c r="D176" s="2" t="inlineStr">
        <is>
          <t>L9.S.11000870</t>
        </is>
      </c>
      <c r="E176" s="2" t="inlineStr">
        <is>
          <t>L9.S.11000870</t>
        </is>
      </c>
      <c r="M176" s="2" t="inlineStr">
        <is>
          <t>North Ryde</t>
        </is>
      </c>
      <c r="N176" s="2" t="inlineStr">
        <is>
          <t>Australia</t>
        </is>
      </c>
      <c r="P176" s="2" t="inlineStr">
        <is>
          <t>Operational Control</t>
        </is>
      </c>
      <c r="Q176" s="2" t="inlineStr">
        <is>
          <t>Operational Control</t>
        </is>
      </c>
      <c r="R176" s="2" t="inlineStr">
        <is>
          <t>Social Infra &amp; Citizen Serv (SICS)</t>
        </is>
      </c>
      <c r="S176" s="2" t="inlineStr">
        <is>
          <t>Downer</t>
        </is>
      </c>
      <c r="T176" s="2" t="n">
        <v>100</v>
      </c>
      <c r="W176" s="2" t="inlineStr">
        <is>
          <t>Classification</t>
        </is>
      </c>
    </row>
    <row r="177">
      <c r="A177" s="2" t="inlineStr">
        <is>
          <t>Downer</t>
        </is>
      </c>
      <c r="B177" s="2" t="inlineStr">
        <is>
          <t>_CLOSED_FY20Rev_Infrastructure Projects - DEW (200)</t>
        </is>
      </c>
      <c r="C177" s="2" t="inlineStr">
        <is>
          <t>Branch</t>
        </is>
      </c>
      <c r="D177" s="2" t="inlineStr">
        <is>
          <t>L9.D.201303</t>
        </is>
      </c>
      <c r="E177" s="2" t="inlineStr">
        <is>
          <t>L9.D.201303</t>
        </is>
      </c>
      <c r="M177" s="2" t="inlineStr">
        <is>
          <t>North Ryde</t>
        </is>
      </c>
      <c r="N177" s="2" t="inlineStr">
        <is>
          <t>Australia</t>
        </is>
      </c>
      <c r="P177" s="2" t="inlineStr">
        <is>
          <t>Operational Control</t>
        </is>
      </c>
      <c r="Q177" s="2" t="inlineStr">
        <is>
          <t>Operational Control</t>
        </is>
      </c>
      <c r="R177" s="2" t="inlineStr">
        <is>
          <t>DT Infrastructure (pre Sept 23 divestment)</t>
        </is>
      </c>
      <c r="S177" s="2" t="inlineStr">
        <is>
          <t>Downer</t>
        </is>
      </c>
      <c r="T177" s="2" t="n">
        <v>100</v>
      </c>
      <c r="V177" s="11" t="n">
        <v>45199</v>
      </c>
      <c r="W177" s="2" t="inlineStr">
        <is>
          <t>Classification</t>
        </is>
      </c>
    </row>
    <row r="178">
      <c r="A178" s="2" t="inlineStr">
        <is>
          <t>Downer</t>
        </is>
      </c>
      <c r="B178" s="2" t="inlineStr">
        <is>
          <t>_CLOSED_FY20Rev_Infrastructure Projects - joint operation</t>
        </is>
      </c>
      <c r="C178" s="2" t="inlineStr">
        <is>
          <t>Branch</t>
        </is>
      </c>
      <c r="D178" s="2" t="inlineStr">
        <is>
          <t>L9.D.201303</t>
        </is>
      </c>
      <c r="E178" s="2" t="inlineStr">
        <is>
          <t>L9.D.201303</t>
        </is>
      </c>
      <c r="M178" s="2" t="inlineStr">
        <is>
          <t>North Ryde</t>
        </is>
      </c>
      <c r="N178" s="2" t="inlineStr">
        <is>
          <t>Australia</t>
        </is>
      </c>
      <c r="P178" s="2" t="inlineStr">
        <is>
          <t>Operational Control</t>
        </is>
      </c>
      <c r="Q178" s="2" t="inlineStr">
        <is>
          <t>Operational Control</t>
        </is>
      </c>
      <c r="R178" s="2" t="inlineStr">
        <is>
          <t>DT Infrastructure (pre Sept 23 divestment)</t>
        </is>
      </c>
      <c r="S178" s="2" t="inlineStr">
        <is>
          <t>Downer</t>
        </is>
      </c>
      <c r="T178" s="2" t="n">
        <v>100</v>
      </c>
      <c r="V178" s="11" t="n">
        <v>45199</v>
      </c>
      <c r="W178" s="2" t="inlineStr">
        <is>
          <t>Classification</t>
        </is>
      </c>
    </row>
    <row r="179">
      <c r="A179" s="2" t="inlineStr">
        <is>
          <t>Downer</t>
        </is>
      </c>
      <c r="B179" s="2" t="inlineStr">
        <is>
          <t>_CLOSED_FY20Rev_Infrastructure Projects - VEC</t>
        </is>
      </c>
      <c r="C179" s="2" t="inlineStr">
        <is>
          <t>Branch</t>
        </is>
      </c>
      <c r="D179" s="2" t="inlineStr">
        <is>
          <t>L9.J.210211</t>
        </is>
      </c>
      <c r="E179" s="2" t="inlineStr">
        <is>
          <t>L9.J.210211</t>
        </is>
      </c>
      <c r="M179" s="2" t="inlineStr">
        <is>
          <t>North Ryde</t>
        </is>
      </c>
      <c r="N179" s="2" t="inlineStr">
        <is>
          <t>Australia</t>
        </is>
      </c>
      <c r="P179" s="2" t="inlineStr">
        <is>
          <t>Operational Control</t>
        </is>
      </c>
      <c r="Q179" s="2" t="inlineStr">
        <is>
          <t>Operational Control</t>
        </is>
      </c>
      <c r="R179" s="2" t="inlineStr">
        <is>
          <t>DT Infrastructure (pre Sept 23 divestment)</t>
        </is>
      </c>
      <c r="S179" s="2" t="inlineStr">
        <is>
          <t>Downer</t>
        </is>
      </c>
      <c r="T179" s="2" t="n">
        <v>100</v>
      </c>
      <c r="V179" s="11" t="n">
        <v>45199</v>
      </c>
      <c r="W179" s="2" t="inlineStr">
        <is>
          <t>Classification</t>
        </is>
      </c>
    </row>
    <row r="180">
      <c r="A180" s="2" t="inlineStr">
        <is>
          <t>Downer</t>
        </is>
      </c>
      <c r="B180" s="2" t="inlineStr">
        <is>
          <t>_CLOSED_FY20Rev_Intra Elim</t>
        </is>
      </c>
      <c r="C180" s="2" t="inlineStr">
        <is>
          <t>Facility</t>
        </is>
      </c>
      <c r="D180" s="2" t="inlineStr">
        <is>
          <t>L9.WAU.000891</t>
        </is>
      </c>
      <c r="E180" s="2" t="inlineStr">
        <is>
          <t>L9.WAU.000891</t>
        </is>
      </c>
      <c r="M180" s="2" t="inlineStr">
        <is>
          <t>North Ryde</t>
        </is>
      </c>
      <c r="N180" s="2" t="inlineStr">
        <is>
          <t>Australia</t>
        </is>
      </c>
      <c r="P180" s="2" t="inlineStr">
        <is>
          <t>Operational Control</t>
        </is>
      </c>
      <c r="Q180" s="2" t="inlineStr">
        <is>
          <t>Operational Control</t>
        </is>
      </c>
      <c r="R180" s="2" t="inlineStr">
        <is>
          <t>Corporate</t>
        </is>
      </c>
      <c r="S180" s="2" t="inlineStr">
        <is>
          <t>Downer</t>
        </is>
      </c>
      <c r="T180" s="2" t="n">
        <v>100</v>
      </c>
      <c r="W180" s="2" t="inlineStr">
        <is>
          <t>Classification</t>
        </is>
      </c>
    </row>
    <row r="181">
      <c r="A181" s="2" t="inlineStr">
        <is>
          <t>Downer</t>
        </is>
      </c>
      <c r="B181" s="2" t="inlineStr">
        <is>
          <t>_CLOSED_FY20Rev_Laundries</t>
        </is>
      </c>
      <c r="C181" s="2" t="inlineStr">
        <is>
          <t>Facility</t>
        </is>
      </c>
      <c r="D181" s="2" t="inlineStr">
        <is>
          <t>L9.J.362020</t>
        </is>
      </c>
      <c r="E181" s="2" t="inlineStr">
        <is>
          <t>L9.J.362020</t>
        </is>
      </c>
      <c r="M181" s="2" t="inlineStr">
        <is>
          <t>North Ryde</t>
        </is>
      </c>
      <c r="N181" s="2" t="inlineStr">
        <is>
          <t>Australia</t>
        </is>
      </c>
      <c r="P181" s="2" t="inlineStr">
        <is>
          <t>Operational Control</t>
        </is>
      </c>
      <c r="Q181" s="2" t="inlineStr">
        <is>
          <t>Operational Control</t>
        </is>
      </c>
      <c r="R181" s="2" t="inlineStr">
        <is>
          <t>Corporate</t>
        </is>
      </c>
      <c r="S181" s="2" t="inlineStr">
        <is>
          <t>Downer</t>
        </is>
      </c>
      <c r="T181" s="2" t="n">
        <v>100</v>
      </c>
      <c r="W181" s="2" t="inlineStr">
        <is>
          <t>Classification</t>
        </is>
      </c>
    </row>
    <row r="182">
      <c r="A182" s="2" t="inlineStr">
        <is>
          <t>Downer</t>
        </is>
      </c>
      <c r="B182" s="2" t="inlineStr">
        <is>
          <t>_CLOSED_FY20Rev_Maclab Services Pty Limited</t>
        </is>
      </c>
      <c r="C182" s="2" t="inlineStr">
        <is>
          <t>Facility</t>
        </is>
      </c>
      <c r="D182" s="2" t="inlineStr">
        <is>
          <t>L9.J.362020</t>
        </is>
      </c>
      <c r="E182" s="2" t="inlineStr">
        <is>
          <t>L9.J.362020</t>
        </is>
      </c>
      <c r="M182" s="2" t="inlineStr">
        <is>
          <t>North Ryde</t>
        </is>
      </c>
      <c r="N182" s="2" t="inlineStr">
        <is>
          <t>Australia</t>
        </is>
      </c>
      <c r="P182" s="2" t="inlineStr">
        <is>
          <t>Operational Control</t>
        </is>
      </c>
      <c r="Q182" s="2" t="inlineStr">
        <is>
          <t>Operational Control</t>
        </is>
      </c>
      <c r="R182" s="2" t="inlineStr">
        <is>
          <t>Corporate</t>
        </is>
      </c>
      <c r="S182" s="2" t="inlineStr">
        <is>
          <t>Downer</t>
        </is>
      </c>
      <c r="T182" s="2" t="n">
        <v>100</v>
      </c>
      <c r="W182" s="2" t="inlineStr">
        <is>
          <t>Classification</t>
        </is>
      </c>
    </row>
    <row r="183">
      <c r="A183" s="2" t="inlineStr">
        <is>
          <t>Downer</t>
        </is>
      </c>
      <c r="B183" s="2" t="inlineStr">
        <is>
          <t>_CLOSED_FY20Rev_Major Projects - Group Recharges &amp; Rent (</t>
        </is>
      </c>
      <c r="C183" s="2" t="inlineStr">
        <is>
          <t>Branch</t>
        </is>
      </c>
      <c r="D183" s="2" t="inlineStr">
        <is>
          <t>L9.J.70700019</t>
        </is>
      </c>
      <c r="E183" s="2" t="inlineStr">
        <is>
          <t>L9.J.70700019</t>
        </is>
      </c>
      <c r="M183" s="2" t="inlineStr">
        <is>
          <t>North Ryde</t>
        </is>
      </c>
      <c r="N183" s="2" t="inlineStr">
        <is>
          <t>Australia</t>
        </is>
      </c>
      <c r="P183" s="2" t="inlineStr">
        <is>
          <t>Operational Control</t>
        </is>
      </c>
      <c r="Q183" s="2" t="inlineStr">
        <is>
          <t>Operational Control</t>
        </is>
      </c>
      <c r="R183" s="2" t="inlineStr">
        <is>
          <t>Rail &amp; Transit Systems (RTS)</t>
        </is>
      </c>
      <c r="S183" s="2" t="inlineStr">
        <is>
          <t>Downer</t>
        </is>
      </c>
      <c r="T183" s="2" t="n">
        <v>100</v>
      </c>
      <c r="W183" s="2" t="inlineStr">
        <is>
          <t>Classification</t>
        </is>
      </c>
    </row>
    <row r="184">
      <c r="A184" s="2" t="inlineStr">
        <is>
          <t>Downer</t>
        </is>
      </c>
      <c r="B184" s="2" t="inlineStr">
        <is>
          <t>_CLOSED_FY20Rev_Managed Solutions</t>
        </is>
      </c>
      <c r="C184" s="2" t="inlineStr">
        <is>
          <t>Facility</t>
        </is>
      </c>
      <c r="D184" s="2" t="inlineStr">
        <is>
          <t>L9.J.510002</t>
        </is>
      </c>
      <c r="E184" s="2" t="inlineStr">
        <is>
          <t>L9.J.510002</t>
        </is>
      </c>
      <c r="M184" s="2" t="inlineStr">
        <is>
          <t>North Ryde</t>
        </is>
      </c>
      <c r="N184" s="2" t="inlineStr">
        <is>
          <t>Australia</t>
        </is>
      </c>
      <c r="P184" s="2" t="inlineStr">
        <is>
          <t>Operational Control</t>
        </is>
      </c>
      <c r="Q184" s="2" t="inlineStr">
        <is>
          <t>Operational Control</t>
        </is>
      </c>
      <c r="R184" s="2" t="inlineStr">
        <is>
          <t>Managed Solutions</t>
        </is>
      </c>
      <c r="S184" s="2" t="inlineStr">
        <is>
          <t>Downer</t>
        </is>
      </c>
      <c r="T184" s="2" t="n">
        <v>100</v>
      </c>
      <c r="W184" s="2" t="inlineStr">
        <is>
          <t>Classification</t>
        </is>
      </c>
    </row>
    <row r="185">
      <c r="A185" s="2" t="inlineStr">
        <is>
          <t>Downer</t>
        </is>
      </c>
      <c r="B185" s="2" t="inlineStr">
        <is>
          <t>_CLOSED_FY20Rev_MD Mineral Technologies Private Limited (</t>
        </is>
      </c>
      <c r="C185" s="2" t="inlineStr">
        <is>
          <t>Facility</t>
        </is>
      </c>
      <c r="D185" s="2" t="inlineStr">
        <is>
          <t>L9.ENG.982.11.805</t>
        </is>
      </c>
      <c r="E185" s="2" t="inlineStr">
        <is>
          <t>L9.ENG.982.11.805</t>
        </is>
      </c>
      <c r="M185" s="2" t="inlineStr">
        <is>
          <t>North Ryde</t>
        </is>
      </c>
      <c r="N185" s="2" t="inlineStr">
        <is>
          <t>Australia</t>
        </is>
      </c>
      <c r="P185" s="2" t="inlineStr">
        <is>
          <t>Operational Control</t>
        </is>
      </c>
      <c r="Q185" s="2" t="inlineStr">
        <is>
          <t>Operational Control</t>
        </is>
      </c>
      <c r="R185" s="2" t="inlineStr">
        <is>
          <t>Energy and Utilities (EU)</t>
        </is>
      </c>
      <c r="S185" s="2" t="inlineStr">
        <is>
          <t>Downer</t>
        </is>
      </c>
      <c r="T185" s="2" t="n">
        <v>100</v>
      </c>
      <c r="W185" s="2" t="inlineStr">
        <is>
          <t>Classification</t>
        </is>
      </c>
    </row>
    <row r="186">
      <c r="A186" s="2" t="inlineStr">
        <is>
          <t>Downer</t>
        </is>
      </c>
      <c r="B186" s="2" t="inlineStr">
        <is>
          <t>_CLOSED_FY20Rev_MD Mineral Technologies SA (Pty) Ltd (396</t>
        </is>
      </c>
      <c r="C186" s="2" t="inlineStr">
        <is>
          <t>Facility</t>
        </is>
      </c>
      <c r="D186" s="2" t="inlineStr">
        <is>
          <t>L9.ENG.982.11.805</t>
        </is>
      </c>
      <c r="E186" s="2" t="inlineStr">
        <is>
          <t>L9.ENG.982.11.805</t>
        </is>
      </c>
      <c r="M186" s="2" t="inlineStr">
        <is>
          <t>North Ryde</t>
        </is>
      </c>
      <c r="N186" s="2" t="inlineStr">
        <is>
          <t>Australia</t>
        </is>
      </c>
      <c r="P186" s="2" t="inlineStr">
        <is>
          <t>Operational Control</t>
        </is>
      </c>
      <c r="Q186" s="2" t="inlineStr">
        <is>
          <t>Operational Control</t>
        </is>
      </c>
      <c r="R186" s="2" t="inlineStr">
        <is>
          <t>Energy and Utilities (EU)</t>
        </is>
      </c>
      <c r="S186" s="2" t="inlineStr">
        <is>
          <t>Downer</t>
        </is>
      </c>
      <c r="T186" s="2" t="n">
        <v>100</v>
      </c>
      <c r="W186" s="2" t="inlineStr">
        <is>
          <t>Classification</t>
        </is>
      </c>
    </row>
    <row r="187">
      <c r="A187" s="2" t="inlineStr">
        <is>
          <t>Downer</t>
        </is>
      </c>
      <c r="B187" s="2" t="inlineStr">
        <is>
          <t>_CLOSED_FY20Rev_Mineral Technologies Comercio de Equipame</t>
        </is>
      </c>
      <c r="C187" s="2" t="inlineStr">
        <is>
          <t>Facility</t>
        </is>
      </c>
      <c r="D187" s="2" t="inlineStr">
        <is>
          <t>L9.ENG.982.11.805</t>
        </is>
      </c>
      <c r="E187" s="2" t="inlineStr">
        <is>
          <t>L9.ENG.982.11.805</t>
        </is>
      </c>
      <c r="M187" s="2" t="inlineStr">
        <is>
          <t>North Ryde</t>
        </is>
      </c>
      <c r="N187" s="2" t="inlineStr">
        <is>
          <t>Australia</t>
        </is>
      </c>
      <c r="P187" s="2" t="inlineStr">
        <is>
          <t>Operational Control</t>
        </is>
      </c>
      <c r="Q187" s="2" t="inlineStr">
        <is>
          <t>Operational Control</t>
        </is>
      </c>
      <c r="R187" s="2" t="inlineStr">
        <is>
          <t>Energy and Utilities (EU)</t>
        </is>
      </c>
      <c r="S187" s="2" t="inlineStr">
        <is>
          <t>Downer</t>
        </is>
      </c>
      <c r="T187" s="2" t="n">
        <v>100</v>
      </c>
      <c r="W187" s="2" t="inlineStr">
        <is>
          <t>Classification</t>
        </is>
      </c>
    </row>
    <row r="188">
      <c r="A188" s="2" t="inlineStr">
        <is>
          <t>Downer</t>
        </is>
      </c>
      <c r="B188" s="2" t="inlineStr">
        <is>
          <t>_CLOSED_FY20Rev_Mineral Technologies Pty Ltd - Elim Inv I</t>
        </is>
      </c>
      <c r="C188" s="2" t="inlineStr">
        <is>
          <t>Facility</t>
        </is>
      </c>
      <c r="D188" s="2" t="inlineStr">
        <is>
          <t>L9.ENG.982.11.805</t>
        </is>
      </c>
      <c r="E188" s="2" t="inlineStr">
        <is>
          <t>L9.ENG.982.11.805</t>
        </is>
      </c>
      <c r="M188" s="2" t="inlineStr">
        <is>
          <t>North Ryde</t>
        </is>
      </c>
      <c r="N188" s="2" t="inlineStr">
        <is>
          <t>Australia</t>
        </is>
      </c>
      <c r="P188" s="2" t="inlineStr">
        <is>
          <t>Operational Control</t>
        </is>
      </c>
      <c r="Q188" s="2" t="inlineStr">
        <is>
          <t>Operational Control</t>
        </is>
      </c>
      <c r="R188" s="2" t="inlineStr">
        <is>
          <t>Energy and Utilities (EU)</t>
        </is>
      </c>
      <c r="S188" s="2" t="inlineStr">
        <is>
          <t>Downer</t>
        </is>
      </c>
      <c r="T188" s="2" t="n">
        <v>100</v>
      </c>
      <c r="W188" s="2" t="inlineStr">
        <is>
          <t>Classification</t>
        </is>
      </c>
    </row>
    <row r="189">
      <c r="A189" s="2" t="inlineStr">
        <is>
          <t>Downer</t>
        </is>
      </c>
      <c r="B189" s="2" t="inlineStr">
        <is>
          <t>_CLOSED_FY20Rev_Mineral Technologies Pty Ltd (395)</t>
        </is>
      </c>
      <c r="C189" s="2" t="inlineStr">
        <is>
          <t>Facility</t>
        </is>
      </c>
      <c r="D189" s="2" t="inlineStr">
        <is>
          <t>L9.ENG.982.11.805</t>
        </is>
      </c>
      <c r="E189" s="2" t="inlineStr">
        <is>
          <t>L9.ENG.982.11.805</t>
        </is>
      </c>
      <c r="M189" s="2" t="inlineStr">
        <is>
          <t>North Ryde</t>
        </is>
      </c>
      <c r="N189" s="2" t="inlineStr">
        <is>
          <t>Australia</t>
        </is>
      </c>
      <c r="P189" s="2" t="inlineStr">
        <is>
          <t>Operational Control</t>
        </is>
      </c>
      <c r="Q189" s="2" t="inlineStr">
        <is>
          <t>Operational Control</t>
        </is>
      </c>
      <c r="R189" s="2" t="inlineStr">
        <is>
          <t>Energy and Utilities (EU)</t>
        </is>
      </c>
      <c r="S189" s="2" t="inlineStr">
        <is>
          <t>Downer</t>
        </is>
      </c>
      <c r="T189" s="2" t="n">
        <v>100</v>
      </c>
      <c r="W189" s="2" t="inlineStr">
        <is>
          <t>Classification</t>
        </is>
      </c>
    </row>
    <row r="190">
      <c r="A190" s="2" t="inlineStr">
        <is>
          <t>Downer</t>
        </is>
      </c>
      <c r="B190" s="2" t="inlineStr">
        <is>
          <t>_CLOSED_FY20Rev_Mineral Technologies, Inc (400)</t>
        </is>
      </c>
      <c r="C190" s="2" t="inlineStr">
        <is>
          <t>Facility</t>
        </is>
      </c>
      <c r="D190" s="2" t="inlineStr">
        <is>
          <t>L9.ENG.982.11.805</t>
        </is>
      </c>
      <c r="E190" s="2" t="inlineStr">
        <is>
          <t>L9.ENG.982.11.805</t>
        </is>
      </c>
      <c r="M190" s="2" t="inlineStr">
        <is>
          <t>North Ryde</t>
        </is>
      </c>
      <c r="N190" s="2" t="inlineStr">
        <is>
          <t>Australia</t>
        </is>
      </c>
      <c r="P190" s="2" t="inlineStr">
        <is>
          <t>Operational Control</t>
        </is>
      </c>
      <c r="Q190" s="2" t="inlineStr">
        <is>
          <t>Operational Control</t>
        </is>
      </c>
      <c r="R190" s="2" t="inlineStr">
        <is>
          <t>Energy and Utilities (EU)</t>
        </is>
      </c>
      <c r="S190" s="2" t="inlineStr">
        <is>
          <t>Downer</t>
        </is>
      </c>
      <c r="T190" s="2" t="n">
        <v>100</v>
      </c>
      <c r="W190" s="2" t="inlineStr">
        <is>
          <t>Classification</t>
        </is>
      </c>
    </row>
    <row r="191">
      <c r="A191" s="2" t="inlineStr">
        <is>
          <t>Downer</t>
        </is>
      </c>
      <c r="B191" s="2" t="inlineStr">
        <is>
          <t>_CLOSED_FY20Rev_NZ - NSC, IT, Property, WF &amp; Elins</t>
        </is>
      </c>
      <c r="C191" s="2" t="inlineStr">
        <is>
          <t>Facility</t>
        </is>
      </c>
      <c r="D191" s="2" t="inlineStr">
        <is>
          <t>L9.WAU.000891</t>
        </is>
      </c>
      <c r="E191" s="2" t="inlineStr">
        <is>
          <t>L9.WAU.000891</t>
        </is>
      </c>
      <c r="M191" s="2" t="inlineStr">
        <is>
          <t>North Ryde</t>
        </is>
      </c>
      <c r="N191" s="2" t="inlineStr">
        <is>
          <t>Australia</t>
        </is>
      </c>
      <c r="P191" s="2" t="inlineStr">
        <is>
          <t>Operational Control</t>
        </is>
      </c>
      <c r="Q191" s="2" t="inlineStr">
        <is>
          <t>Operational Control</t>
        </is>
      </c>
      <c r="R191" s="2" t="inlineStr">
        <is>
          <t>Corporate</t>
        </is>
      </c>
      <c r="S191" s="2" t="inlineStr">
        <is>
          <t>Downer</t>
        </is>
      </c>
      <c r="T191" s="2" t="n">
        <v>100</v>
      </c>
      <c r="W191" s="2" t="inlineStr">
        <is>
          <t>Classification</t>
        </is>
      </c>
    </row>
    <row r="192">
      <c r="A192" s="2" t="inlineStr">
        <is>
          <t>Downer</t>
        </is>
      </c>
      <c r="B192" s="2" t="inlineStr">
        <is>
          <t>_CLOSED_FY20Rev_NZ Facilities</t>
        </is>
      </c>
      <c r="C192" s="2" t="inlineStr">
        <is>
          <t>Facility</t>
        </is>
      </c>
      <c r="D192" s="2" t="inlineStr">
        <is>
          <t>L9.DNZJ.69601</t>
        </is>
      </c>
      <c r="E192" s="2" t="inlineStr">
        <is>
          <t>L9.DNZJ.69601</t>
        </is>
      </c>
      <c r="M192" s="2" t="inlineStr">
        <is>
          <t>North Ryde</t>
        </is>
      </c>
      <c r="N192" s="2" t="inlineStr">
        <is>
          <t>Australia</t>
        </is>
      </c>
      <c r="P192" s="2" t="inlineStr">
        <is>
          <t>Operational Control</t>
        </is>
      </c>
      <c r="Q192" s="2" t="inlineStr">
        <is>
          <t>Operational Control</t>
        </is>
      </c>
      <c r="R192" s="2" t="inlineStr">
        <is>
          <t>Social Infra &amp; Citizen Serv (SICS)</t>
        </is>
      </c>
      <c r="S192" s="2" t="inlineStr">
        <is>
          <t>Downer</t>
        </is>
      </c>
      <c r="T192" s="2" t="n">
        <v>100</v>
      </c>
      <c r="W192" s="2" t="inlineStr">
        <is>
          <t>Classification</t>
        </is>
      </c>
    </row>
    <row r="193">
      <c r="A193" s="2" t="inlineStr">
        <is>
          <t>Downer</t>
        </is>
      </c>
      <c r="B193" s="2" t="inlineStr">
        <is>
          <t>_CLOSED_FY20Rev_NZ Transport</t>
        </is>
      </c>
      <c r="C193" s="2" t="inlineStr">
        <is>
          <t>Facility</t>
        </is>
      </c>
      <c r="D193" s="2" t="inlineStr">
        <is>
          <t>L9.DNZJ.55686</t>
        </is>
      </c>
      <c r="E193" s="2" t="inlineStr">
        <is>
          <t>L9.DNZJ.55686</t>
        </is>
      </c>
      <c r="M193" s="2" t="inlineStr">
        <is>
          <t>North Ryde</t>
        </is>
      </c>
      <c r="N193" s="2" t="inlineStr">
        <is>
          <t>Australia</t>
        </is>
      </c>
      <c r="P193" s="2" t="inlineStr">
        <is>
          <t>Operational Control</t>
        </is>
      </c>
      <c r="Q193" s="2" t="inlineStr">
        <is>
          <t>Operational Control</t>
        </is>
      </c>
      <c r="R193" s="2" t="inlineStr">
        <is>
          <t>Transport &amp; Infrastructure (T&amp;I)</t>
        </is>
      </c>
      <c r="S193" s="2" t="inlineStr">
        <is>
          <t>Downer</t>
        </is>
      </c>
      <c r="T193" s="2" t="n">
        <v>100</v>
      </c>
      <c r="W193" s="2" t="inlineStr">
        <is>
          <t>Classification</t>
        </is>
      </c>
    </row>
    <row r="194">
      <c r="A194" s="2" t="inlineStr">
        <is>
          <t>Downer</t>
        </is>
      </c>
      <c r="B194" s="2" t="inlineStr">
        <is>
          <t>_CLOSED_FY20Rev_NZ Utilities</t>
        </is>
      </c>
      <c r="C194" s="2" t="inlineStr">
        <is>
          <t>Facility</t>
        </is>
      </c>
      <c r="D194" s="2" t="inlineStr">
        <is>
          <t>L9.DNZJ.561672</t>
        </is>
      </c>
      <c r="E194" s="2" t="inlineStr">
        <is>
          <t>L9.DNZJ.561672</t>
        </is>
      </c>
      <c r="M194" s="2" t="inlineStr">
        <is>
          <t>North Ryde</t>
        </is>
      </c>
      <c r="N194" s="2" t="inlineStr">
        <is>
          <t>Australia</t>
        </is>
      </c>
      <c r="P194" s="2" t="inlineStr">
        <is>
          <t>Operational Control</t>
        </is>
      </c>
      <c r="Q194" s="2" t="inlineStr">
        <is>
          <t>Operational Control</t>
        </is>
      </c>
      <c r="R194" s="2" t="inlineStr">
        <is>
          <t>Energy and Utilities (EU)</t>
        </is>
      </c>
      <c r="S194" s="2" t="inlineStr">
        <is>
          <t>Downer</t>
        </is>
      </c>
      <c r="T194" s="2" t="n">
        <v>100</v>
      </c>
      <c r="W194" s="2" t="inlineStr">
        <is>
          <t>Classification</t>
        </is>
      </c>
    </row>
    <row r="195">
      <c r="A195" s="2" t="inlineStr">
        <is>
          <t>Downer</t>
        </is>
      </c>
      <c r="B195" s="2" t="inlineStr">
        <is>
          <t>_CLOSED_FY20Rev_Rail Services Victoria Pty Ltd</t>
        </is>
      </c>
      <c r="C195" s="2" t="inlineStr">
        <is>
          <t>Facility</t>
        </is>
      </c>
      <c r="D195" s="2" t="inlineStr">
        <is>
          <t>L9.J.362020</t>
        </is>
      </c>
      <c r="E195" s="2" t="inlineStr">
        <is>
          <t>L9.J.362020</t>
        </is>
      </c>
      <c r="M195" s="2" t="inlineStr">
        <is>
          <t>North Ryde</t>
        </is>
      </c>
      <c r="N195" s="2" t="inlineStr">
        <is>
          <t>Australia</t>
        </is>
      </c>
      <c r="P195" s="2" t="inlineStr">
        <is>
          <t>Operational Control</t>
        </is>
      </c>
      <c r="Q195" s="2" t="inlineStr">
        <is>
          <t>Operational Control</t>
        </is>
      </c>
      <c r="R195" s="2" t="inlineStr">
        <is>
          <t>Corporate</t>
        </is>
      </c>
      <c r="S195" s="2" t="inlineStr">
        <is>
          <t>Downer</t>
        </is>
      </c>
      <c r="T195" s="2" t="n">
        <v>100</v>
      </c>
      <c r="W195" s="2" t="inlineStr">
        <is>
          <t>Classification</t>
        </is>
      </c>
    </row>
    <row r="196">
      <c r="A196" s="2" t="inlineStr">
        <is>
          <t>Downer</t>
        </is>
      </c>
      <c r="B196" s="2" t="inlineStr">
        <is>
          <t>_CLOSED_FY20Rev_Road Services - DEW (170)</t>
        </is>
      </c>
      <c r="C196" s="2" t="inlineStr">
        <is>
          <t>Branch</t>
        </is>
      </c>
      <c r="D196" s="2" t="inlineStr">
        <is>
          <t>L9.J.170402</t>
        </is>
      </c>
      <c r="E196" s="2" t="inlineStr">
        <is>
          <t>L9.J.170402</t>
        </is>
      </c>
      <c r="M196" s="2" t="inlineStr">
        <is>
          <t>North Ryde</t>
        </is>
      </c>
      <c r="N196" s="2" t="inlineStr">
        <is>
          <t>Australia</t>
        </is>
      </c>
      <c r="P196" s="2" t="inlineStr">
        <is>
          <t>Operational Control</t>
        </is>
      </c>
      <c r="Q196" s="2" t="inlineStr">
        <is>
          <t>Operational Control</t>
        </is>
      </c>
      <c r="R196" s="2" t="inlineStr">
        <is>
          <t>Transport &amp; Infrastructure (T&amp;I)</t>
        </is>
      </c>
      <c r="S196" s="2" t="inlineStr">
        <is>
          <t>Downer</t>
        </is>
      </c>
      <c r="T196" s="2" t="n">
        <v>100</v>
      </c>
      <c r="W196" s="2" t="inlineStr">
        <is>
          <t>Classification</t>
        </is>
      </c>
    </row>
    <row r="197">
      <c r="A197" s="2" t="inlineStr">
        <is>
          <t>Downer</t>
        </is>
      </c>
      <c r="B197" s="2" t="inlineStr">
        <is>
          <t>_CLOSED_FY20Rev_Rock N Road Bitumen Pty Ltd (173)</t>
        </is>
      </c>
      <c r="C197" s="2" t="inlineStr">
        <is>
          <t>Branch</t>
        </is>
      </c>
      <c r="D197" s="2" t="inlineStr">
        <is>
          <t>L9.J.170402</t>
        </is>
      </c>
      <c r="E197" s="2" t="inlineStr">
        <is>
          <t>L9.J.170402</t>
        </is>
      </c>
      <c r="M197" s="2" t="inlineStr">
        <is>
          <t>North Ryde</t>
        </is>
      </c>
      <c r="N197" s="2" t="inlineStr">
        <is>
          <t>Australia</t>
        </is>
      </c>
      <c r="P197" s="2" t="inlineStr">
        <is>
          <t>Operational Control</t>
        </is>
      </c>
      <c r="Q197" s="2" t="inlineStr">
        <is>
          <t>Operational Control</t>
        </is>
      </c>
      <c r="R197" s="2" t="inlineStr">
        <is>
          <t>Transport &amp; Infrastructure (T&amp;I)</t>
        </is>
      </c>
      <c r="S197" s="2" t="inlineStr">
        <is>
          <t>Downer</t>
        </is>
      </c>
      <c r="T197" s="2" t="n">
        <v>100</v>
      </c>
      <c r="W197" s="2" t="inlineStr">
        <is>
          <t>Classification</t>
        </is>
      </c>
    </row>
    <row r="198">
      <c r="A198" s="2" t="inlineStr">
        <is>
          <t>Downer</t>
        </is>
      </c>
      <c r="B198" s="2" t="inlineStr">
        <is>
          <t>_CLOSED_FY20Rev_RPQ (171)</t>
        </is>
      </c>
      <c r="C198" s="2" t="inlineStr">
        <is>
          <t>Branch</t>
        </is>
      </c>
      <c r="D198" s="2" t="inlineStr">
        <is>
          <t>L9.J.170402</t>
        </is>
      </c>
      <c r="E198" s="2" t="inlineStr">
        <is>
          <t>L9.J.170402</t>
        </is>
      </c>
      <c r="M198" s="2" t="inlineStr">
        <is>
          <t>North Ryde</t>
        </is>
      </c>
      <c r="N198" s="2" t="inlineStr">
        <is>
          <t>Australia</t>
        </is>
      </c>
      <c r="P198" s="2" t="inlineStr">
        <is>
          <t>Operational Control</t>
        </is>
      </c>
      <c r="Q198" s="2" t="inlineStr">
        <is>
          <t>Operational Control</t>
        </is>
      </c>
      <c r="R198" s="2" t="inlineStr">
        <is>
          <t>Transport &amp; Infrastructure (T&amp;I)</t>
        </is>
      </c>
      <c r="S198" s="2" t="inlineStr">
        <is>
          <t>Downer</t>
        </is>
      </c>
      <c r="T198" s="2" t="n">
        <v>100</v>
      </c>
      <c r="W198" s="2" t="inlineStr">
        <is>
          <t>Classification</t>
        </is>
      </c>
    </row>
    <row r="199">
      <c r="A199" s="2" t="inlineStr">
        <is>
          <t>Downer</t>
        </is>
      </c>
      <c r="B199" s="2" t="inlineStr">
        <is>
          <t>_CLOSED_FY20Rev_SGTP</t>
        </is>
      </c>
      <c r="C199" s="2" t="inlineStr">
        <is>
          <t>Branch</t>
        </is>
      </c>
      <c r="D199" s="2" t="inlineStr">
        <is>
          <t>L9.J.70700019</t>
        </is>
      </c>
      <c r="E199" s="2" t="inlineStr">
        <is>
          <t>L9.J.70700019</t>
        </is>
      </c>
      <c r="M199" s="2" t="inlineStr">
        <is>
          <t>North Ryde</t>
        </is>
      </c>
      <c r="N199" s="2" t="inlineStr">
        <is>
          <t>Australia</t>
        </is>
      </c>
      <c r="P199" s="2" t="inlineStr">
        <is>
          <t>Operational Control</t>
        </is>
      </c>
      <c r="Q199" s="2" t="inlineStr">
        <is>
          <t>Operational Control</t>
        </is>
      </c>
      <c r="R199" s="2" t="inlineStr">
        <is>
          <t>Rail &amp; Transit Systems (RTS)</t>
        </is>
      </c>
      <c r="S199" s="2" t="inlineStr">
        <is>
          <t>Downer</t>
        </is>
      </c>
      <c r="T199" s="2" t="n">
        <v>100</v>
      </c>
      <c r="W199" s="2" t="inlineStr">
        <is>
          <t>Classification</t>
        </is>
      </c>
    </row>
    <row r="200">
      <c r="A200" s="2" t="inlineStr">
        <is>
          <t>Downer</t>
        </is>
      </c>
      <c r="B200" s="2" t="inlineStr">
        <is>
          <t>_CLOSED_FY20Rev_Spotless Adjustment</t>
        </is>
      </c>
      <c r="C200" s="2" t="inlineStr">
        <is>
          <t>Facility</t>
        </is>
      </c>
      <c r="D200" s="2" t="inlineStr">
        <is>
          <t>L9.ENG.360.14125</t>
        </is>
      </c>
      <c r="E200" s="2" t="inlineStr">
        <is>
          <t>L9.S.11000870</t>
        </is>
      </c>
      <c r="M200" s="2" t="inlineStr">
        <is>
          <t>North Ryde</t>
        </is>
      </c>
      <c r="N200" s="2" t="inlineStr">
        <is>
          <t>Australia</t>
        </is>
      </c>
      <c r="P200" s="2" t="inlineStr">
        <is>
          <t>Operational Control</t>
        </is>
      </c>
      <c r="Q200" s="2" t="inlineStr">
        <is>
          <t>Operational Control</t>
        </is>
      </c>
      <c r="R200" s="2" t="inlineStr">
        <is>
          <t>Energy and Utilities (EU)</t>
        </is>
      </c>
      <c r="S200" s="2" t="inlineStr">
        <is>
          <t>Downer</t>
        </is>
      </c>
      <c r="T200" s="2" t="n">
        <v>100</v>
      </c>
      <c r="W200" s="2" t="inlineStr">
        <is>
          <t>Classification</t>
        </is>
      </c>
    </row>
    <row r="201">
      <c r="A201" s="2" t="inlineStr">
        <is>
          <t>Downer</t>
        </is>
      </c>
      <c r="B201" s="2" t="inlineStr">
        <is>
          <t>_CLOSED_FY20Rev_Spotless Defence</t>
        </is>
      </c>
      <c r="C201" s="2" t="inlineStr">
        <is>
          <t>Facility</t>
        </is>
      </c>
      <c r="D201" s="2" t="inlineStr">
        <is>
          <t>L9.S.16013945</t>
        </is>
      </c>
      <c r="E201" s="2" t="inlineStr">
        <is>
          <t>L9.S.16013945</t>
        </is>
      </c>
      <c r="M201" s="2" t="inlineStr">
        <is>
          <t>North Ryde</t>
        </is>
      </c>
      <c r="N201" s="2" t="inlineStr">
        <is>
          <t>Australia</t>
        </is>
      </c>
      <c r="P201" s="2" t="inlineStr">
        <is>
          <t>Operational Control</t>
        </is>
      </c>
      <c r="Q201" s="2" t="inlineStr">
        <is>
          <t>Operational Control</t>
        </is>
      </c>
      <c r="R201" s="2" t="inlineStr">
        <is>
          <t>Social Infra &amp; Citizen Serv (SICS)</t>
        </is>
      </c>
      <c r="S201" s="2" t="inlineStr">
        <is>
          <t>Downer</t>
        </is>
      </c>
      <c r="T201" s="2" t="n">
        <v>100</v>
      </c>
      <c r="W201" s="2" t="inlineStr">
        <is>
          <t>Classification</t>
        </is>
      </c>
    </row>
    <row r="202">
      <c r="A202" s="2" t="inlineStr">
        <is>
          <t>Downer</t>
        </is>
      </c>
      <c r="B202" s="2" t="inlineStr">
        <is>
          <t>_CLOSED_FY20Rev_UASG (Utilities)</t>
        </is>
      </c>
      <c r="C202" s="2" t="inlineStr">
        <is>
          <t>Branch</t>
        </is>
      </c>
      <c r="D202" s="2" t="inlineStr">
        <is>
          <t>L9.S.11001154</t>
        </is>
      </c>
      <c r="E202" s="2" t="inlineStr">
        <is>
          <t>L9.S.11001154</t>
        </is>
      </c>
      <c r="M202" s="2" t="inlineStr">
        <is>
          <t>North Ryde</t>
        </is>
      </c>
      <c r="N202" s="2" t="inlineStr">
        <is>
          <t>Australia</t>
        </is>
      </c>
      <c r="P202" s="2" t="inlineStr">
        <is>
          <t>Operational Control</t>
        </is>
      </c>
      <c r="Q202" s="2" t="inlineStr">
        <is>
          <t>Operational Control</t>
        </is>
      </c>
      <c r="R202" s="2" t="inlineStr">
        <is>
          <t>Energy and Utilities (EU)</t>
        </is>
      </c>
      <c r="S202" s="2" t="inlineStr">
        <is>
          <t>Downer</t>
        </is>
      </c>
      <c r="T202" s="2" t="n">
        <v>100</v>
      </c>
      <c r="W202" s="2" t="inlineStr">
        <is>
          <t>Classification</t>
        </is>
      </c>
    </row>
    <row r="203">
      <c r="A203" s="2" t="inlineStr">
        <is>
          <t>Downer</t>
        </is>
      </c>
      <c r="B203" s="2" t="inlineStr">
        <is>
          <t>_CLOSED_FY20Rev_Utilities - DEE (234)</t>
        </is>
      </c>
      <c r="C203" s="2" t="inlineStr">
        <is>
          <t>Branch</t>
        </is>
      </c>
      <c r="D203" s="2" t="inlineStr">
        <is>
          <t>L9.DUA.12005</t>
        </is>
      </c>
      <c r="E203" s="2" t="inlineStr">
        <is>
          <t>L9.DUA.12005</t>
        </is>
      </c>
      <c r="M203" s="2" t="inlineStr">
        <is>
          <t>North Ryde</t>
        </is>
      </c>
      <c r="N203" s="2" t="inlineStr">
        <is>
          <t>Australia</t>
        </is>
      </c>
      <c r="P203" s="2" t="inlineStr">
        <is>
          <t>Operational Control</t>
        </is>
      </c>
      <c r="Q203" s="2" t="inlineStr">
        <is>
          <t>Operational Control</t>
        </is>
      </c>
      <c r="R203" s="2" t="inlineStr">
        <is>
          <t>Energy and Utilities (EU)</t>
        </is>
      </c>
      <c r="S203" s="2" t="inlineStr">
        <is>
          <t>Downer</t>
        </is>
      </c>
      <c r="T203" s="2" t="n">
        <v>100</v>
      </c>
      <c r="W203" s="2" t="inlineStr">
        <is>
          <t>Classification</t>
        </is>
      </c>
    </row>
    <row r="204">
      <c r="A204" s="2" t="inlineStr">
        <is>
          <t>Downer</t>
        </is>
      </c>
      <c r="B204" s="2" t="inlineStr">
        <is>
          <t>_CLOSED_FY20Rev_Utilities - DEL (233, 371, 391)</t>
        </is>
      </c>
      <c r="C204" s="2" t="inlineStr">
        <is>
          <t>Branch</t>
        </is>
      </c>
      <c r="D204" s="2" t="inlineStr">
        <is>
          <t>L9.DUA.12005</t>
        </is>
      </c>
      <c r="E204" s="2" t="inlineStr">
        <is>
          <t>L9.DUA.12005</t>
        </is>
      </c>
      <c r="M204" s="2" t="inlineStr">
        <is>
          <t>North Ryde</t>
        </is>
      </c>
      <c r="N204" s="2" t="inlineStr">
        <is>
          <t>Australia</t>
        </is>
      </c>
      <c r="P204" s="2" t="inlineStr">
        <is>
          <t>Operational Control</t>
        </is>
      </c>
      <c r="Q204" s="2" t="inlineStr">
        <is>
          <t>Operational Control</t>
        </is>
      </c>
      <c r="R204" s="2" t="inlineStr">
        <is>
          <t>Energy and Utilities (EU)</t>
        </is>
      </c>
      <c r="S204" s="2" t="inlineStr">
        <is>
          <t>Downer</t>
        </is>
      </c>
      <c r="T204" s="2" t="n">
        <v>100</v>
      </c>
      <c r="W204" s="2" t="inlineStr">
        <is>
          <t>Classification</t>
        </is>
      </c>
    </row>
    <row r="205">
      <c r="A205" s="2" t="inlineStr">
        <is>
          <t>Downer</t>
        </is>
      </c>
      <c r="B205" s="2" t="inlineStr">
        <is>
          <t>_CLOSED_FY20Rev_Utilities - DEP (Total)</t>
        </is>
      </c>
      <c r="C205" s="2" t="inlineStr">
        <is>
          <t>Branch</t>
        </is>
      </c>
      <c r="D205" s="2" t="inlineStr">
        <is>
          <t>L9.DUA.12004</t>
        </is>
      </c>
      <c r="E205" s="2" t="inlineStr">
        <is>
          <t>L9.DUA.12004</t>
        </is>
      </c>
      <c r="M205" s="2" t="inlineStr">
        <is>
          <t>North Ryde</t>
        </is>
      </c>
      <c r="N205" s="2" t="inlineStr">
        <is>
          <t>Australia</t>
        </is>
      </c>
      <c r="P205" s="2" t="inlineStr">
        <is>
          <t>Operational Control</t>
        </is>
      </c>
      <c r="Q205" s="2" t="inlineStr">
        <is>
          <t>Operational Control</t>
        </is>
      </c>
      <c r="R205" s="2" t="inlineStr">
        <is>
          <t>Energy and Utilities (EU)</t>
        </is>
      </c>
      <c r="S205" s="2" t="inlineStr">
        <is>
          <t>Downer</t>
        </is>
      </c>
      <c r="T205" s="2" t="n">
        <v>100</v>
      </c>
      <c r="W205" s="2" t="inlineStr">
        <is>
          <t>Classification</t>
        </is>
      </c>
    </row>
    <row r="206">
      <c r="A206" s="2" t="inlineStr">
        <is>
          <t>Downer</t>
        </is>
      </c>
      <c r="B206" s="2" t="inlineStr">
        <is>
          <t>_CLOSED_FY20Rev_Utilities - DEW (240)</t>
        </is>
      </c>
      <c r="C206" s="2" t="inlineStr">
        <is>
          <t>Branch</t>
        </is>
      </c>
      <c r="D206" s="2" t="inlineStr">
        <is>
          <t>L9.DUA.109919</t>
        </is>
      </c>
      <c r="E206" s="2" t="inlineStr">
        <is>
          <t>L9.DUA.109919</t>
        </is>
      </c>
      <c r="M206" s="2" t="inlineStr">
        <is>
          <t>North Ryde</t>
        </is>
      </c>
      <c r="N206" s="2" t="inlineStr">
        <is>
          <t>Australia</t>
        </is>
      </c>
      <c r="P206" s="2" t="inlineStr">
        <is>
          <t>Operational Control</t>
        </is>
      </c>
      <c r="Q206" s="2" t="inlineStr">
        <is>
          <t>Operational Control</t>
        </is>
      </c>
      <c r="R206" s="2" t="inlineStr">
        <is>
          <t>Energy and Utilities (EU)</t>
        </is>
      </c>
      <c r="S206" s="2" t="inlineStr">
        <is>
          <t>Downer</t>
        </is>
      </c>
      <c r="T206" s="2" t="n">
        <v>100</v>
      </c>
      <c r="W206" s="2" t="inlineStr">
        <is>
          <t>Classification</t>
        </is>
      </c>
    </row>
    <row r="207">
      <c r="A207" s="2" t="inlineStr">
        <is>
          <t>Downer</t>
        </is>
      </c>
      <c r="B207" s="2" t="inlineStr">
        <is>
          <t>_CLOSED_FY20Rev_Utilities - DUA (Total)</t>
        </is>
      </c>
      <c r="C207" s="2" t="inlineStr">
        <is>
          <t>Branch</t>
        </is>
      </c>
      <c r="D207" s="2" t="inlineStr">
        <is>
          <t>L9.DUA.109030</t>
        </is>
      </c>
      <c r="E207" s="2" t="inlineStr">
        <is>
          <t>L9.DUA.109030</t>
        </is>
      </c>
      <c r="M207" s="2" t="inlineStr">
        <is>
          <t>North Ryde</t>
        </is>
      </c>
      <c r="N207" s="2" t="inlineStr">
        <is>
          <t>Australia</t>
        </is>
      </c>
      <c r="P207" s="2" t="inlineStr">
        <is>
          <t>Operational Control</t>
        </is>
      </c>
      <c r="Q207" s="2" t="inlineStr">
        <is>
          <t>Operational Control</t>
        </is>
      </c>
      <c r="R207" s="2" t="inlineStr">
        <is>
          <t>Energy and Utilities (EU)</t>
        </is>
      </c>
      <c r="S207" s="2" t="inlineStr">
        <is>
          <t>Downer</t>
        </is>
      </c>
      <c r="T207" s="2" t="n">
        <v>100</v>
      </c>
      <c r="W207" s="2" t="inlineStr">
        <is>
          <t>Classification</t>
        </is>
      </c>
    </row>
    <row r="208">
      <c r="A208" s="2" t="inlineStr">
        <is>
          <t>Downer</t>
        </is>
      </c>
      <c r="B208" s="2" t="inlineStr">
        <is>
          <t>_CLOSED_FY20Rev_Utilities - legacy, holding co &amp; elims</t>
        </is>
      </c>
      <c r="C208" s="2" t="inlineStr">
        <is>
          <t>Branch</t>
        </is>
      </c>
      <c r="D208" s="2" t="inlineStr">
        <is>
          <t>L9.DUA.109918</t>
        </is>
      </c>
      <c r="E208" s="2" t="inlineStr">
        <is>
          <t>L9.DUA.109918</t>
        </is>
      </c>
      <c r="M208" s="2" t="inlineStr">
        <is>
          <t>North Ryde</t>
        </is>
      </c>
      <c r="N208" s="2" t="inlineStr">
        <is>
          <t>Australia</t>
        </is>
      </c>
      <c r="P208" s="2" t="inlineStr">
        <is>
          <t>Operational Control</t>
        </is>
      </c>
      <c r="Q208" s="2" t="inlineStr">
        <is>
          <t>Operational Control</t>
        </is>
      </c>
      <c r="R208" s="2" t="inlineStr">
        <is>
          <t>Energy and Utilities (EU)</t>
        </is>
      </c>
      <c r="S208" s="2" t="inlineStr">
        <is>
          <t>Downer</t>
        </is>
      </c>
      <c r="T208" s="2" t="n">
        <v>100</v>
      </c>
      <c r="W208" s="2" t="inlineStr">
        <is>
          <t>Classification</t>
        </is>
      </c>
    </row>
    <row r="209">
      <c r="A209" s="2" t="inlineStr">
        <is>
          <t>Downer</t>
        </is>
      </c>
      <c r="B209" s="2" t="inlineStr">
        <is>
          <t>_CLOSED_Garbutt</t>
        </is>
      </c>
      <c r="C209" s="2" t="inlineStr">
        <is>
          <t>Other</t>
        </is>
      </c>
      <c r="D209" s="2" t="inlineStr">
        <is>
          <t>L9.ENG.360.12940</t>
        </is>
      </c>
      <c r="E209" s="2" t="n">
        <v>2008</v>
      </c>
      <c r="F209" s="2" t="n">
        <v>126</v>
      </c>
      <c r="H209" s="2" t="inlineStr">
        <is>
          <t>17 Langton Street</t>
        </is>
      </c>
      <c r="I209" s="2" t="inlineStr">
        <is>
          <t>Garbutt</t>
        </is>
      </c>
      <c r="J209" s="2" t="inlineStr">
        <is>
          <t>QLD</t>
        </is>
      </c>
      <c r="K209" s="2" t="n">
        <v>4814</v>
      </c>
      <c r="L209" s="2" t="inlineStr">
        <is>
          <t>Australia</t>
        </is>
      </c>
      <c r="M209" s="2" t="inlineStr">
        <is>
          <t>Queensland</t>
        </is>
      </c>
      <c r="N209" s="2" t="inlineStr">
        <is>
          <t>Australia</t>
        </is>
      </c>
      <c r="P209" s="2" t="inlineStr">
        <is>
          <t>Operational Control</t>
        </is>
      </c>
      <c r="Q209" s="2" t="inlineStr">
        <is>
          <t>Operational Control</t>
        </is>
      </c>
      <c r="R209" s="2" t="inlineStr">
        <is>
          <t>Energy and Utilities (EU)</t>
        </is>
      </c>
      <c r="S209" s="2" t="inlineStr">
        <is>
          <t>Downer</t>
        </is>
      </c>
      <c r="T209" s="2" t="n">
        <v>100</v>
      </c>
      <c r="W209" s="2" t="inlineStr">
        <is>
          <t>Classification</t>
        </is>
      </c>
      <c r="X209" s="2" t="n">
        <v>-19.2684122</v>
      </c>
      <c r="Y209" s="2" t="n">
        <v>146.777432</v>
      </c>
      <c r="Z209" s="2" t="n">
        <v>692</v>
      </c>
    </row>
    <row r="210">
      <c r="A210" s="2" t="inlineStr">
        <is>
          <t>Downer</t>
        </is>
      </c>
      <c r="B210" s="2" t="inlineStr">
        <is>
          <t>_CLOSED_Gladesville</t>
        </is>
      </c>
      <c r="C210" s="2" t="inlineStr">
        <is>
          <t>Office</t>
        </is>
      </c>
      <c r="D210" s="2" t="inlineStr">
        <is>
          <t>L9.J.10920024</t>
        </is>
      </c>
      <c r="E210" s="2" t="n">
        <v>1031</v>
      </c>
      <c r="H210" s="2" t="inlineStr">
        <is>
          <t>436 Victoria Road</t>
        </is>
      </c>
      <c r="I210" s="2" t="inlineStr">
        <is>
          <t>Gladesville</t>
        </is>
      </c>
      <c r="J210" s="2" t="inlineStr">
        <is>
          <t>NSW</t>
        </is>
      </c>
      <c r="K210" s="2" t="n">
        <v>2111</v>
      </c>
      <c r="L210" s="2" t="inlineStr">
        <is>
          <t>Australia</t>
        </is>
      </c>
      <c r="M210" s="2" t="inlineStr">
        <is>
          <t>New South Wales</t>
        </is>
      </c>
      <c r="N210" s="2" t="inlineStr">
        <is>
          <t>Australia</t>
        </is>
      </c>
      <c r="P210" s="2" t="inlineStr">
        <is>
          <t>Operational Control</t>
        </is>
      </c>
      <c r="Q210" s="2" t="inlineStr">
        <is>
          <t>Operational Control</t>
        </is>
      </c>
      <c r="R210" s="2" t="inlineStr">
        <is>
          <t>Corporate</t>
        </is>
      </c>
      <c r="S210" s="2" t="inlineStr">
        <is>
          <t>Downer</t>
        </is>
      </c>
      <c r="T210" s="2" t="n">
        <v>100</v>
      </c>
      <c r="W210" s="2" t="inlineStr">
        <is>
          <t>Classification</t>
        </is>
      </c>
      <c r="Z210" s="2" t="n">
        <v>729</v>
      </c>
      <c r="AB210" s="11" t="n">
        <v>45036</v>
      </c>
    </row>
    <row r="211">
      <c r="A211" s="2" t="inlineStr">
        <is>
          <t>Downer</t>
        </is>
      </c>
      <c r="B211" s="2" t="inlineStr">
        <is>
          <t>_CLOSED_Gladstone</t>
        </is>
      </c>
      <c r="C211" s="2" t="inlineStr">
        <is>
          <t>Other</t>
        </is>
      </c>
      <c r="D211" s="2" t="inlineStr">
        <is>
          <t>L9.J.709211</t>
        </is>
      </c>
      <c r="E211" s="2" t="inlineStr">
        <is>
          <t>L9.J.709211</t>
        </is>
      </c>
      <c r="F211" s="2" t="n">
        <v>136</v>
      </c>
      <c r="G211" s="2" t="inlineStr">
        <is>
          <t>CLOSED END OF OCTOBER 2015</t>
        </is>
      </c>
      <c r="H211" s="2" t="inlineStr">
        <is>
          <t>Shed 1, 1 Shona Ave</t>
        </is>
      </c>
      <c r="I211" s="2" t="inlineStr">
        <is>
          <t>Gladstone</t>
        </is>
      </c>
      <c r="J211" s="2" t="inlineStr">
        <is>
          <t>Queensland</t>
        </is>
      </c>
      <c r="K211" s="2" t="n">
        <v>4680</v>
      </c>
      <c r="L211" s="2" t="inlineStr">
        <is>
          <t>Australia</t>
        </is>
      </c>
      <c r="M211" s="2" t="inlineStr">
        <is>
          <t>Queensland</t>
        </is>
      </c>
      <c r="N211" s="2" t="inlineStr">
        <is>
          <t>Australia</t>
        </is>
      </c>
      <c r="P211" s="2" t="inlineStr">
        <is>
          <t>Operational Control</t>
        </is>
      </c>
      <c r="Q211" s="2" t="inlineStr">
        <is>
          <t>Operational Control</t>
        </is>
      </c>
      <c r="R211" s="2" t="inlineStr">
        <is>
          <t>Rail &amp; Transit Systems (RTS)</t>
        </is>
      </c>
      <c r="S211" s="2" t="inlineStr">
        <is>
          <t>Downer</t>
        </is>
      </c>
      <c r="T211" s="2" t="n">
        <v>100</v>
      </c>
      <c r="W211" s="2" t="inlineStr">
        <is>
          <t>Classification</t>
        </is>
      </c>
      <c r="X211" s="2" t="n">
        <v>-33.269</v>
      </c>
      <c r="Y211" s="2" t="n">
        <v>138.356</v>
      </c>
      <c r="Z211" s="2" t="n">
        <v>239</v>
      </c>
      <c r="AB211" s="11" t="n">
        <v>42308</v>
      </c>
    </row>
    <row r="212">
      <c r="A212" s="2" t="inlineStr">
        <is>
          <t>Downer</t>
        </is>
      </c>
      <c r="B212" s="2" t="inlineStr">
        <is>
          <t>_CLOSED_Glandore</t>
        </is>
      </c>
      <c r="C212" s="2" t="inlineStr">
        <is>
          <t>Other</t>
        </is>
      </c>
      <c r="D212" s="2" t="inlineStr">
        <is>
          <t>L9.S.12000336</t>
        </is>
      </c>
      <c r="E212" s="2" t="n">
        <v>2009</v>
      </c>
      <c r="F212" s="2" t="n">
        <v>375</v>
      </c>
      <c r="G212" s="2" t="inlineStr">
        <is>
          <t>created per R. Brookshaw email 21-Jan-2014</t>
        </is>
      </c>
      <c r="H212" s="2" t="inlineStr">
        <is>
          <t>664 South Road</t>
        </is>
      </c>
      <c r="I212" s="2" t="inlineStr">
        <is>
          <t>Glandore</t>
        </is>
      </c>
      <c r="J212" s="2" t="inlineStr">
        <is>
          <t>SA</t>
        </is>
      </c>
      <c r="K212" s="2" t="n">
        <v>5037</v>
      </c>
      <c r="L212" s="2" t="inlineStr">
        <is>
          <t>Australia</t>
        </is>
      </c>
      <c r="M212" s="2" t="inlineStr">
        <is>
          <t>South Australia</t>
        </is>
      </c>
      <c r="N212" s="2" t="inlineStr">
        <is>
          <t>Australia</t>
        </is>
      </c>
      <c r="P212" s="2" t="inlineStr">
        <is>
          <t>Operational Control</t>
        </is>
      </c>
      <c r="Q212" s="2" t="inlineStr">
        <is>
          <t>Operational Control</t>
        </is>
      </c>
      <c r="R212" s="2" t="inlineStr">
        <is>
          <t>Asset &amp; Development Services (Baseline)</t>
        </is>
      </c>
      <c r="S212" s="2" t="inlineStr">
        <is>
          <t>Downer</t>
        </is>
      </c>
      <c r="T212" s="2" t="n">
        <v>100</v>
      </c>
      <c r="V212" s="11" t="n">
        <v>45107</v>
      </c>
      <c r="W212" s="2" t="inlineStr">
        <is>
          <t>Classification</t>
        </is>
      </c>
      <c r="X212" s="2" t="n">
        <v>-34.960132</v>
      </c>
      <c r="Y212" s="2" t="n">
        <v>138.572062</v>
      </c>
      <c r="Z212" s="2" t="n">
        <v>692</v>
      </c>
    </row>
    <row r="213">
      <c r="A213" s="2" t="inlineStr">
        <is>
          <t>Downer</t>
        </is>
      </c>
      <c r="B213" s="2" t="inlineStr">
        <is>
          <t>_CLOSED_Gov Contract Office Riverside Plaza</t>
        </is>
      </c>
      <c r="C213" s="2" t="inlineStr">
        <is>
          <t>Office</t>
        </is>
      </c>
      <c r="D213" s="2" t="inlineStr">
        <is>
          <t>L9.S.11000102</t>
        </is>
      </c>
      <c r="E213" s="2" t="n">
        <v>9125</v>
      </c>
      <c r="H213" s="2" t="inlineStr">
        <is>
          <t>Suite 019B Riverside Plaza, 131 Monaro St</t>
        </is>
      </c>
      <c r="I213" s="2" t="inlineStr">
        <is>
          <t>Queanbeyan</t>
        </is>
      </c>
      <c r="J213" s="2" t="inlineStr">
        <is>
          <t>NSW</t>
        </is>
      </c>
      <c r="K213" s="2" t="n">
        <v>2620</v>
      </c>
      <c r="M213" s="2" t="inlineStr">
        <is>
          <t>Queanbeyan</t>
        </is>
      </c>
      <c r="N213" s="2" t="inlineStr">
        <is>
          <t>Australia</t>
        </is>
      </c>
      <c r="P213" s="2" t="inlineStr">
        <is>
          <t>Operational Control</t>
        </is>
      </c>
      <c r="Q213" s="2" t="inlineStr">
        <is>
          <t>Operational Control</t>
        </is>
      </c>
      <c r="R213" s="2" t="inlineStr">
        <is>
          <t>Social Infra &amp; Citizen Serv (SICS)</t>
        </is>
      </c>
      <c r="S213" s="2" t="inlineStr">
        <is>
          <t>Downer</t>
        </is>
      </c>
      <c r="T213" s="2" t="n">
        <v>100</v>
      </c>
      <c r="W213" s="2" t="inlineStr">
        <is>
          <t>Classification</t>
        </is>
      </c>
      <c r="X213" s="2" t="n">
        <v>-35.352374</v>
      </c>
      <c r="Y213" s="2" t="n">
        <v>149.235147</v>
      </c>
      <c r="Z213" s="2" t="n">
        <v>729</v>
      </c>
      <c r="AB213" s="11" t="n">
        <v>45473</v>
      </c>
    </row>
    <row r="214">
      <c r="A214" s="2" t="inlineStr">
        <is>
          <t>Downer</t>
        </is>
      </c>
      <c r="B214" s="2" t="inlineStr">
        <is>
          <t>_CLOSED_GOV Fleet ACT</t>
        </is>
      </c>
      <c r="C214" s="2" t="inlineStr">
        <is>
          <t>Fleet Fuel</t>
        </is>
      </c>
      <c r="D214" s="2" t="inlineStr">
        <is>
          <t>L9.S.13000350</t>
        </is>
      </c>
      <c r="E214" s="2" t="n">
        <v>9174</v>
      </c>
      <c r="G214" s="2" t="inlineStr">
        <is>
          <t>Leaseplan vehicles transitioned through to FTC data at end of FY23.</t>
        </is>
      </c>
      <c r="M214" s="2" t="inlineStr">
        <is>
          <t>Australian Capital Territory</t>
        </is>
      </c>
      <c r="N214" s="2" t="inlineStr">
        <is>
          <t>Australia</t>
        </is>
      </c>
      <c r="P214" s="2" t="inlineStr">
        <is>
          <t>Operational Control</t>
        </is>
      </c>
      <c r="Q214" s="2" t="inlineStr">
        <is>
          <t>Operational Control</t>
        </is>
      </c>
      <c r="R214" s="2" t="inlineStr">
        <is>
          <t>Social Infra &amp; Citizen Serv (SICS)</t>
        </is>
      </c>
      <c r="S214" s="2" t="inlineStr">
        <is>
          <t>Downer</t>
        </is>
      </c>
      <c r="T214" s="2" t="n">
        <v>100</v>
      </c>
      <c r="W214" s="2" t="inlineStr">
        <is>
          <t>Classification</t>
        </is>
      </c>
    </row>
    <row r="215">
      <c r="A215" s="2" t="inlineStr">
        <is>
          <t>Downer</t>
        </is>
      </c>
      <c r="B215" s="2" t="inlineStr">
        <is>
          <t>_CLOSED_GOV Fleet NSW</t>
        </is>
      </c>
      <c r="C215" s="2" t="inlineStr">
        <is>
          <t>Fleet Fuel</t>
        </is>
      </c>
      <c r="D215" s="2" t="inlineStr">
        <is>
          <t>L9.S.13000320</t>
        </is>
      </c>
      <c r="E215" s="2" t="n">
        <v>9175</v>
      </c>
      <c r="G215" s="2" t="inlineStr">
        <is>
          <t>Leaseplan vehicles transitioned through to FTC data at end of FY23.</t>
        </is>
      </c>
      <c r="M215" s="2" t="inlineStr">
        <is>
          <t>New South Wales</t>
        </is>
      </c>
      <c r="N215" s="2" t="inlineStr">
        <is>
          <t>Australia</t>
        </is>
      </c>
      <c r="P215" s="2" t="inlineStr">
        <is>
          <t>Operational Control</t>
        </is>
      </c>
      <c r="Q215" s="2" t="inlineStr">
        <is>
          <t>Operational Control</t>
        </is>
      </c>
      <c r="R215" s="2" t="inlineStr">
        <is>
          <t>Social Infra &amp; Citizen Serv (SICS)</t>
        </is>
      </c>
      <c r="S215" s="2" t="inlineStr">
        <is>
          <t>Downer</t>
        </is>
      </c>
      <c r="T215" s="2" t="n">
        <v>100</v>
      </c>
      <c r="W215" s="2" t="inlineStr">
        <is>
          <t>Classification</t>
        </is>
      </c>
    </row>
    <row r="216">
      <c r="A216" s="2" t="inlineStr">
        <is>
          <t>Downer</t>
        </is>
      </c>
      <c r="B216" s="2" t="inlineStr">
        <is>
          <t>_CLOSED_GOV Fleet QLD</t>
        </is>
      </c>
      <c r="C216" s="2" t="inlineStr">
        <is>
          <t>Fleet Fuel</t>
        </is>
      </c>
      <c r="D216" s="2" t="inlineStr">
        <is>
          <t>L9.S.13000080</t>
        </is>
      </c>
      <c r="E216" s="2" t="n">
        <v>9176</v>
      </c>
      <c r="G216" s="2" t="inlineStr">
        <is>
          <t>Leaseplan vehicles transitioned through to FTC data at end of FY23.</t>
        </is>
      </c>
      <c r="M216" s="2" t="inlineStr">
        <is>
          <t>Queensland</t>
        </is>
      </c>
      <c r="N216" s="2" t="inlineStr">
        <is>
          <t>Australia</t>
        </is>
      </c>
      <c r="P216" s="2" t="inlineStr">
        <is>
          <t>Operational Control</t>
        </is>
      </c>
      <c r="Q216" s="2" t="inlineStr">
        <is>
          <t>Operational Control</t>
        </is>
      </c>
      <c r="R216" s="2" t="inlineStr">
        <is>
          <t>Social Infra &amp; Citizen Serv (SICS)</t>
        </is>
      </c>
      <c r="S216" s="2" t="inlineStr">
        <is>
          <t>Downer</t>
        </is>
      </c>
      <c r="T216" s="2" t="n">
        <v>100</v>
      </c>
      <c r="W216" s="2" t="inlineStr">
        <is>
          <t>Classification</t>
        </is>
      </c>
    </row>
    <row r="217">
      <c r="A217" s="2" t="inlineStr">
        <is>
          <t>Downer</t>
        </is>
      </c>
      <c r="B217" s="2" t="inlineStr">
        <is>
          <t>_CLOSED_GOV Fleet SA</t>
        </is>
      </c>
      <c r="C217" s="2" t="inlineStr">
        <is>
          <t>Fleet Fuel</t>
        </is>
      </c>
      <c r="D217" s="2" t="inlineStr">
        <is>
          <t>L9.S.13000580</t>
        </is>
      </c>
      <c r="E217" s="2" t="n">
        <v>9172</v>
      </c>
      <c r="G217" s="2" t="inlineStr">
        <is>
          <t>Leaseplan vehicles transitioned through to FTC data at end of FY23.</t>
        </is>
      </c>
      <c r="M217" s="2" t="inlineStr">
        <is>
          <t>South Australia</t>
        </is>
      </c>
      <c r="N217" s="2" t="inlineStr">
        <is>
          <t>Australia</t>
        </is>
      </c>
      <c r="P217" s="2" t="inlineStr">
        <is>
          <t>Operational Control</t>
        </is>
      </c>
      <c r="Q217" s="2" t="inlineStr">
        <is>
          <t>Operational Control</t>
        </is>
      </c>
      <c r="R217" s="2" t="inlineStr">
        <is>
          <t>Social Infra &amp; Citizen Serv (SICS)</t>
        </is>
      </c>
      <c r="S217" s="2" t="inlineStr">
        <is>
          <t>Downer</t>
        </is>
      </c>
      <c r="T217" s="2" t="n">
        <v>100</v>
      </c>
      <c r="W217" s="2" t="inlineStr">
        <is>
          <t>Classification</t>
        </is>
      </c>
    </row>
    <row r="218">
      <c r="A218" s="2" t="inlineStr">
        <is>
          <t>Downer</t>
        </is>
      </c>
      <c r="B218" s="2" t="inlineStr">
        <is>
          <t>_CLOSED_GOV Fleet VIC</t>
        </is>
      </c>
      <c r="C218" s="2" t="inlineStr">
        <is>
          <t>Fleet Fuel</t>
        </is>
      </c>
      <c r="D218" s="2" t="inlineStr">
        <is>
          <t>L9.S.13000510</t>
        </is>
      </c>
      <c r="E218" s="2" t="n">
        <v>9177</v>
      </c>
      <c r="G218" s="2" t="inlineStr">
        <is>
          <t>Leaseplan vehicles transitioned through to FTC data at end of FY23.</t>
        </is>
      </c>
      <c r="M218" s="2" t="inlineStr">
        <is>
          <t>Victoria</t>
        </is>
      </c>
      <c r="N218" s="2" t="inlineStr">
        <is>
          <t>Australia</t>
        </is>
      </c>
      <c r="P218" s="2" t="inlineStr">
        <is>
          <t>Operational Control</t>
        </is>
      </c>
      <c r="Q218" s="2" t="inlineStr">
        <is>
          <t>Operational Control</t>
        </is>
      </c>
      <c r="R218" s="2" t="inlineStr">
        <is>
          <t>Social Infra &amp; Citizen Serv (SICS)</t>
        </is>
      </c>
      <c r="S218" s="2" t="inlineStr">
        <is>
          <t>Downer</t>
        </is>
      </c>
      <c r="T218" s="2" t="n">
        <v>100</v>
      </c>
      <c r="W218" s="2" t="inlineStr">
        <is>
          <t>Classification</t>
        </is>
      </c>
    </row>
    <row r="219">
      <c r="A219" s="2" t="inlineStr">
        <is>
          <t>Downer</t>
        </is>
      </c>
      <c r="B219" s="2" t="inlineStr">
        <is>
          <t>_CLOSED_GOV Fleet WA</t>
        </is>
      </c>
      <c r="C219" s="2" t="inlineStr">
        <is>
          <t>Fleet Fuel</t>
        </is>
      </c>
      <c r="D219" s="2" t="inlineStr">
        <is>
          <t>L9.S.13000720</t>
        </is>
      </c>
      <c r="E219" s="2" t="n">
        <v>9173</v>
      </c>
      <c r="G219" s="2" t="inlineStr">
        <is>
          <t>Leaseplan vehicles transitioned through to FTC data at end of FY23.</t>
        </is>
      </c>
      <c r="M219" s="2" t="inlineStr">
        <is>
          <t>Western Australia</t>
        </is>
      </c>
      <c r="N219" s="2" t="inlineStr">
        <is>
          <t>Australia</t>
        </is>
      </c>
      <c r="P219" s="2" t="inlineStr">
        <is>
          <t>Operational Control</t>
        </is>
      </c>
      <c r="Q219" s="2" t="inlineStr">
        <is>
          <t>Operational Control</t>
        </is>
      </c>
      <c r="R219" s="2" t="inlineStr">
        <is>
          <t>Social Infra &amp; Citizen Serv (SICS)</t>
        </is>
      </c>
      <c r="S219" s="2" t="inlineStr">
        <is>
          <t>Downer</t>
        </is>
      </c>
      <c r="T219" s="2" t="n">
        <v>100</v>
      </c>
      <c r="W219" s="2" t="inlineStr">
        <is>
          <t>Classification</t>
        </is>
      </c>
    </row>
    <row r="220">
      <c r="A220" s="2" t="inlineStr">
        <is>
          <t>Downer</t>
        </is>
      </c>
      <c r="B220" s="2" t="inlineStr">
        <is>
          <t>_CLOSED_Green Vision</t>
        </is>
      </c>
      <c r="C220" s="2" t="inlineStr">
        <is>
          <t>Other</t>
        </is>
      </c>
      <c r="D220" s="2" t="inlineStr">
        <is>
          <t>L9.DNZJ.3202</t>
        </is>
      </c>
      <c r="E220" s="2" t="n">
        <v>5073</v>
      </c>
      <c r="G220" s="2" t="inlineStr">
        <is>
          <t>Production of materials for road construction - New facilities established for more granular reporting and to reflect new structure for FY17. See facility named "NZ-Infrastructure Services" for historical data.</t>
        </is>
      </c>
      <c r="H220" s="2" t="inlineStr">
        <is>
          <t>39-59 Miami Parade, Onehunga</t>
        </is>
      </c>
      <c r="I220" s="2" t="inlineStr">
        <is>
          <t>Auckland</t>
        </is>
      </c>
      <c r="J220" s="2" t="inlineStr">
        <is>
          <t>Auckland</t>
        </is>
      </c>
      <c r="K220" s="2" t="n">
        <v>8051</v>
      </c>
      <c r="L220" s="2" t="inlineStr">
        <is>
          <t>New Zealand</t>
        </is>
      </c>
      <c r="M220" s="2" t="inlineStr">
        <is>
          <t>Mangere</t>
        </is>
      </c>
      <c r="N220" s="2" t="inlineStr">
        <is>
          <t>New Zealand</t>
        </is>
      </c>
      <c r="P220" s="2" t="inlineStr">
        <is>
          <t>Operational Control</t>
        </is>
      </c>
      <c r="Q220" s="2" t="inlineStr">
        <is>
          <t>Operational Control</t>
        </is>
      </c>
      <c r="R220" s="2" t="inlineStr">
        <is>
          <t>Transport &amp; Infrastructure (T&amp;I)</t>
        </is>
      </c>
      <c r="S220" s="2" t="inlineStr">
        <is>
          <t>Downer</t>
        </is>
      </c>
      <c r="T220" s="2" t="n">
        <v>100</v>
      </c>
      <c r="U220" s="2" t="inlineStr">
        <is>
          <t>1899/12/31</t>
        </is>
      </c>
      <c r="W220" s="2" t="inlineStr">
        <is>
          <t>Classification</t>
        </is>
      </c>
      <c r="X220" s="2" t="n">
        <v>-36.9300633</v>
      </c>
      <c r="Y220" s="2" t="n">
        <v>174.8129553</v>
      </c>
      <c r="Z220" s="2" t="n">
        <v>310</v>
      </c>
      <c r="AA220" s="11" t="n">
        <v>42917</v>
      </c>
    </row>
    <row r="221">
      <c r="A221" s="2" t="inlineStr">
        <is>
          <t>Downer</t>
        </is>
      </c>
      <c r="B221" s="2" t="inlineStr">
        <is>
          <t>_CLOSED_Hackney Office</t>
        </is>
      </c>
      <c r="C221" s="2" t="inlineStr">
        <is>
          <t>Office</t>
        </is>
      </c>
      <c r="D221" s="2" t="inlineStr">
        <is>
          <t>L9.S.13000540</t>
        </is>
      </c>
      <c r="E221" s="2" t="inlineStr">
        <is>
          <t>L9.S.13000540</t>
        </is>
      </c>
      <c r="M221" s="2" t="inlineStr">
        <is>
          <t>South Australia</t>
        </is>
      </c>
      <c r="N221" s="2" t="inlineStr">
        <is>
          <t>Australia</t>
        </is>
      </c>
      <c r="P221" s="2" t="inlineStr">
        <is>
          <t>Operational Control</t>
        </is>
      </c>
      <c r="Q221" s="2" t="inlineStr">
        <is>
          <t>Operational Control</t>
        </is>
      </c>
      <c r="R221" s="2" t="inlineStr">
        <is>
          <t>Social Infra &amp; Citizen Serv (SICS)</t>
        </is>
      </c>
      <c r="S221" s="2" t="inlineStr">
        <is>
          <t>Downer</t>
        </is>
      </c>
      <c r="T221" s="2" t="n">
        <v>100</v>
      </c>
      <c r="W221" s="2" t="inlineStr">
        <is>
          <t>Classification</t>
        </is>
      </c>
    </row>
    <row r="222">
      <c r="A222" s="2" t="inlineStr">
        <is>
          <t>Downer</t>
        </is>
      </c>
      <c r="B222" s="2" t="inlineStr">
        <is>
          <t>_CLOSED_Harman Sub and TXL</t>
        </is>
      </c>
      <c r="C222" s="2" t="inlineStr">
        <is>
          <t>Site</t>
        </is>
      </c>
      <c r="D222" s="2" t="inlineStr">
        <is>
          <t>L9.J.37740100</t>
        </is>
      </c>
      <c r="F222" s="2" t="inlineStr">
        <is>
          <t>UT-37740100 - Harman Zone Project - Subs</t>
        </is>
      </c>
      <c r="M222" s="2" t="inlineStr">
        <is>
          <t>Australian Capital Territory</t>
        </is>
      </c>
      <c r="N222" s="2" t="inlineStr">
        <is>
          <t>Australia</t>
        </is>
      </c>
      <c r="P222" s="2" t="inlineStr">
        <is>
          <t>Operational Control</t>
        </is>
      </c>
      <c r="Q222" s="2" t="inlineStr">
        <is>
          <t>Operational Control</t>
        </is>
      </c>
      <c r="R222" s="2" t="inlineStr">
        <is>
          <t>Energy and Utilities (EU)</t>
        </is>
      </c>
      <c r="S222" s="2" t="inlineStr">
        <is>
          <t>Downer</t>
        </is>
      </c>
      <c r="T222" s="2" t="n">
        <v>100</v>
      </c>
      <c r="W222" s="2" t="inlineStr">
        <is>
          <t>Classification</t>
        </is>
      </c>
      <c r="AB222" s="11" t="n">
        <v>45412</v>
      </c>
    </row>
    <row r="223">
      <c r="A223" s="2" t="inlineStr">
        <is>
          <t>Downer</t>
        </is>
      </c>
      <c r="B223" s="2" t="inlineStr">
        <is>
          <t>_CLOSED_Hawera (32-34 Glover Rd)</t>
        </is>
      </c>
      <c r="C223" s="2" t="inlineStr">
        <is>
          <t>Other</t>
        </is>
      </c>
      <c r="D223" s="2" t="inlineStr">
        <is>
          <t>L9.DNZJ.91250</t>
        </is>
      </c>
      <c r="E223" s="2" t="n">
        <v>91250</v>
      </c>
      <c r="G223" s="2" t="inlineStr">
        <is>
          <t>21/02/2025 - Moved Natural Gas account to "Hawera Depot", referring to same address. Close location.</t>
        </is>
      </c>
      <c r="H223" s="2" t="inlineStr">
        <is>
          <t>32-34 Glover Road</t>
        </is>
      </c>
      <c r="I223" s="2" t="inlineStr">
        <is>
          <t>Hawera</t>
        </is>
      </c>
      <c r="J223" s="2" t="inlineStr">
        <is>
          <t>Hawera</t>
        </is>
      </c>
      <c r="K223" s="2" t="n">
        <v>4610</v>
      </c>
      <c r="L223" s="2" t="inlineStr">
        <is>
          <t>New Zealand</t>
        </is>
      </c>
      <c r="M223" s="2" t="inlineStr">
        <is>
          <t>Hawera</t>
        </is>
      </c>
      <c r="N223" s="2" t="inlineStr">
        <is>
          <t>New Zealand</t>
        </is>
      </c>
      <c r="P223" s="2" t="inlineStr">
        <is>
          <t>Operational Control</t>
        </is>
      </c>
      <c r="Q223" s="2" t="inlineStr">
        <is>
          <t>Operational Control</t>
        </is>
      </c>
      <c r="R223" s="2" t="inlineStr">
        <is>
          <t>Corporate</t>
        </is>
      </c>
      <c r="S223" s="2" t="inlineStr">
        <is>
          <t>Downer</t>
        </is>
      </c>
      <c r="T223" s="2" t="n">
        <v>100</v>
      </c>
      <c r="W223" s="2" t="inlineStr">
        <is>
          <t>Classification</t>
        </is>
      </c>
      <c r="X223" s="2" t="n">
        <v>-39.5805</v>
      </c>
      <c r="Y223" s="2" t="n">
        <v>174.2812</v>
      </c>
      <c r="AB223" s="11" t="n">
        <v>45473</v>
      </c>
    </row>
    <row r="224">
      <c r="A224" s="2" t="inlineStr">
        <is>
          <t>Downer</t>
        </is>
      </c>
      <c r="B224" s="2" t="inlineStr">
        <is>
          <t>_CLOSED_Head Office</t>
        </is>
      </c>
      <c r="C224" s="2" t="inlineStr">
        <is>
          <t>Head Office</t>
        </is>
      </c>
      <c r="D224" s="2" t="inlineStr">
        <is>
          <t>L9.WAU.000800</t>
        </is>
      </c>
      <c r="F224" s="2" t="n">
        <v>123456</v>
      </c>
      <c r="M224" s="2" t="inlineStr">
        <is>
          <t>Sydney</t>
        </is>
      </c>
      <c r="N224" s="2" t="inlineStr">
        <is>
          <t>Australia</t>
        </is>
      </c>
      <c r="P224" s="2" t="inlineStr">
        <is>
          <t>Operational Control</t>
        </is>
      </c>
      <c r="Q224" s="2" t="inlineStr">
        <is>
          <t>Operational Control</t>
        </is>
      </c>
      <c r="R224" s="2" t="inlineStr">
        <is>
          <t>Corporate</t>
        </is>
      </c>
      <c r="S224" s="2" t="inlineStr">
        <is>
          <t>Downer</t>
        </is>
      </c>
      <c r="T224" s="2" t="n">
        <v>100</v>
      </c>
      <c r="W224" s="2" t="inlineStr">
        <is>
          <t>Classification</t>
        </is>
      </c>
    </row>
    <row r="225">
      <c r="A225" s="2" t="inlineStr">
        <is>
          <t>Downer</t>
        </is>
      </c>
      <c r="B225" s="2" t="inlineStr">
        <is>
          <t>_CLOSED_Hexham-Infrastructure Services</t>
        </is>
      </c>
      <c r="C225" s="2" t="inlineStr">
        <is>
          <t>Other</t>
        </is>
      </c>
      <c r="D225" s="2" t="inlineStr">
        <is>
          <t>L9.J.10920006</t>
        </is>
      </c>
      <c r="E225" s="2" t="inlineStr">
        <is>
          <t>L9.J.10920006</t>
        </is>
      </c>
      <c r="G225" s="2" t="inlineStr">
        <is>
          <t>This facility established January 2016 to allow for separate reporting for IS &amp; EC&amp;M - data previously reported through "Hexam" which has been renamed as "Hexam-EC&amp;M" Facility #350.</t>
        </is>
      </c>
      <c r="H225" s="2" t="inlineStr">
        <is>
          <t>6-16 Galleghan Road</t>
        </is>
      </c>
      <c r="I225" s="2" t="inlineStr">
        <is>
          <t>Hexam</t>
        </is>
      </c>
      <c r="J225" s="2" t="inlineStr">
        <is>
          <t>NSW</t>
        </is>
      </c>
      <c r="K225" s="2" t="n">
        <v>2322</v>
      </c>
      <c r="L225" s="2" t="inlineStr">
        <is>
          <t>Australia</t>
        </is>
      </c>
      <c r="M225" s="2" t="inlineStr">
        <is>
          <t>New South Wales</t>
        </is>
      </c>
      <c r="N225" s="2" t="inlineStr">
        <is>
          <t>Australia</t>
        </is>
      </c>
      <c r="P225" s="2" t="inlineStr">
        <is>
          <t>Operational Control</t>
        </is>
      </c>
      <c r="Q225" s="2" t="inlineStr">
        <is>
          <t>Operational Control</t>
        </is>
      </c>
      <c r="R225" s="2" t="inlineStr">
        <is>
          <t>Corporate</t>
        </is>
      </c>
      <c r="S225" s="2" t="inlineStr">
        <is>
          <t>Downer</t>
        </is>
      </c>
      <c r="T225" s="2" t="n">
        <v>100</v>
      </c>
      <c r="W225" s="2" t="inlineStr">
        <is>
          <t>Classification</t>
        </is>
      </c>
      <c r="X225" s="2" t="n">
        <v>-32.831568</v>
      </c>
      <c r="Y225" s="2" t="n">
        <v>151.688472</v>
      </c>
      <c r="Z225" s="2" t="n">
        <v>310</v>
      </c>
    </row>
    <row r="226">
      <c r="A226" s="2" t="inlineStr">
        <is>
          <t>Downer</t>
        </is>
      </c>
      <c r="B226" s="2" t="inlineStr">
        <is>
          <t>_CLOSED_HFM Fleet ACT</t>
        </is>
      </c>
      <c r="C226" s="2" t="inlineStr">
        <is>
          <t>Fleet Fuel</t>
        </is>
      </c>
      <c r="D226" s="2" t="inlineStr">
        <is>
          <t>L9.S.3174.45003852.1</t>
        </is>
      </c>
      <c r="E226" s="2" t="n">
        <v>9181</v>
      </c>
      <c r="G226" s="2" t="inlineStr">
        <is>
          <t>Leaseplan vehicles transitioned through to FTC data at end of FY23.</t>
        </is>
      </c>
      <c r="M226" s="2" t="inlineStr">
        <is>
          <t>Australian Capital Territory</t>
        </is>
      </c>
      <c r="N226" s="2" t="inlineStr">
        <is>
          <t>Australia</t>
        </is>
      </c>
      <c r="P226" s="2" t="inlineStr">
        <is>
          <t>Operational Control</t>
        </is>
      </c>
      <c r="Q226" s="2" t="inlineStr">
        <is>
          <t>Operational Control</t>
        </is>
      </c>
      <c r="R226" s="2" t="inlineStr">
        <is>
          <t>Social Infra &amp; Citizen Serv (SICS)</t>
        </is>
      </c>
      <c r="S226" s="2" t="inlineStr">
        <is>
          <t>Downer</t>
        </is>
      </c>
      <c r="T226" s="2" t="n">
        <v>100</v>
      </c>
      <c r="W226" s="2" t="inlineStr">
        <is>
          <t>Classification</t>
        </is>
      </c>
      <c r="AB226" s="11" t="n">
        <v>45107</v>
      </c>
    </row>
    <row r="227">
      <c r="A227" s="2" t="inlineStr">
        <is>
          <t>Downer</t>
        </is>
      </c>
      <c r="B227" s="2" t="inlineStr">
        <is>
          <t>_CLOSED_HFM Fleet NSW</t>
        </is>
      </c>
      <c r="C227" s="2" t="inlineStr">
        <is>
          <t>Fleet Fuel</t>
        </is>
      </c>
      <c r="D227" s="2" t="inlineStr">
        <is>
          <t>L9.S.3174.45003852.1</t>
        </is>
      </c>
      <c r="E227" s="2" t="n">
        <v>9182</v>
      </c>
      <c r="G227" s="2" t="inlineStr">
        <is>
          <t>Leaseplan vehicles transitioned through to FTC data at end of FY23.</t>
        </is>
      </c>
      <c r="M227" s="2" t="inlineStr">
        <is>
          <t>New South Wales</t>
        </is>
      </c>
      <c r="N227" s="2" t="inlineStr">
        <is>
          <t>Australia</t>
        </is>
      </c>
      <c r="P227" s="2" t="inlineStr">
        <is>
          <t>Operational Control</t>
        </is>
      </c>
      <c r="Q227" s="2" t="inlineStr">
        <is>
          <t>Operational Control</t>
        </is>
      </c>
      <c r="R227" s="2" t="inlineStr">
        <is>
          <t>Social Infra &amp; Citizen Serv (SICS)</t>
        </is>
      </c>
      <c r="S227" s="2" t="inlineStr">
        <is>
          <t>Downer</t>
        </is>
      </c>
      <c r="T227" s="2" t="n">
        <v>100</v>
      </c>
      <c r="W227" s="2" t="inlineStr">
        <is>
          <t>Classification</t>
        </is>
      </c>
    </row>
    <row r="228">
      <c r="A228" s="2" t="inlineStr">
        <is>
          <t>Downer</t>
        </is>
      </c>
      <c r="B228" s="2" t="inlineStr">
        <is>
          <t>_CLOSED_HFM Fleet NT</t>
        </is>
      </c>
      <c r="C228" s="2" t="inlineStr">
        <is>
          <t>Fleet Fuel</t>
        </is>
      </c>
      <c r="D228" s="2" t="inlineStr">
        <is>
          <t>L9.S.3174.45003852.1</t>
        </is>
      </c>
      <c r="E228" s="2" t="n">
        <v>9178</v>
      </c>
      <c r="G228" s="2" t="inlineStr">
        <is>
          <t>Leaseplan vehicles transitioned through to FTC data at end of FY23.</t>
        </is>
      </c>
      <c r="M228" s="2" t="inlineStr">
        <is>
          <t>Northern Territory</t>
        </is>
      </c>
      <c r="N228" s="2" t="inlineStr">
        <is>
          <t>Australia</t>
        </is>
      </c>
      <c r="P228" s="2" t="inlineStr">
        <is>
          <t>Operational Control</t>
        </is>
      </c>
      <c r="Q228" s="2" t="inlineStr">
        <is>
          <t>Operational Control</t>
        </is>
      </c>
      <c r="R228" s="2" t="inlineStr">
        <is>
          <t>Social Infra &amp; Citizen Serv (SICS)</t>
        </is>
      </c>
      <c r="S228" s="2" t="inlineStr">
        <is>
          <t>Downer</t>
        </is>
      </c>
      <c r="T228" s="2" t="n">
        <v>100</v>
      </c>
      <c r="W228" s="2" t="inlineStr">
        <is>
          <t>Classification</t>
        </is>
      </c>
    </row>
    <row r="229">
      <c r="A229" s="2" t="inlineStr">
        <is>
          <t>Downer</t>
        </is>
      </c>
      <c r="B229" s="2" t="inlineStr">
        <is>
          <t>_CLOSED_HFM Fleet QLD</t>
        </is>
      </c>
      <c r="C229" s="2" t="inlineStr">
        <is>
          <t>Fleet Fuel</t>
        </is>
      </c>
      <c r="D229" s="2" t="inlineStr">
        <is>
          <t>L9.S.3174.45003852.1</t>
        </is>
      </c>
      <c r="E229" s="2" t="n">
        <v>9183</v>
      </c>
      <c r="G229" s="2" t="inlineStr">
        <is>
          <t>Leaseplan vehicles transitioned through to FTC data at end of FY23.</t>
        </is>
      </c>
      <c r="M229" s="2" t="inlineStr">
        <is>
          <t>Queensland</t>
        </is>
      </c>
      <c r="N229" s="2" t="inlineStr">
        <is>
          <t>Australia</t>
        </is>
      </c>
      <c r="P229" s="2" t="inlineStr">
        <is>
          <t>Operational Control</t>
        </is>
      </c>
      <c r="Q229" s="2" t="inlineStr">
        <is>
          <t>Operational Control</t>
        </is>
      </c>
      <c r="R229" s="2" t="inlineStr">
        <is>
          <t>Social Infra &amp; Citizen Serv (SICS)</t>
        </is>
      </c>
      <c r="S229" s="2" t="inlineStr">
        <is>
          <t>Downer</t>
        </is>
      </c>
      <c r="T229" s="2" t="n">
        <v>100</v>
      </c>
      <c r="W229" s="2" t="inlineStr">
        <is>
          <t>Classification</t>
        </is>
      </c>
    </row>
    <row r="230">
      <c r="A230" s="2" t="inlineStr">
        <is>
          <t>Downer</t>
        </is>
      </c>
      <c r="B230" s="2" t="inlineStr">
        <is>
          <t>_CLOSED_HFM Fleet SA</t>
        </is>
      </c>
      <c r="C230" s="2" t="inlineStr">
        <is>
          <t>Fleet Fuel</t>
        </is>
      </c>
      <c r="D230" s="2" t="inlineStr">
        <is>
          <t>L9.S.3174.45003852.1</t>
        </is>
      </c>
      <c r="E230" s="2" t="n">
        <v>9180</v>
      </c>
      <c r="G230" s="2" t="inlineStr">
        <is>
          <t>Leaseplan vehicles transitioned through to FTC data at end of FY23.</t>
        </is>
      </c>
      <c r="M230" s="2" t="inlineStr">
        <is>
          <t>South Australia</t>
        </is>
      </c>
      <c r="N230" s="2" t="inlineStr">
        <is>
          <t>Australia</t>
        </is>
      </c>
      <c r="P230" s="2" t="inlineStr">
        <is>
          <t>Operational Control</t>
        </is>
      </c>
      <c r="Q230" s="2" t="inlineStr">
        <is>
          <t>Operational Control</t>
        </is>
      </c>
      <c r="R230" s="2" t="inlineStr">
        <is>
          <t>Social Infra &amp; Citizen Serv (SICS)</t>
        </is>
      </c>
      <c r="S230" s="2" t="inlineStr">
        <is>
          <t>Downer</t>
        </is>
      </c>
      <c r="T230" s="2" t="n">
        <v>100</v>
      </c>
      <c r="W230" s="2" t="inlineStr">
        <is>
          <t>Classification</t>
        </is>
      </c>
    </row>
    <row r="231">
      <c r="A231" s="2" t="inlineStr">
        <is>
          <t>Downer</t>
        </is>
      </c>
      <c r="B231" s="2" t="inlineStr">
        <is>
          <t>_CLOSED_HFM Fleet TAS</t>
        </is>
      </c>
      <c r="C231" s="2" t="inlineStr">
        <is>
          <t>Fleet Fuel</t>
        </is>
      </c>
      <c r="D231" s="2" t="inlineStr">
        <is>
          <t>L9.S.3174.45003852.1</t>
        </is>
      </c>
      <c r="E231" s="2" t="n">
        <v>9185</v>
      </c>
      <c r="G231" s="2" t="inlineStr">
        <is>
          <t>Leaseplan vehicles transitioned through to FTC data at end of FY23.</t>
        </is>
      </c>
      <c r="M231" s="2" t="inlineStr">
        <is>
          <t>Tasmania</t>
        </is>
      </c>
      <c r="N231" s="2" t="inlineStr">
        <is>
          <t>Australia</t>
        </is>
      </c>
      <c r="P231" s="2" t="inlineStr">
        <is>
          <t>Operational Control</t>
        </is>
      </c>
      <c r="Q231" s="2" t="inlineStr">
        <is>
          <t>Operational Control</t>
        </is>
      </c>
      <c r="R231" s="2" t="inlineStr">
        <is>
          <t>Social Infra &amp; Citizen Serv (SICS)</t>
        </is>
      </c>
      <c r="S231" s="2" t="inlineStr">
        <is>
          <t>Downer</t>
        </is>
      </c>
      <c r="T231" s="2" t="n">
        <v>100</v>
      </c>
      <c r="W231" s="2" t="inlineStr">
        <is>
          <t>Classification</t>
        </is>
      </c>
      <c r="AB231" s="11" t="n">
        <v>45107</v>
      </c>
    </row>
    <row r="232">
      <c r="A232" s="2" t="inlineStr">
        <is>
          <t>Downer</t>
        </is>
      </c>
      <c r="B232" s="2" t="inlineStr">
        <is>
          <t>_CLOSED_HFM Fleet VIC</t>
        </is>
      </c>
      <c r="C232" s="2" t="inlineStr">
        <is>
          <t>Fleet Fuel</t>
        </is>
      </c>
      <c r="D232" s="2" t="inlineStr">
        <is>
          <t>L9.S.3174.45003852.1</t>
        </is>
      </c>
      <c r="E232" s="2" t="n">
        <v>9184</v>
      </c>
      <c r="G232" s="2" t="inlineStr">
        <is>
          <t>Leaseplan vehicles transitioned through to FTC data at end of FY23.</t>
        </is>
      </c>
      <c r="M232" s="2" t="inlineStr">
        <is>
          <t>Victoria</t>
        </is>
      </c>
      <c r="N232" s="2" t="inlineStr">
        <is>
          <t>Australia</t>
        </is>
      </c>
      <c r="P232" s="2" t="inlineStr">
        <is>
          <t>Operational Control</t>
        </is>
      </c>
      <c r="Q232" s="2" t="inlineStr">
        <is>
          <t>Operational Control</t>
        </is>
      </c>
      <c r="R232" s="2" t="inlineStr">
        <is>
          <t>Social Infra &amp; Citizen Serv (SICS)</t>
        </is>
      </c>
      <c r="S232" s="2" t="inlineStr">
        <is>
          <t>Downer</t>
        </is>
      </c>
      <c r="T232" s="2" t="n">
        <v>100</v>
      </c>
      <c r="W232" s="2" t="inlineStr">
        <is>
          <t>Classification</t>
        </is>
      </c>
    </row>
    <row r="233">
      <c r="A233" s="2" t="inlineStr">
        <is>
          <t>Downer</t>
        </is>
      </c>
      <c r="B233" s="2" t="inlineStr">
        <is>
          <t>_CLOSED_HFM Fleet WA</t>
        </is>
      </c>
      <c r="C233" s="2" t="inlineStr">
        <is>
          <t>Other</t>
        </is>
      </c>
      <c r="D233" s="2" t="inlineStr">
        <is>
          <t>L9.S.3174.45003852.1</t>
        </is>
      </c>
      <c r="E233" s="2" t="n">
        <v>9179</v>
      </c>
      <c r="G233" s="2" t="inlineStr">
        <is>
          <t>Leaseplan vehicles transitioned through to FTC data at end of FY23.</t>
        </is>
      </c>
      <c r="M233" s="2" t="inlineStr">
        <is>
          <t>Western Australia</t>
        </is>
      </c>
      <c r="N233" s="2" t="inlineStr">
        <is>
          <t>Australia</t>
        </is>
      </c>
      <c r="P233" s="2" t="inlineStr">
        <is>
          <t>Operational Control</t>
        </is>
      </c>
      <c r="Q233" s="2" t="inlineStr">
        <is>
          <t>Operational Control</t>
        </is>
      </c>
      <c r="R233" s="2" t="inlineStr">
        <is>
          <t>Social Infra &amp; Citizen Serv (SICS)</t>
        </is>
      </c>
      <c r="S233" s="2" t="inlineStr">
        <is>
          <t>Downer</t>
        </is>
      </c>
      <c r="T233" s="2" t="n">
        <v>100</v>
      </c>
      <c r="W233" s="2" t="inlineStr">
        <is>
          <t>Classification</t>
        </is>
      </c>
      <c r="AB233" s="11" t="n">
        <v>45107</v>
      </c>
    </row>
    <row r="234">
      <c r="A234" s="2" t="inlineStr">
        <is>
          <t>Downer</t>
        </is>
      </c>
      <c r="B234" s="2" t="inlineStr">
        <is>
          <t>_CLOSED_I&amp;C Fleet ACT</t>
        </is>
      </c>
      <c r="C234" s="2" t="inlineStr">
        <is>
          <t>Fleet Fuel</t>
        </is>
      </c>
      <c r="D234" s="2" t="inlineStr">
        <is>
          <t>L9.S.13001002</t>
        </is>
      </c>
      <c r="E234" s="2" t="n">
        <v>9197</v>
      </c>
      <c r="M234" s="2" t="inlineStr">
        <is>
          <t>Australian Capital Territory</t>
        </is>
      </c>
      <c r="N234" s="2" t="inlineStr">
        <is>
          <t>Australia</t>
        </is>
      </c>
      <c r="P234" s="2" t="inlineStr">
        <is>
          <t>Operational Control</t>
        </is>
      </c>
      <c r="Q234" s="2" t="inlineStr">
        <is>
          <t>Operational Control</t>
        </is>
      </c>
      <c r="R234" s="2" t="inlineStr">
        <is>
          <t>Asset &amp; Development Services (Baseline)</t>
        </is>
      </c>
      <c r="S234" s="2" t="inlineStr">
        <is>
          <t>Downer</t>
        </is>
      </c>
      <c r="T234" s="2" t="n">
        <v>100</v>
      </c>
      <c r="V234" s="11" t="n">
        <v>45107</v>
      </c>
      <c r="W234" s="2" t="inlineStr">
        <is>
          <t>Classification</t>
        </is>
      </c>
    </row>
    <row r="235">
      <c r="A235" s="2" t="inlineStr">
        <is>
          <t>Downer</t>
        </is>
      </c>
      <c r="B235" s="2" t="inlineStr">
        <is>
          <t>_CLOSED_I&amp;C Fleet NSW</t>
        </is>
      </c>
      <c r="C235" s="2" t="inlineStr">
        <is>
          <t>Fleet Fuel</t>
        </is>
      </c>
      <c r="D235" s="2" t="inlineStr">
        <is>
          <t>L9.S.13001001</t>
        </is>
      </c>
      <c r="E235" s="2" t="n">
        <v>9187</v>
      </c>
      <c r="M235" s="2" t="inlineStr">
        <is>
          <t>New South Wales</t>
        </is>
      </c>
      <c r="N235" s="2" t="inlineStr">
        <is>
          <t>Australia</t>
        </is>
      </c>
      <c r="P235" s="2" t="inlineStr">
        <is>
          <t>Operational Control</t>
        </is>
      </c>
      <c r="Q235" s="2" t="inlineStr">
        <is>
          <t>Operational Control</t>
        </is>
      </c>
      <c r="R235" s="2" t="inlineStr">
        <is>
          <t>Asset &amp; Development Services (Baseline)</t>
        </is>
      </c>
      <c r="S235" s="2" t="inlineStr">
        <is>
          <t>Downer</t>
        </is>
      </c>
      <c r="T235" s="2" t="n">
        <v>100</v>
      </c>
      <c r="V235" s="11" t="n">
        <v>45107</v>
      </c>
      <c r="W235" s="2" t="inlineStr">
        <is>
          <t>Classification</t>
        </is>
      </c>
    </row>
    <row r="236">
      <c r="A236" s="2" t="inlineStr">
        <is>
          <t>Downer</t>
        </is>
      </c>
      <c r="B236" s="2" t="inlineStr">
        <is>
          <t>_CLOSED_I&amp;C Fleet NT</t>
        </is>
      </c>
      <c r="C236" s="2" t="inlineStr">
        <is>
          <t>Fleet Fuel</t>
        </is>
      </c>
      <c r="D236" s="2" t="inlineStr">
        <is>
          <t>L9.S.13001014</t>
        </is>
      </c>
      <c r="E236" s="2" t="n">
        <v>9211</v>
      </c>
      <c r="M236" s="2" t="inlineStr">
        <is>
          <t>Northern Territory</t>
        </is>
      </c>
      <c r="N236" s="2" t="inlineStr">
        <is>
          <t>Australia</t>
        </is>
      </c>
      <c r="P236" s="2" t="inlineStr">
        <is>
          <t>Operational Control</t>
        </is>
      </c>
      <c r="Q236" s="2" t="inlineStr">
        <is>
          <t>Operational Control</t>
        </is>
      </c>
      <c r="R236" s="2" t="inlineStr">
        <is>
          <t>Asset &amp; Development Services (Baseline)</t>
        </is>
      </c>
      <c r="S236" s="2" t="inlineStr">
        <is>
          <t>Downer</t>
        </is>
      </c>
      <c r="T236" s="2" t="n">
        <v>100</v>
      </c>
      <c r="V236" s="11" t="n">
        <v>45107</v>
      </c>
      <c r="W236" s="2" t="inlineStr">
        <is>
          <t>Classification</t>
        </is>
      </c>
    </row>
    <row r="237">
      <c r="A237" s="2" t="inlineStr">
        <is>
          <t>Downer</t>
        </is>
      </c>
      <c r="B237" s="2" t="inlineStr">
        <is>
          <t>_CLOSED_I&amp;C Fleet QLD</t>
        </is>
      </c>
      <c r="C237" s="2" t="inlineStr">
        <is>
          <t>Fleet Fuel</t>
        </is>
      </c>
      <c r="D237" s="2" t="inlineStr">
        <is>
          <t>L9.S.13001037</t>
        </is>
      </c>
      <c r="E237" s="2" t="n">
        <v>9188</v>
      </c>
      <c r="M237" s="2" t="inlineStr">
        <is>
          <t>Queensland</t>
        </is>
      </c>
      <c r="N237" s="2" t="inlineStr">
        <is>
          <t>Australia</t>
        </is>
      </c>
      <c r="P237" s="2" t="inlineStr">
        <is>
          <t>Operational Control</t>
        </is>
      </c>
      <c r="Q237" s="2" t="inlineStr">
        <is>
          <t>Operational Control</t>
        </is>
      </c>
      <c r="R237" s="2" t="inlineStr">
        <is>
          <t>Asset &amp; Development Services (Baseline)</t>
        </is>
      </c>
      <c r="S237" s="2" t="inlineStr">
        <is>
          <t>Downer</t>
        </is>
      </c>
      <c r="T237" s="2" t="n">
        <v>100</v>
      </c>
      <c r="V237" s="11" t="n">
        <v>45107</v>
      </c>
      <c r="W237" s="2" t="inlineStr">
        <is>
          <t>Classification</t>
        </is>
      </c>
    </row>
    <row r="238">
      <c r="A238" s="2" t="inlineStr">
        <is>
          <t>Downer</t>
        </is>
      </c>
      <c r="B238" s="2" t="inlineStr">
        <is>
          <t>_CLOSED_I&amp;C Fleet TAS</t>
        </is>
      </c>
      <c r="C238" s="2" t="inlineStr">
        <is>
          <t>Fleet Fuel</t>
        </is>
      </c>
      <c r="D238" s="2" t="inlineStr">
        <is>
          <t>L9.S.13001045</t>
        </is>
      </c>
      <c r="E238" s="2" t="n">
        <v>9189</v>
      </c>
      <c r="M238" s="2" t="inlineStr">
        <is>
          <t>Tasmania</t>
        </is>
      </c>
      <c r="N238" s="2" t="inlineStr">
        <is>
          <t>Australia</t>
        </is>
      </c>
      <c r="P238" s="2" t="inlineStr">
        <is>
          <t>Operational Control</t>
        </is>
      </c>
      <c r="Q238" s="2" t="inlineStr">
        <is>
          <t>Operational Control</t>
        </is>
      </c>
      <c r="R238" s="2" t="inlineStr">
        <is>
          <t>Asset &amp; Development Services (Baseline)</t>
        </is>
      </c>
      <c r="S238" s="2" t="inlineStr">
        <is>
          <t>Downer</t>
        </is>
      </c>
      <c r="T238" s="2" t="n">
        <v>100</v>
      </c>
      <c r="V238" s="11" t="n">
        <v>45107</v>
      </c>
      <c r="W238" s="2" t="inlineStr">
        <is>
          <t>Classification</t>
        </is>
      </c>
    </row>
    <row r="239">
      <c r="A239" s="2" t="inlineStr">
        <is>
          <t>Downer</t>
        </is>
      </c>
      <c r="B239" s="2" t="inlineStr">
        <is>
          <t>_CLOSED_I&amp;C Fleet VIC</t>
        </is>
      </c>
      <c r="C239" s="2" t="inlineStr">
        <is>
          <t>Fleet Fuel</t>
        </is>
      </c>
      <c r="D239" s="2" t="inlineStr">
        <is>
          <t>L9.S.13001006</t>
        </is>
      </c>
      <c r="E239" s="2" t="n">
        <v>9190</v>
      </c>
      <c r="M239" s="2" t="inlineStr">
        <is>
          <t>Victoria</t>
        </is>
      </c>
      <c r="N239" s="2" t="inlineStr">
        <is>
          <t>Australia</t>
        </is>
      </c>
      <c r="P239" s="2" t="inlineStr">
        <is>
          <t>Operational Control</t>
        </is>
      </c>
      <c r="Q239" s="2" t="inlineStr">
        <is>
          <t>Operational Control</t>
        </is>
      </c>
      <c r="R239" s="2" t="inlineStr">
        <is>
          <t>Asset &amp; Development Services (Baseline)</t>
        </is>
      </c>
      <c r="S239" s="2" t="inlineStr">
        <is>
          <t>Downer</t>
        </is>
      </c>
      <c r="T239" s="2" t="n">
        <v>100</v>
      </c>
      <c r="V239" s="11" t="n">
        <v>45107</v>
      </c>
      <c r="W239" s="2" t="inlineStr">
        <is>
          <t>Classification</t>
        </is>
      </c>
    </row>
    <row r="240">
      <c r="A240" s="2" t="inlineStr">
        <is>
          <t>Downer</t>
        </is>
      </c>
      <c r="B240" s="2" t="inlineStr">
        <is>
          <t>_CLOSED_I&amp;C Fleet WA</t>
        </is>
      </c>
      <c r="C240" s="2" t="inlineStr">
        <is>
          <t>Fleet Fuel</t>
        </is>
      </c>
      <c r="D240" s="2" t="inlineStr">
        <is>
          <t>L9.S.13001043</t>
        </is>
      </c>
      <c r="E240" s="2" t="n">
        <v>9186</v>
      </c>
      <c r="M240" s="2" t="inlineStr">
        <is>
          <t>Western Australia</t>
        </is>
      </c>
      <c r="N240" s="2" t="inlineStr">
        <is>
          <t>Australia</t>
        </is>
      </c>
      <c r="P240" s="2" t="inlineStr">
        <is>
          <t>Operational Control</t>
        </is>
      </c>
      <c r="Q240" s="2" t="inlineStr">
        <is>
          <t>Operational Control</t>
        </is>
      </c>
      <c r="R240" s="2" t="inlineStr">
        <is>
          <t>Asset &amp; Development Services (Baseline)</t>
        </is>
      </c>
      <c r="S240" s="2" t="inlineStr">
        <is>
          <t>Downer</t>
        </is>
      </c>
      <c r="T240" s="2" t="n">
        <v>100</v>
      </c>
      <c r="V240" s="11" t="n">
        <v>45107</v>
      </c>
      <c r="W240" s="2" t="inlineStr">
        <is>
          <t>Classification</t>
        </is>
      </c>
    </row>
    <row r="241">
      <c r="A241" s="2" t="inlineStr">
        <is>
          <t>Downer</t>
        </is>
      </c>
      <c r="B241" s="2" t="inlineStr">
        <is>
          <t>_CLOSED_Innisfail SS Replacement</t>
        </is>
      </c>
      <c r="C241" s="2" t="inlineStr">
        <is>
          <t>Site</t>
        </is>
      </c>
      <c r="D241" s="2" t="inlineStr">
        <is>
          <t>L9.J.37130005</t>
        </is>
      </c>
      <c r="E241" s="2" t="n">
        <v>37130005</v>
      </c>
      <c r="M241" s="2" t="inlineStr">
        <is>
          <t>Innisfail</t>
        </is>
      </c>
      <c r="N241" s="2" t="inlineStr">
        <is>
          <t>Australia</t>
        </is>
      </c>
      <c r="P241" s="2" t="inlineStr">
        <is>
          <t>Operational Control</t>
        </is>
      </c>
      <c r="Q241" s="2" t="inlineStr">
        <is>
          <t>Operational Control</t>
        </is>
      </c>
      <c r="R241" s="2" t="inlineStr">
        <is>
          <t>Energy and Utilities (EU)</t>
        </is>
      </c>
      <c r="S241" s="2" t="inlineStr">
        <is>
          <t>Downer</t>
        </is>
      </c>
      <c r="T241" s="2" t="n">
        <v>100</v>
      </c>
      <c r="W241" s="2" t="inlineStr">
        <is>
          <t>Classification</t>
        </is>
      </c>
      <c r="AA241" s="11" t="n">
        <v>45298</v>
      </c>
      <c r="AB241" s="11" t="n">
        <v>45529</v>
      </c>
    </row>
    <row r="242">
      <c r="A242" s="2" t="inlineStr">
        <is>
          <t>Downer</t>
        </is>
      </c>
      <c r="B242" s="2" t="inlineStr">
        <is>
          <t>_CLOSED_IP WA Rail Fleet</t>
        </is>
      </c>
      <c r="C242" s="2" t="inlineStr">
        <is>
          <t>Fleet Fuel</t>
        </is>
      </c>
      <c r="D242" s="2" t="inlineStr">
        <is>
          <t>L9.J.200443</t>
        </is>
      </c>
      <c r="E242" s="2" t="inlineStr">
        <is>
          <t>IPWA</t>
        </is>
      </c>
      <c r="M242" s="2" t="inlineStr">
        <is>
          <t>Western Australia</t>
        </is>
      </c>
      <c r="N242" s="2" t="inlineStr">
        <is>
          <t>Australia</t>
        </is>
      </c>
      <c r="P242" s="2" t="inlineStr">
        <is>
          <t>Operational Control</t>
        </is>
      </c>
      <c r="Q242" s="2" t="inlineStr">
        <is>
          <t>Operational Control</t>
        </is>
      </c>
      <c r="R242" s="2" t="inlineStr">
        <is>
          <t>DT Infrastructure (pre Sept 23 divestment)</t>
        </is>
      </c>
      <c r="S242" s="2" t="inlineStr">
        <is>
          <t>Downer</t>
        </is>
      </c>
      <c r="T242" s="2" t="n">
        <v>100</v>
      </c>
      <c r="V242" s="11" t="n">
        <v>45199</v>
      </c>
      <c r="W242" s="2" t="inlineStr">
        <is>
          <t>Classification</t>
        </is>
      </c>
    </row>
    <row r="243">
      <c r="A243" s="2" t="inlineStr">
        <is>
          <t>Downer</t>
        </is>
      </c>
      <c r="B243" s="2" t="inlineStr">
        <is>
          <t>_CLOSED_IP_SubContractors</t>
        </is>
      </c>
      <c r="C243" s="2" t="inlineStr">
        <is>
          <t>Other</t>
        </is>
      </c>
      <c r="D243" s="2" t="inlineStr">
        <is>
          <t>L9.DNZJ.8840</t>
        </is>
      </c>
      <c r="E243" s="2" t="n">
        <v>5322</v>
      </c>
      <c r="M243" s="2" t="inlineStr">
        <is>
          <t>Auckland</t>
        </is>
      </c>
      <c r="N243" s="2" t="inlineStr">
        <is>
          <t>New Zealand</t>
        </is>
      </c>
      <c r="P243" s="2" t="inlineStr">
        <is>
          <t>Operational Control</t>
        </is>
      </c>
      <c r="Q243" s="2" t="inlineStr">
        <is>
          <t>Operational Control</t>
        </is>
      </c>
      <c r="R243" s="2" t="inlineStr">
        <is>
          <t>Transport &amp; Infrastructure (T&amp;I)</t>
        </is>
      </c>
      <c r="S243" s="2" t="inlineStr">
        <is>
          <t>Downer</t>
        </is>
      </c>
      <c r="T243" s="2" t="n">
        <v>100</v>
      </c>
      <c r="U243" s="2" t="inlineStr">
        <is>
          <t>1899/12/31</t>
        </is>
      </c>
      <c r="W243" s="2" t="inlineStr">
        <is>
          <t>Classification</t>
        </is>
      </c>
    </row>
    <row r="244">
      <c r="A244" s="2" t="inlineStr">
        <is>
          <t>Downer</t>
        </is>
      </c>
      <c r="B244" s="2" t="inlineStr">
        <is>
          <t>_CLOSED_IPD NSW</t>
        </is>
      </c>
      <c r="C244" s="2" t="inlineStr">
        <is>
          <t>Other</t>
        </is>
      </c>
      <c r="D244" s="2" t="inlineStr">
        <is>
          <t>L9.J.200901</t>
        </is>
      </c>
      <c r="E244" s="2" t="n">
        <v>6013</v>
      </c>
      <c r="H244" s="2" t="inlineStr">
        <is>
          <t>NSW</t>
        </is>
      </c>
      <c r="I244" s="2" t="inlineStr">
        <is>
          <t>NSW</t>
        </is>
      </c>
      <c r="J244" s="2" t="inlineStr">
        <is>
          <t>NSW</t>
        </is>
      </c>
      <c r="M244" s="2" t="inlineStr">
        <is>
          <t>Sydney</t>
        </is>
      </c>
      <c r="N244" s="2" t="inlineStr">
        <is>
          <t>Australia</t>
        </is>
      </c>
      <c r="P244" s="2" t="inlineStr">
        <is>
          <t>Operational Control</t>
        </is>
      </c>
      <c r="Q244" s="2" t="inlineStr">
        <is>
          <t>Operational Control</t>
        </is>
      </c>
      <c r="R244" s="2" t="inlineStr">
        <is>
          <t>DT Infrastructure (pre Sept 23 divestment)</t>
        </is>
      </c>
      <c r="S244" s="2" t="inlineStr">
        <is>
          <t>Downer</t>
        </is>
      </c>
      <c r="T244" s="2" t="n">
        <v>100</v>
      </c>
      <c r="V244" s="11" t="n">
        <v>45199</v>
      </c>
      <c r="W244" s="2" t="inlineStr">
        <is>
          <t>Classification</t>
        </is>
      </c>
      <c r="X244" s="2" t="n">
        <v>-33.795051</v>
      </c>
      <c r="Y244" s="2" t="n">
        <v>151.139563</v>
      </c>
      <c r="Z244" s="2" t="n">
        <v>310</v>
      </c>
    </row>
    <row r="245">
      <c r="A245" s="2" t="inlineStr">
        <is>
          <t>Downer</t>
        </is>
      </c>
      <c r="B245" s="2" t="inlineStr">
        <is>
          <t>_CLOSED_IPD Qld</t>
        </is>
      </c>
      <c r="C245" s="2" t="inlineStr">
        <is>
          <t>Depot</t>
        </is>
      </c>
      <c r="D245" s="2" t="inlineStr">
        <is>
          <t>L9.J.200453</t>
        </is>
      </c>
      <c r="E245" s="2" t="n">
        <v>6011</v>
      </c>
      <c r="H245" s="2" t="inlineStr">
        <is>
          <t>2 Burke Street</t>
        </is>
      </c>
      <c r="I245" s="2" t="inlineStr">
        <is>
          <t>Woolloongabba</t>
        </is>
      </c>
      <c r="J245" s="2" t="inlineStr">
        <is>
          <t>QLD</t>
        </is>
      </c>
      <c r="K245" s="2" t="n">
        <v>4012</v>
      </c>
      <c r="L245" s="2" t="inlineStr">
        <is>
          <t>Australia</t>
        </is>
      </c>
      <c r="M245" s="2" t="inlineStr">
        <is>
          <t>Woolloongabba</t>
        </is>
      </c>
      <c r="N245" s="2" t="inlineStr">
        <is>
          <t>Australia</t>
        </is>
      </c>
      <c r="P245" s="2" t="inlineStr">
        <is>
          <t>Operational Control</t>
        </is>
      </c>
      <c r="Q245" s="2" t="inlineStr">
        <is>
          <t>Operational Control</t>
        </is>
      </c>
      <c r="R245" s="2" t="inlineStr">
        <is>
          <t>DT Infrastructure (pre Sept 23 divestment)</t>
        </is>
      </c>
      <c r="S245" s="2" t="inlineStr">
        <is>
          <t>Downer</t>
        </is>
      </c>
      <c r="T245" s="2" t="n">
        <v>100</v>
      </c>
      <c r="V245" s="11" t="n">
        <v>45199</v>
      </c>
      <c r="W245" s="2" t="inlineStr">
        <is>
          <t>Classification</t>
        </is>
      </c>
      <c r="X245" s="2" t="n">
        <v>-27.494707</v>
      </c>
      <c r="Y245" s="2" t="n">
        <v>153.033986</v>
      </c>
      <c r="Z245" s="2" t="n">
        <v>310</v>
      </c>
    </row>
    <row r="246">
      <c r="A246" s="2" t="inlineStr">
        <is>
          <t>Downer</t>
        </is>
      </c>
      <c r="B246" s="2" t="inlineStr">
        <is>
          <t>_CLOSED_ITS QLD</t>
        </is>
      </c>
      <c r="C246" s="2" t="inlineStr">
        <is>
          <t>Depot</t>
        </is>
      </c>
      <c r="D246" s="2" t="inlineStr">
        <is>
          <t>L9.J.170257</t>
        </is>
      </c>
      <c r="M246" s="2" t="inlineStr">
        <is>
          <t>Queensland</t>
        </is>
      </c>
      <c r="N246" s="2" t="inlineStr">
        <is>
          <t>Australia</t>
        </is>
      </c>
      <c r="P246" s="2" t="inlineStr">
        <is>
          <t>Operational Control</t>
        </is>
      </c>
      <c r="Q246" s="2" t="inlineStr">
        <is>
          <t>Operational Control</t>
        </is>
      </c>
      <c r="R246" s="2" t="inlineStr">
        <is>
          <t>Transport &amp; Infrastructure (T&amp;I)</t>
        </is>
      </c>
      <c r="S246" s="2" t="inlineStr">
        <is>
          <t>Downer</t>
        </is>
      </c>
      <c r="T246" s="2" t="n">
        <v>100</v>
      </c>
      <c r="W246" s="2" t="inlineStr">
        <is>
          <t>Classification</t>
        </is>
      </c>
      <c r="AB246" s="11" t="n">
        <v>44682</v>
      </c>
    </row>
    <row r="247">
      <c r="A247" s="2" t="inlineStr">
        <is>
          <t>Downer</t>
        </is>
      </c>
      <c r="B247" s="2" t="inlineStr">
        <is>
          <t>_CLOSED_Karratha</t>
        </is>
      </c>
      <c r="C247" s="2" t="inlineStr">
        <is>
          <t>Asphalt Plant</t>
        </is>
      </c>
      <c r="D247" s="2" t="inlineStr">
        <is>
          <t>L9.WAU.000605</t>
        </is>
      </c>
      <c r="E247" s="2" t="n">
        <v>153</v>
      </c>
      <c r="G247" s="2" t="inlineStr">
        <is>
          <t>No operations - closing.</t>
        </is>
      </c>
      <c r="H247" s="2" t="inlineStr">
        <is>
          <t>Cinders Rd</t>
        </is>
      </c>
      <c r="I247" s="2" t="inlineStr">
        <is>
          <t>Nickol</t>
        </is>
      </c>
      <c r="J247" s="2" t="inlineStr">
        <is>
          <t>WA</t>
        </is>
      </c>
      <c r="K247" s="2" t="n">
        <v>6714</v>
      </c>
      <c r="L247" s="2" t="inlineStr">
        <is>
          <t>Australia</t>
        </is>
      </c>
      <c r="M247" s="2" t="inlineStr">
        <is>
          <t>Western Australia</t>
        </is>
      </c>
      <c r="N247" s="2" t="inlineStr">
        <is>
          <t>Australia</t>
        </is>
      </c>
      <c r="P247" s="2" t="inlineStr">
        <is>
          <t>Operational Control</t>
        </is>
      </c>
      <c r="Q247" s="2" t="inlineStr">
        <is>
          <t>Operational Control</t>
        </is>
      </c>
      <c r="R247" s="2" t="inlineStr">
        <is>
          <t>Transport &amp; Infrastructure (T&amp;I)</t>
        </is>
      </c>
      <c r="S247" s="2" t="inlineStr">
        <is>
          <t>Downer</t>
        </is>
      </c>
      <c r="T247" s="2" t="n">
        <v>100</v>
      </c>
      <c r="W247" s="2" t="inlineStr">
        <is>
          <t>Classification</t>
        </is>
      </c>
      <c r="X247" s="2" t="n">
        <v>-20.74</v>
      </c>
      <c r="Y247" s="2" t="n">
        <v>116.801</v>
      </c>
      <c r="Z247" s="2" t="n">
        <v>170</v>
      </c>
      <c r="AB247" s="11" t="n">
        <v>44377</v>
      </c>
    </row>
    <row r="248">
      <c r="A248" s="2" t="inlineStr">
        <is>
          <t>Downer</t>
        </is>
      </c>
      <c r="B248" s="2" t="inlineStr">
        <is>
          <t>_CLOSED_Karratha Regional Operations Centre (ROC)</t>
        </is>
      </c>
      <c r="C248" s="2" t="inlineStr">
        <is>
          <t>Office</t>
        </is>
      </c>
      <c r="D248" s="2" t="inlineStr">
        <is>
          <t>L9.J.20044042</t>
        </is>
      </c>
      <c r="E248" s="2" t="inlineStr">
        <is>
          <t>L9.J.20044042</t>
        </is>
      </c>
      <c r="H248" s="2" t="inlineStr">
        <is>
          <t>107 Exploration Drive</t>
        </is>
      </c>
      <c r="I248" s="2" t="inlineStr">
        <is>
          <t>Gap Ridge</t>
        </is>
      </c>
      <c r="J248" s="2" t="inlineStr">
        <is>
          <t>WA</t>
        </is>
      </c>
      <c r="M248" s="2" t="inlineStr">
        <is>
          <t>Karratha</t>
        </is>
      </c>
      <c r="N248" s="2" t="inlineStr">
        <is>
          <t>Australia</t>
        </is>
      </c>
      <c r="P248" s="2" t="inlineStr">
        <is>
          <t>Operational Control</t>
        </is>
      </c>
      <c r="Q248" s="2" t="inlineStr">
        <is>
          <t>Operational Control</t>
        </is>
      </c>
      <c r="R248" s="2" t="inlineStr">
        <is>
          <t>DT Infrastructure (pre Sept 23 divestment)</t>
        </is>
      </c>
      <c r="S248" s="2" t="inlineStr">
        <is>
          <t>Downer</t>
        </is>
      </c>
      <c r="T248" s="2" t="n">
        <v>100</v>
      </c>
      <c r="V248" s="11" t="n">
        <v>45199</v>
      </c>
      <c r="W248" s="2" t="inlineStr">
        <is>
          <t>Classification</t>
        </is>
      </c>
      <c r="AB248" s="11" t="n">
        <v>45107</v>
      </c>
    </row>
    <row r="249">
      <c r="A249" s="2" t="inlineStr">
        <is>
          <t>Downer</t>
        </is>
      </c>
      <c r="B249" s="2" t="inlineStr">
        <is>
          <t>_CLOSED_Kestrel Dry Disposal</t>
        </is>
      </c>
      <c r="C249" s="2" t="inlineStr">
        <is>
          <t>Other</t>
        </is>
      </c>
      <c r="D249" s="2" t="inlineStr">
        <is>
          <t>L9.J.36400012</t>
        </is>
      </c>
      <c r="E249" s="2" t="inlineStr">
        <is>
          <t>COR-36400012</t>
        </is>
      </c>
      <c r="M249" s="2" t="inlineStr">
        <is>
          <t>Queensland</t>
        </is>
      </c>
      <c r="N249" s="2" t="inlineStr">
        <is>
          <t>Australia</t>
        </is>
      </c>
      <c r="P249" s="2" t="inlineStr">
        <is>
          <t>Operational Control</t>
        </is>
      </c>
      <c r="Q249" s="2" t="inlineStr">
        <is>
          <t>Operational Control</t>
        </is>
      </c>
      <c r="R249" s="2" t="inlineStr">
        <is>
          <t>Corporate</t>
        </is>
      </c>
      <c r="S249" s="2" t="inlineStr">
        <is>
          <t>Downer</t>
        </is>
      </c>
      <c r="T249" s="2" t="n">
        <v>100</v>
      </c>
      <c r="W249" s="2" t="inlineStr">
        <is>
          <t>Classification</t>
        </is>
      </c>
      <c r="AB249" s="11" t="n">
        <v>44043</v>
      </c>
    </row>
    <row r="250">
      <c r="A250" s="2" t="inlineStr">
        <is>
          <t>Downer</t>
        </is>
      </c>
      <c r="B250" s="2" t="inlineStr">
        <is>
          <t>_CLOSED_Kooragang</t>
        </is>
      </c>
      <c r="C250" s="2" t="inlineStr">
        <is>
          <t>Other</t>
        </is>
      </c>
      <c r="D250" s="2" t="inlineStr">
        <is>
          <t>L9.J.70930009</t>
        </is>
      </c>
      <c r="E250" s="2" t="inlineStr">
        <is>
          <t>L9.J.70930009</t>
        </is>
      </c>
      <c r="F250" s="2" t="n">
        <v>157</v>
      </c>
      <c r="H250" s="2" t="inlineStr">
        <is>
          <t>Off Cormorant Road</t>
        </is>
      </c>
      <c r="I250" s="2" t="inlineStr">
        <is>
          <t>Kooragang Island</t>
        </is>
      </c>
      <c r="J250" s="2" t="inlineStr">
        <is>
          <t>New South Wales</t>
        </is>
      </c>
      <c r="K250" s="2" t="n">
        <v>2304</v>
      </c>
      <c r="L250" s="2" t="inlineStr">
        <is>
          <t>Australia</t>
        </is>
      </c>
      <c r="M250" s="2" t="inlineStr">
        <is>
          <t>New South Wales</t>
        </is>
      </c>
      <c r="N250" s="2" t="inlineStr">
        <is>
          <t>Australia</t>
        </is>
      </c>
      <c r="P250" s="2" t="inlineStr">
        <is>
          <t>Operational Control</t>
        </is>
      </c>
      <c r="Q250" s="2" t="inlineStr">
        <is>
          <t>Operational Control</t>
        </is>
      </c>
      <c r="R250" s="2" t="inlineStr">
        <is>
          <t>Rail &amp; Transit Systems (RTS)</t>
        </is>
      </c>
      <c r="S250" s="2" t="inlineStr">
        <is>
          <t>Downer</t>
        </is>
      </c>
      <c r="T250" s="2" t="n">
        <v>100</v>
      </c>
      <c r="W250" s="2" t="inlineStr">
        <is>
          <t>Classification</t>
        </is>
      </c>
      <c r="X250" s="2" t="n">
        <v>-32.863</v>
      </c>
      <c r="Y250" s="2" t="n">
        <v>151.741</v>
      </c>
      <c r="Z250" s="2" t="n">
        <v>239</v>
      </c>
      <c r="AB250" s="11" t="n">
        <v>43281</v>
      </c>
    </row>
    <row r="251">
      <c r="A251" s="2" t="inlineStr">
        <is>
          <t>Downer</t>
        </is>
      </c>
      <c r="B251" s="2" t="inlineStr">
        <is>
          <t>_CLOSED_Kwinana Rail Depot</t>
        </is>
      </c>
      <c r="C251" s="2" t="inlineStr">
        <is>
          <t>Other</t>
        </is>
      </c>
      <c r="D251" s="2" t="inlineStr">
        <is>
          <t>L9.D.20144004</t>
        </is>
      </c>
      <c r="E251" s="2" t="inlineStr">
        <is>
          <t>L9.D.20144004</t>
        </is>
      </c>
      <c r="H251" s="2" t="inlineStr">
        <is>
          <t>8 Richardson Street</t>
        </is>
      </c>
      <c r="I251" s="2" t="inlineStr">
        <is>
          <t>Kwinana Beach</t>
        </is>
      </c>
      <c r="J251" s="2" t="inlineStr">
        <is>
          <t>WA</t>
        </is>
      </c>
      <c r="K251" s="2" t="n">
        <v>6167</v>
      </c>
      <c r="L251" s="2" t="inlineStr">
        <is>
          <t>Australia</t>
        </is>
      </c>
      <c r="M251" s="2" t="inlineStr">
        <is>
          <t>Western Australia</t>
        </is>
      </c>
      <c r="N251" s="2" t="inlineStr">
        <is>
          <t>Australia</t>
        </is>
      </c>
      <c r="P251" s="2" t="inlineStr">
        <is>
          <t>Operational Control</t>
        </is>
      </c>
      <c r="Q251" s="2" t="inlineStr">
        <is>
          <t>Operational Control</t>
        </is>
      </c>
      <c r="R251" s="2" t="inlineStr">
        <is>
          <t>DT Infrastructure (pre Sept 23 divestment)</t>
        </is>
      </c>
      <c r="S251" s="2" t="inlineStr">
        <is>
          <t>Downer</t>
        </is>
      </c>
      <c r="T251" s="2" t="n">
        <v>100</v>
      </c>
      <c r="V251" s="11" t="n">
        <v>45199</v>
      </c>
      <c r="W251" s="2" t="inlineStr">
        <is>
          <t>Classification</t>
        </is>
      </c>
      <c r="X251" s="2" t="n">
        <v>-32.241</v>
      </c>
      <c r="Y251" s="2" t="n">
        <v>115.78</v>
      </c>
      <c r="Z251" s="2" t="n">
        <v>310</v>
      </c>
      <c r="AB251" s="11" t="n">
        <v>44012</v>
      </c>
    </row>
    <row r="252">
      <c r="A252" s="2" t="inlineStr">
        <is>
          <t>Downer</t>
        </is>
      </c>
      <c r="B252" s="2" t="inlineStr">
        <is>
          <t>_CLOSED_Labs_Auckland</t>
        </is>
      </c>
      <c r="C252" s="2" t="inlineStr">
        <is>
          <t>Other</t>
        </is>
      </c>
      <c r="D252" s="2" t="inlineStr">
        <is>
          <t>L9.DNZJ.3521</t>
        </is>
      </c>
      <c r="E252" s="2" t="n">
        <v>5074</v>
      </c>
      <c r="G252" s="2" t="inlineStr">
        <is>
          <t>Technical Support for Construction activities - New facilities established for more granular reporting and to reflect new structure for FY17. See facility named "NZ-Infrastructure Services" for historical data.</t>
        </is>
      </c>
      <c r="H252" s="2" t="inlineStr">
        <is>
          <t>645 Great South Rd, Penrose</t>
        </is>
      </c>
      <c r="I252" s="2" t="inlineStr">
        <is>
          <t>Auckland</t>
        </is>
      </c>
      <c r="J252" s="2" t="inlineStr">
        <is>
          <t>Auckland</t>
        </is>
      </c>
      <c r="K252" s="2" t="n">
        <v>8051</v>
      </c>
      <c r="L252" s="2" t="inlineStr">
        <is>
          <t>New Zealand</t>
        </is>
      </c>
      <c r="M252" s="2" t="inlineStr">
        <is>
          <t>Panmure</t>
        </is>
      </c>
      <c r="N252" s="2" t="inlineStr">
        <is>
          <t>New Zealand</t>
        </is>
      </c>
      <c r="P252" s="2" t="inlineStr">
        <is>
          <t>Operational Control</t>
        </is>
      </c>
      <c r="Q252" s="2" t="inlineStr">
        <is>
          <t>Operational Control</t>
        </is>
      </c>
      <c r="R252" s="2" t="inlineStr">
        <is>
          <t>Transport &amp; Infrastructure (T&amp;I)</t>
        </is>
      </c>
      <c r="S252" s="2" t="inlineStr">
        <is>
          <t>Downer</t>
        </is>
      </c>
      <c r="T252" s="2" t="n">
        <v>100</v>
      </c>
      <c r="U252" s="2" t="inlineStr">
        <is>
          <t>1899/12/31</t>
        </is>
      </c>
      <c r="W252" s="2" t="inlineStr">
        <is>
          <t>Classification</t>
        </is>
      </c>
      <c r="X252" s="2" t="n">
        <v>-36.9152136</v>
      </c>
      <c r="Y252" s="2" t="n">
        <v>174.820280899999</v>
      </c>
      <c r="Z252" s="2" t="n">
        <v>692</v>
      </c>
      <c r="AA252" s="11" t="n">
        <v>42917</v>
      </c>
    </row>
    <row r="253">
      <c r="A253" s="2" t="inlineStr">
        <is>
          <t>Downer</t>
        </is>
      </c>
      <c r="B253" s="2" t="inlineStr">
        <is>
          <t>_CLOSED_Labs_Christchurch</t>
        </is>
      </c>
      <c r="C253" s="2" t="inlineStr">
        <is>
          <t>Other</t>
        </is>
      </c>
      <c r="D253" s="2" t="inlineStr">
        <is>
          <t>L9.DNZJ.3523</t>
        </is>
      </c>
      <c r="E253" s="2" t="n">
        <v>5075</v>
      </c>
      <c r="G253" s="2" t="inlineStr">
        <is>
          <t>Technical Support for Construction activities - New facilities established for more granular reporting and to reflect new structure for FY17. See facility named "NZ-Infrastructure Services" for historical data.</t>
        </is>
      </c>
      <c r="H253" s="2" t="inlineStr">
        <is>
          <t>397 Mcleans Island Road, Harewood</t>
        </is>
      </c>
      <c r="I253" s="2" t="inlineStr">
        <is>
          <t>Christchurch</t>
        </is>
      </c>
      <c r="J253" s="2" t="inlineStr">
        <is>
          <t>Canterbury</t>
        </is>
      </c>
      <c r="K253" s="2" t="n">
        <v>3116</v>
      </c>
      <c r="L253" s="2" t="inlineStr">
        <is>
          <t>New Zealand</t>
        </is>
      </c>
      <c r="M253" s="2" t="inlineStr">
        <is>
          <t>Christchurch</t>
        </is>
      </c>
      <c r="N253" s="2" t="inlineStr">
        <is>
          <t>New Zealand</t>
        </is>
      </c>
      <c r="P253" s="2" t="inlineStr">
        <is>
          <t>Operational Control</t>
        </is>
      </c>
      <c r="Q253" s="2" t="inlineStr">
        <is>
          <t>Operational Control</t>
        </is>
      </c>
      <c r="R253" s="2" t="inlineStr">
        <is>
          <t>Transport &amp; Infrastructure (T&amp;I)</t>
        </is>
      </c>
      <c r="S253" s="2" t="inlineStr">
        <is>
          <t>Downer</t>
        </is>
      </c>
      <c r="T253" s="2" t="n">
        <v>100</v>
      </c>
      <c r="U253" s="2" t="inlineStr">
        <is>
          <t>1899/12/31</t>
        </is>
      </c>
      <c r="W253" s="2" t="inlineStr">
        <is>
          <t>Classification</t>
        </is>
      </c>
      <c r="X253" s="2" t="n">
        <v>-43.4764273</v>
      </c>
      <c r="Y253" s="2" t="n">
        <v>172.516733599999</v>
      </c>
      <c r="Z253" s="2" t="n">
        <v>692</v>
      </c>
      <c r="AA253" s="11" t="n">
        <v>42917</v>
      </c>
    </row>
    <row r="254">
      <c r="A254" s="2" t="inlineStr">
        <is>
          <t>Downer</t>
        </is>
      </c>
      <c r="B254" s="2" t="inlineStr">
        <is>
          <t>_CLOSED_Labs_Mobile</t>
        </is>
      </c>
      <c r="C254" s="2" t="inlineStr">
        <is>
          <t>Other</t>
        </is>
      </c>
      <c r="D254" s="2" t="inlineStr">
        <is>
          <t>L9.DNZJ.3524</t>
        </is>
      </c>
      <c r="E254" s="2" t="n">
        <v>5076</v>
      </c>
      <c r="G254" s="2" t="inlineStr">
        <is>
          <t>Technical Support for Construction activities - New facilities established for more granular reporting and to reflect new structure for FY17. See facility named "NZ-Infrastructure Services" for historical data.</t>
        </is>
      </c>
      <c r="H254" s="2" t="inlineStr">
        <is>
          <t>397 Mcleans Island Road, Harewood</t>
        </is>
      </c>
      <c r="I254" s="2" t="inlineStr">
        <is>
          <t>Christchurch</t>
        </is>
      </c>
      <c r="J254" s="2" t="inlineStr">
        <is>
          <t>Canterbury</t>
        </is>
      </c>
      <c r="K254" s="2" t="n">
        <v>6035</v>
      </c>
      <c r="L254" s="2" t="inlineStr">
        <is>
          <t>New Zealand</t>
        </is>
      </c>
      <c r="M254" s="2" t="inlineStr">
        <is>
          <t>Christchurch</t>
        </is>
      </c>
      <c r="N254" s="2" t="inlineStr">
        <is>
          <t>New Zealand</t>
        </is>
      </c>
      <c r="P254" s="2" t="inlineStr">
        <is>
          <t>Operational Control</t>
        </is>
      </c>
      <c r="Q254" s="2" t="inlineStr">
        <is>
          <t>Operational Control</t>
        </is>
      </c>
      <c r="R254" s="2" t="inlineStr">
        <is>
          <t>Transport &amp; Infrastructure (T&amp;I)</t>
        </is>
      </c>
      <c r="S254" s="2" t="inlineStr">
        <is>
          <t>Downer</t>
        </is>
      </c>
      <c r="T254" s="2" t="n">
        <v>100</v>
      </c>
      <c r="U254" s="2" t="inlineStr">
        <is>
          <t>1899/12/31</t>
        </is>
      </c>
      <c r="W254" s="2" t="inlineStr">
        <is>
          <t>Classification</t>
        </is>
      </c>
      <c r="X254" s="2" t="n">
        <v>-43.4764273</v>
      </c>
      <c r="Y254" s="2" t="n">
        <v>172.516733599999</v>
      </c>
      <c r="Z254" s="2" t="n">
        <v>692</v>
      </c>
      <c r="AA254" s="11" t="n">
        <v>42917</v>
      </c>
    </row>
    <row r="255">
      <c r="A255" s="2" t="inlineStr">
        <is>
          <t>Downer</t>
        </is>
      </c>
      <c r="B255" s="2" t="inlineStr">
        <is>
          <t>_CLOSED_Labs_Mt Maunganui</t>
        </is>
      </c>
      <c r="C255" s="2" t="inlineStr">
        <is>
          <t>Other</t>
        </is>
      </c>
      <c r="D255" s="2" t="inlineStr">
        <is>
          <t>L9.DNZJ.3525</t>
        </is>
      </c>
      <c r="E255" s="2" t="n">
        <v>5077</v>
      </c>
      <c r="G255" s="2" t="inlineStr">
        <is>
          <t>Technical Support for Construction activities - New facilities established for more granular reporting and to reflect new structure for FY17. See facility named "NZ-Infrastructure Services" for historical data.</t>
        </is>
      </c>
      <c r="H255" s="2" t="inlineStr">
        <is>
          <t>9 Owens Place, Mt Maunganui</t>
        </is>
      </c>
      <c r="I255" s="2" t="inlineStr">
        <is>
          <t>Tauranga</t>
        </is>
      </c>
      <c r="J255" s="2" t="inlineStr">
        <is>
          <t>Bay of Plenty</t>
        </is>
      </c>
      <c r="K255" s="2" t="n">
        <v>2104</v>
      </c>
      <c r="L255" s="2" t="inlineStr">
        <is>
          <t>New Zealand</t>
        </is>
      </c>
      <c r="M255" s="2" t="inlineStr">
        <is>
          <t>Tauranga</t>
        </is>
      </c>
      <c r="N255" s="2" t="inlineStr">
        <is>
          <t>New Zealand</t>
        </is>
      </c>
      <c r="P255" s="2" t="inlineStr">
        <is>
          <t>Operational Control</t>
        </is>
      </c>
      <c r="Q255" s="2" t="inlineStr">
        <is>
          <t>Operational Control</t>
        </is>
      </c>
      <c r="R255" s="2" t="inlineStr">
        <is>
          <t>Transport &amp; Infrastructure (T&amp;I)</t>
        </is>
      </c>
      <c r="S255" s="2" t="inlineStr">
        <is>
          <t>Downer</t>
        </is>
      </c>
      <c r="T255" s="2" t="n">
        <v>100</v>
      </c>
      <c r="U255" s="2" t="inlineStr">
        <is>
          <t>1899/12/31</t>
        </is>
      </c>
      <c r="W255" s="2" t="inlineStr">
        <is>
          <t>Classification</t>
        </is>
      </c>
      <c r="X255" s="2" t="n">
        <v>-37.6782938</v>
      </c>
      <c r="Y255" s="2" t="n">
        <v>176.222364299999</v>
      </c>
      <c r="Z255" s="2" t="n">
        <v>692</v>
      </c>
      <c r="AA255" s="11" t="n">
        <v>42917</v>
      </c>
    </row>
    <row r="256">
      <c r="A256" s="2" t="inlineStr">
        <is>
          <t>Downer</t>
        </is>
      </c>
      <c r="B256" s="2" t="inlineStr">
        <is>
          <t>_CLOSED_Labs_Wellington</t>
        </is>
      </c>
      <c r="C256" s="2" t="inlineStr">
        <is>
          <t>Other</t>
        </is>
      </c>
      <c r="D256" s="2" t="inlineStr">
        <is>
          <t>L9.DNZJ.3522</t>
        </is>
      </c>
      <c r="E256" s="2" t="n">
        <v>5078</v>
      </c>
      <c r="G256" s="2" t="inlineStr">
        <is>
          <t>Technical Support for Construction activities - New facilities established for more granular reporting and to reflect new structure for FY17. See facility named "NZ-Infrastructure Services" for historical data.</t>
        </is>
      </c>
      <c r="H256" s="2" t="inlineStr">
        <is>
          <t>Kiwi Point, 137 Centennial Highway, Ngauranga</t>
        </is>
      </c>
      <c r="I256" s="2" t="inlineStr">
        <is>
          <t>Wellington</t>
        </is>
      </c>
      <c r="J256" s="2" t="inlineStr">
        <is>
          <t>Wellington</t>
        </is>
      </c>
      <c r="K256" s="2" t="n">
        <v>7201</v>
      </c>
      <c r="L256" s="2" t="inlineStr">
        <is>
          <t>New Zealand</t>
        </is>
      </c>
      <c r="M256" s="2" t="inlineStr">
        <is>
          <t>Wellington</t>
        </is>
      </c>
      <c r="N256" s="2" t="inlineStr">
        <is>
          <t>New Zealand</t>
        </is>
      </c>
      <c r="P256" s="2" t="inlineStr">
        <is>
          <t>Operational Control</t>
        </is>
      </c>
      <c r="Q256" s="2" t="inlineStr">
        <is>
          <t>Operational Control</t>
        </is>
      </c>
      <c r="R256" s="2" t="inlineStr">
        <is>
          <t>Transport &amp; Infrastructure (T&amp;I)</t>
        </is>
      </c>
      <c r="S256" s="2" t="inlineStr">
        <is>
          <t>Downer</t>
        </is>
      </c>
      <c r="T256" s="2" t="n">
        <v>100</v>
      </c>
      <c r="U256" s="2" t="inlineStr">
        <is>
          <t>1899/12/31</t>
        </is>
      </c>
      <c r="W256" s="2" t="inlineStr">
        <is>
          <t>Classification</t>
        </is>
      </c>
      <c r="X256" s="2" t="n">
        <v>-41.237631</v>
      </c>
      <c r="Y256" s="2" t="n">
        <v>174.805085999999</v>
      </c>
      <c r="Z256" s="2" t="n">
        <v>692</v>
      </c>
      <c r="AA256" s="11" t="n">
        <v>42917</v>
      </c>
    </row>
    <row r="257">
      <c r="A257" s="2" t="inlineStr">
        <is>
          <t>Downer</t>
        </is>
      </c>
      <c r="B257" s="2" t="inlineStr">
        <is>
          <t>_CLOSED_Lane Cove (DMJV)</t>
        </is>
      </c>
      <c r="C257" s="2" t="inlineStr">
        <is>
          <t>Depot</t>
        </is>
      </c>
      <c r="D257" s="2" t="inlineStr">
        <is>
          <t>L9.J.17020806</t>
        </is>
      </c>
      <c r="E257" s="2" t="n">
        <v>8012</v>
      </c>
      <c r="H257" s="2" t="inlineStr">
        <is>
          <t>166 Epping Road NSW</t>
        </is>
      </c>
      <c r="I257" s="2" t="inlineStr">
        <is>
          <t>Lane Cove West</t>
        </is>
      </c>
      <c r="J257" s="2" t="inlineStr">
        <is>
          <t>NSW</t>
        </is>
      </c>
      <c r="K257" s="2" t="n">
        <v>2066</v>
      </c>
      <c r="L257" s="2" t="inlineStr">
        <is>
          <t>Australia</t>
        </is>
      </c>
      <c r="M257" s="2" t="inlineStr">
        <is>
          <t>New South Wales</t>
        </is>
      </c>
      <c r="N257" s="2" t="inlineStr">
        <is>
          <t>Australia</t>
        </is>
      </c>
      <c r="P257" s="2" t="inlineStr">
        <is>
          <t>Operational Control</t>
        </is>
      </c>
      <c r="Q257" s="2" t="inlineStr">
        <is>
          <t>Operational Control</t>
        </is>
      </c>
      <c r="R257" s="2" t="inlineStr">
        <is>
          <t>Transport &amp; Infrastructure (T&amp;I)</t>
        </is>
      </c>
      <c r="S257" s="2" t="inlineStr">
        <is>
          <t>Downer</t>
        </is>
      </c>
      <c r="T257" s="2" t="n">
        <v>100</v>
      </c>
      <c r="W257" s="2" t="inlineStr">
        <is>
          <t>Classification</t>
        </is>
      </c>
      <c r="X257" s="2" t="n">
        <v>-33.803952</v>
      </c>
      <c r="Y257" s="2" t="n">
        <v>151.145512</v>
      </c>
      <c r="Z257" s="2" t="n">
        <v>310</v>
      </c>
    </row>
    <row r="258">
      <c r="A258" s="2" t="inlineStr">
        <is>
          <t>Downer</t>
        </is>
      </c>
      <c r="B258" s="2" t="inlineStr">
        <is>
          <t>_CLOSED_Lollipops Edu Centre AKL 45004945</t>
        </is>
      </c>
      <c r="C258" s="2" t="inlineStr">
        <is>
          <t>Other</t>
        </is>
      </c>
      <c r="D258" s="2" t="inlineStr">
        <is>
          <t>L9.S.26020223</t>
        </is>
      </c>
      <c r="E258" s="2" t="n">
        <v>2000005185</v>
      </c>
      <c r="M258" s="2" t="inlineStr">
        <is>
          <t>Manurewa</t>
        </is>
      </c>
      <c r="N258" s="2" t="inlineStr">
        <is>
          <t>New Zealand</t>
        </is>
      </c>
      <c r="P258" s="2" t="inlineStr">
        <is>
          <t>Operational Control</t>
        </is>
      </c>
      <c r="Q258" s="2" t="inlineStr">
        <is>
          <t>Operational Control</t>
        </is>
      </c>
      <c r="R258" s="2" t="inlineStr">
        <is>
          <t>Social Infra &amp; Citizen Serv (SICS)</t>
        </is>
      </c>
      <c r="S258" s="2" t="inlineStr">
        <is>
          <t>Downer</t>
        </is>
      </c>
      <c r="T258" s="2" t="n">
        <v>100</v>
      </c>
      <c r="W258" s="2" t="inlineStr">
        <is>
          <t>Classification</t>
        </is>
      </c>
      <c r="AB258" s="11" t="n">
        <v>45240</v>
      </c>
    </row>
    <row r="259">
      <c r="A259" s="2" t="inlineStr">
        <is>
          <t>Downer</t>
        </is>
      </c>
      <c r="B259" s="2" t="inlineStr">
        <is>
          <t>_CLOSED_Lollipops Educare ChCh 45004949</t>
        </is>
      </c>
      <c r="C259" s="2" t="inlineStr">
        <is>
          <t>Other</t>
        </is>
      </c>
      <c r="D259" s="2" t="inlineStr">
        <is>
          <t>L9.S.26020292</t>
        </is>
      </c>
      <c r="E259" s="2" t="n">
        <v>2000005195</v>
      </c>
      <c r="M259" s="2" t="inlineStr">
        <is>
          <t>Manurewa</t>
        </is>
      </c>
      <c r="N259" s="2" t="inlineStr">
        <is>
          <t>New Zealand</t>
        </is>
      </c>
      <c r="P259" s="2" t="inlineStr">
        <is>
          <t>Operational Control</t>
        </is>
      </c>
      <c r="Q259" s="2" t="inlineStr">
        <is>
          <t>Operational Control</t>
        </is>
      </c>
      <c r="R259" s="2" t="inlineStr">
        <is>
          <t>Social Infra &amp; Citizen Serv (SICS)</t>
        </is>
      </c>
      <c r="S259" s="2" t="inlineStr">
        <is>
          <t>Downer</t>
        </is>
      </c>
      <c r="T259" s="2" t="n">
        <v>100</v>
      </c>
      <c r="W259" s="2" t="inlineStr">
        <is>
          <t>Classification</t>
        </is>
      </c>
      <c r="AB259" s="11" t="n">
        <v>45240</v>
      </c>
    </row>
    <row r="260">
      <c r="A260" s="2" t="inlineStr">
        <is>
          <t>Downer</t>
        </is>
      </c>
      <c r="B260" s="2" t="inlineStr">
        <is>
          <t>_CLOSED_Lollipops Educare Wellington 45004951</t>
        </is>
      </c>
      <c r="C260" s="2" t="inlineStr">
        <is>
          <t>Other</t>
        </is>
      </c>
      <c r="D260" s="2" t="inlineStr">
        <is>
          <t>L9.S.26020411</t>
        </is>
      </c>
      <c r="E260" s="2" t="n">
        <v>2000005200</v>
      </c>
      <c r="F260" s="2" t="n">
        <v>2000005200</v>
      </c>
      <c r="M260" s="2" t="inlineStr">
        <is>
          <t>Wellington</t>
        </is>
      </c>
      <c r="N260" s="2" t="inlineStr">
        <is>
          <t>New Zealand</t>
        </is>
      </c>
      <c r="P260" s="2" t="inlineStr">
        <is>
          <t>Operational Control</t>
        </is>
      </c>
      <c r="Q260" s="2" t="inlineStr">
        <is>
          <t>Operational Control</t>
        </is>
      </c>
      <c r="R260" s="2" t="inlineStr">
        <is>
          <t>Social Infra &amp; Citizen Serv (SICS)</t>
        </is>
      </c>
      <c r="S260" s="2" t="inlineStr">
        <is>
          <t>Downer</t>
        </is>
      </c>
      <c r="T260" s="2" t="n">
        <v>100</v>
      </c>
      <c r="W260" s="2" t="inlineStr">
        <is>
          <t>Classification</t>
        </is>
      </c>
      <c r="AB260" s="11" t="n">
        <v>45240</v>
      </c>
    </row>
    <row r="261">
      <c r="A261" s="2" t="inlineStr">
        <is>
          <t>Downer</t>
        </is>
      </c>
      <c r="B261" s="2" t="inlineStr">
        <is>
          <t>_CLOSED_Loxton</t>
        </is>
      </c>
      <c r="C261" s="2" t="inlineStr">
        <is>
          <t>Depot</t>
        </is>
      </c>
      <c r="D261" s="2" t="inlineStr">
        <is>
          <t>L9.J.17020606</t>
        </is>
      </c>
      <c r="E261" s="2" t="n">
        <v>167</v>
      </c>
      <c r="G261" s="2" t="inlineStr">
        <is>
          <t>Vacated in 2020.</t>
        </is>
      </c>
      <c r="H261" s="2" t="inlineStr">
        <is>
          <t>Lot 306 Trennery Avenue</t>
        </is>
      </c>
      <c r="I261" s="2" t="inlineStr">
        <is>
          <t>Loxton</t>
        </is>
      </c>
      <c r="J261" s="2" t="inlineStr">
        <is>
          <t>SA</t>
        </is>
      </c>
      <c r="K261" s="2" t="n">
        <v>5333</v>
      </c>
      <c r="L261" s="2" t="inlineStr">
        <is>
          <t>Australia</t>
        </is>
      </c>
      <c r="M261" s="2" t="inlineStr">
        <is>
          <t>South Australia</t>
        </is>
      </c>
      <c r="N261" s="2" t="inlineStr">
        <is>
          <t>Australia</t>
        </is>
      </c>
      <c r="P261" s="2" t="inlineStr">
        <is>
          <t>Operational Control</t>
        </is>
      </c>
      <c r="Q261" s="2" t="inlineStr">
        <is>
          <t>Operational Control</t>
        </is>
      </c>
      <c r="R261" s="2" t="inlineStr">
        <is>
          <t>Transport &amp; Infrastructure (T&amp;I)</t>
        </is>
      </c>
      <c r="S261" s="2" t="inlineStr">
        <is>
          <t>Downer</t>
        </is>
      </c>
      <c r="T261" s="2" t="n">
        <v>100</v>
      </c>
      <c r="W261" s="2" t="inlineStr">
        <is>
          <t>Classification</t>
        </is>
      </c>
      <c r="X261" s="2" t="n">
        <v>-34.45</v>
      </c>
      <c r="Y261" s="2" t="n">
        <v>140.585</v>
      </c>
      <c r="Z261" s="2" t="n">
        <v>310</v>
      </c>
      <c r="AB261" s="11" t="n">
        <v>44377</v>
      </c>
    </row>
    <row r="262">
      <c r="A262" s="2" t="inlineStr">
        <is>
          <t>Downer</t>
        </is>
      </c>
      <c r="B262" s="2" t="inlineStr">
        <is>
          <t>_CLOSED_LSE - Melbourne Town Hall</t>
        </is>
      </c>
      <c r="C262" s="2" t="inlineStr">
        <is>
          <t>Facility</t>
        </is>
      </c>
      <c r="D262" s="2" t="inlineStr">
        <is>
          <t>L9.S.13000853</t>
        </is>
      </c>
      <c r="E262" s="2" t="n">
        <v>9066</v>
      </c>
      <c r="G262" s="2" t="inlineStr">
        <is>
          <t>Contract ended June 30, 2022.</t>
        </is>
      </c>
      <c r="H262" s="2" t="inlineStr">
        <is>
          <t>90-130 Swanston Street</t>
        </is>
      </c>
      <c r="I262" s="2" t="inlineStr">
        <is>
          <t>Melbourne</t>
        </is>
      </c>
      <c r="J262" s="2" t="inlineStr">
        <is>
          <t>VIC</t>
        </is>
      </c>
      <c r="K262" s="2" t="n">
        <v>3000</v>
      </c>
      <c r="L262" s="2" t="inlineStr">
        <is>
          <t>Australia</t>
        </is>
      </c>
      <c r="M262" s="2" t="inlineStr">
        <is>
          <t>Victoria</t>
        </is>
      </c>
      <c r="N262" s="2" t="inlineStr">
        <is>
          <t>Australia</t>
        </is>
      </c>
      <c r="P262" s="2" t="inlineStr">
        <is>
          <t>Operational Control</t>
        </is>
      </c>
      <c r="Q262" s="2" t="inlineStr">
        <is>
          <t>Operational Control</t>
        </is>
      </c>
      <c r="R262" s="2" t="inlineStr">
        <is>
          <t>Social Infra &amp; Citizen Serv (SICS)</t>
        </is>
      </c>
      <c r="S262" s="2" t="inlineStr">
        <is>
          <t>Downer</t>
        </is>
      </c>
      <c r="T262" s="2" t="n">
        <v>100</v>
      </c>
      <c r="W262" s="2" t="inlineStr">
        <is>
          <t>Classification</t>
        </is>
      </c>
      <c r="X262" s="2" t="n">
        <v>-37.814983</v>
      </c>
      <c r="Y262" s="2" t="n">
        <v>144.966839</v>
      </c>
      <c r="Z262" s="2" t="n">
        <v>451</v>
      </c>
      <c r="AB262" s="11" t="n">
        <v>44742</v>
      </c>
    </row>
    <row r="263">
      <c r="A263" s="2" t="inlineStr">
        <is>
          <t>Downer</t>
        </is>
      </c>
      <c r="B263" s="2" t="inlineStr">
        <is>
          <t>_CLOSED_LSE - The Ellington Venue</t>
        </is>
      </c>
      <c r="C263" s="2" t="inlineStr">
        <is>
          <t>Facility</t>
        </is>
      </c>
      <c r="D263" s="2" t="inlineStr">
        <is>
          <t>L9.S.13000853</t>
        </is>
      </c>
      <c r="E263" s="2" t="n">
        <v>9069</v>
      </c>
      <c r="H263" s="2" t="inlineStr">
        <is>
          <t>23 Hackney Rd</t>
        </is>
      </c>
      <c r="I263" s="2" t="inlineStr">
        <is>
          <t>Hackney</t>
        </is>
      </c>
      <c r="J263" s="2" t="inlineStr">
        <is>
          <t>SA</t>
        </is>
      </c>
      <c r="K263" s="2" t="n">
        <v>5069</v>
      </c>
      <c r="L263" s="2" t="inlineStr">
        <is>
          <t>Australia</t>
        </is>
      </c>
      <c r="M263" s="2" t="inlineStr">
        <is>
          <t>South Australia</t>
        </is>
      </c>
      <c r="N263" s="2" t="inlineStr">
        <is>
          <t>Australia</t>
        </is>
      </c>
      <c r="P263" s="2" t="inlineStr">
        <is>
          <t>Operational Control</t>
        </is>
      </c>
      <c r="Q263" s="2" t="inlineStr">
        <is>
          <t>Operational Control</t>
        </is>
      </c>
      <c r="R263" s="2" t="inlineStr">
        <is>
          <t>Social Infra &amp; Citizen Serv (SICS)</t>
        </is>
      </c>
      <c r="S263" s="2" t="inlineStr">
        <is>
          <t>Downer</t>
        </is>
      </c>
      <c r="T263" s="2" t="n">
        <v>100</v>
      </c>
      <c r="W263" s="2" t="inlineStr">
        <is>
          <t>Classification</t>
        </is>
      </c>
      <c r="X263" s="2" t="n">
        <v>-34.91772</v>
      </c>
      <c r="Y263" s="2" t="n">
        <v>138.615059</v>
      </c>
      <c r="Z263" s="2" t="n">
        <v>451</v>
      </c>
    </row>
    <row r="264">
      <c r="A264" s="2" t="inlineStr">
        <is>
          <t>Downer</t>
        </is>
      </c>
      <c r="B264" s="2" t="inlineStr">
        <is>
          <t>_CLOSED_Maddington - DM Roads</t>
        </is>
      </c>
      <c r="C264" s="2" t="inlineStr">
        <is>
          <t>Office</t>
        </is>
      </c>
      <c r="D264" s="2" t="inlineStr">
        <is>
          <t>L9.J.170273</t>
        </is>
      </c>
      <c r="E264" s="2" t="inlineStr">
        <is>
          <t>L9.J.170273</t>
        </is>
      </c>
      <c r="G264" s="2" t="inlineStr">
        <is>
          <t>Head office.</t>
        </is>
      </c>
      <c r="M264" s="2" t="inlineStr">
        <is>
          <t>Western Australia</t>
        </is>
      </c>
      <c r="N264" s="2" t="inlineStr">
        <is>
          <t>Australia</t>
        </is>
      </c>
      <c r="P264" s="2" t="inlineStr">
        <is>
          <t>Operational Control</t>
        </is>
      </c>
      <c r="Q264" s="2" t="inlineStr">
        <is>
          <t>Operational Control</t>
        </is>
      </c>
      <c r="R264" s="2" t="inlineStr">
        <is>
          <t>Transport &amp; Infrastructure (T&amp;I)</t>
        </is>
      </c>
      <c r="S264" s="2" t="inlineStr">
        <is>
          <t>Downer</t>
        </is>
      </c>
      <c r="T264" s="2" t="n">
        <v>100</v>
      </c>
      <c r="W264" s="2" t="inlineStr">
        <is>
          <t>Classification</t>
        </is>
      </c>
      <c r="AB264" s="11" t="n">
        <v>45230</v>
      </c>
    </row>
    <row r="265">
      <c r="A265" s="2" t="inlineStr">
        <is>
          <t>Downer</t>
        </is>
      </c>
      <c r="B265" s="2" t="inlineStr">
        <is>
          <t>_CLOSED_Malaga</t>
        </is>
      </c>
      <c r="C265" s="2" t="inlineStr">
        <is>
          <t>Other</t>
        </is>
      </c>
      <c r="D265" s="2" t="inlineStr">
        <is>
          <t>L9.J.709601</t>
        </is>
      </c>
      <c r="E265" s="2" t="inlineStr">
        <is>
          <t>L9.J.709601</t>
        </is>
      </c>
      <c r="F265" s="2" t="n">
        <v>378</v>
      </c>
      <c r="G265" s="2" t="inlineStr">
        <is>
          <t>currently ordering through canning vale cost centre</t>
        </is>
      </c>
      <c r="H265" s="2" t="inlineStr">
        <is>
          <t>10 Irvine Drive</t>
        </is>
      </c>
      <c r="I265" s="2" t="inlineStr">
        <is>
          <t>Malaga</t>
        </is>
      </c>
      <c r="J265" s="2" t="inlineStr">
        <is>
          <t>Western Australia</t>
        </is>
      </c>
      <c r="K265" s="2" t="n">
        <v>6090</v>
      </c>
      <c r="L265" s="2" t="inlineStr">
        <is>
          <t>Australia</t>
        </is>
      </c>
      <c r="M265" s="2" t="inlineStr">
        <is>
          <t>Western Australia</t>
        </is>
      </c>
      <c r="N265" s="2" t="inlineStr">
        <is>
          <t>Australia</t>
        </is>
      </c>
      <c r="P265" s="2" t="inlineStr">
        <is>
          <t>Operational Control</t>
        </is>
      </c>
      <c r="Q265" s="2" t="inlineStr">
        <is>
          <t>Operational Control</t>
        </is>
      </c>
      <c r="R265" s="2" t="inlineStr">
        <is>
          <t>Rail &amp; Transit Systems (RTS)</t>
        </is>
      </c>
      <c r="S265" s="2" t="inlineStr">
        <is>
          <t>Downer</t>
        </is>
      </c>
      <c r="T265" s="2" t="n">
        <v>100</v>
      </c>
      <c r="W265" s="2" t="inlineStr">
        <is>
          <t>Classification</t>
        </is>
      </c>
      <c r="X265" s="2" t="n">
        <v>-31.8604</v>
      </c>
      <c r="Y265" s="2" t="n">
        <v>115.887</v>
      </c>
      <c r="Z265" s="2" t="n">
        <v>239</v>
      </c>
      <c r="AB265" s="11" t="n">
        <v>43281</v>
      </c>
    </row>
    <row r="266">
      <c r="A266" s="2" t="inlineStr">
        <is>
          <t>Downer</t>
        </is>
      </c>
      <c r="B266" s="2" t="inlineStr">
        <is>
          <t>_CLOSED_Malaga (DMJV)</t>
        </is>
      </c>
      <c r="C266" s="2" t="inlineStr">
        <is>
          <t>Depot</t>
        </is>
      </c>
      <c r="D266" s="2" t="inlineStr">
        <is>
          <t>L9.WAU.000395</t>
        </is>
      </c>
      <c r="E266" s="2" t="n">
        <v>223</v>
      </c>
      <c r="G266" s="2" t="inlineStr">
        <is>
          <t>Perth Metro ISA North Depot
Office has moved to Neerabup.</t>
        </is>
      </c>
      <c r="H266" s="2" t="inlineStr">
        <is>
          <t>54 Weschester Road</t>
        </is>
      </c>
      <c r="I266" s="2" t="inlineStr">
        <is>
          <t>Malaga</t>
        </is>
      </c>
      <c r="J266" s="2" t="inlineStr">
        <is>
          <t>WA</t>
        </is>
      </c>
      <c r="K266" s="2" t="n">
        <v>6090</v>
      </c>
      <c r="L266" s="2" t="inlineStr">
        <is>
          <t>Australia</t>
        </is>
      </c>
      <c r="M266" s="2" t="inlineStr">
        <is>
          <t>Western Australia</t>
        </is>
      </c>
      <c r="N266" s="2" t="inlineStr">
        <is>
          <t>Australia</t>
        </is>
      </c>
      <c r="P266" s="2" t="inlineStr">
        <is>
          <t>Operational Control</t>
        </is>
      </c>
      <c r="Q266" s="2" t="inlineStr">
        <is>
          <t>Operational Control</t>
        </is>
      </c>
      <c r="R266" s="2" t="inlineStr">
        <is>
          <t>Transport &amp; Infrastructure (T&amp;I)</t>
        </is>
      </c>
      <c r="S266" s="2" t="inlineStr">
        <is>
          <t>Downer</t>
        </is>
      </c>
      <c r="T266" s="2" t="n">
        <v>100</v>
      </c>
      <c r="W266" s="2" t="inlineStr">
        <is>
          <t>Classification</t>
        </is>
      </c>
      <c r="X266" s="2" t="n">
        <v>-31.855</v>
      </c>
      <c r="Y266" s="2" t="n">
        <v>115.881</v>
      </c>
      <c r="Z266" s="2" t="n">
        <v>310</v>
      </c>
      <c r="AB266" s="11" t="n">
        <v>44012</v>
      </c>
    </row>
    <row r="267">
      <c r="A267" s="2" t="inlineStr">
        <is>
          <t>Downer</t>
        </is>
      </c>
      <c r="B267" s="2" t="inlineStr">
        <is>
          <t>_CLOSED_Maylands Station</t>
        </is>
      </c>
      <c r="C267" s="2" t="inlineStr">
        <is>
          <t>Public Facility</t>
        </is>
      </c>
      <c r="D267" s="2" t="inlineStr">
        <is>
          <t>L9.J.20020041</t>
        </is>
      </c>
      <c r="G267" s="2" t="inlineStr">
        <is>
          <t>Facility part of spotless maintenance contract in WA - moved waste accounts to waste_wa overarching account and closing facility.</t>
        </is>
      </c>
      <c r="M267" s="2" t="inlineStr">
        <is>
          <t>Maylands</t>
        </is>
      </c>
      <c r="N267" s="2" t="inlineStr">
        <is>
          <t>Australia</t>
        </is>
      </c>
      <c r="P267" s="2" t="inlineStr">
        <is>
          <t>Operational Control</t>
        </is>
      </c>
      <c r="Q267" s="2" t="inlineStr">
        <is>
          <t>Operational Control</t>
        </is>
      </c>
      <c r="R267" s="2" t="inlineStr">
        <is>
          <t>Energy and Utilities (EU)</t>
        </is>
      </c>
      <c r="S267" s="2" t="inlineStr">
        <is>
          <t>Downer</t>
        </is>
      </c>
      <c r="T267" s="2" t="n">
        <v>100</v>
      </c>
      <c r="W267" s="2" t="inlineStr">
        <is>
          <t>Classification</t>
        </is>
      </c>
      <c r="AB267" s="11" t="n">
        <v>44742</v>
      </c>
    </row>
    <row r="268">
      <c r="A268" s="2" t="inlineStr">
        <is>
          <t>Downer</t>
        </is>
      </c>
      <c r="B268" s="2" t="inlineStr">
        <is>
          <t>_CLOSED_Meandu TXL</t>
        </is>
      </c>
      <c r="C268" s="2" t="inlineStr">
        <is>
          <t>Site</t>
        </is>
      </c>
      <c r="D268" s="2" t="inlineStr">
        <is>
          <t>L9.J.37740114</t>
        </is>
      </c>
      <c r="E268" s="2" t="inlineStr">
        <is>
          <t>UTIL-360.369.261.278 - Powerlink</t>
        </is>
      </c>
      <c r="G268" s="2" t="inlineStr">
        <is>
          <t>Ridge Road Tarong QLD 4615</t>
        </is>
      </c>
      <c r="M268" s="2" t="inlineStr">
        <is>
          <t>Queensland</t>
        </is>
      </c>
      <c r="N268" s="2" t="inlineStr">
        <is>
          <t>Australia</t>
        </is>
      </c>
      <c r="P268" s="2" t="inlineStr">
        <is>
          <t>Operational Control</t>
        </is>
      </c>
      <c r="Q268" s="2" t="inlineStr">
        <is>
          <t>Operational Control</t>
        </is>
      </c>
      <c r="R268" s="2" t="inlineStr">
        <is>
          <t>Energy and Utilities (EU)</t>
        </is>
      </c>
      <c r="S268" s="2" t="inlineStr">
        <is>
          <t>Downer</t>
        </is>
      </c>
      <c r="T268" s="2" t="n">
        <v>100</v>
      </c>
      <c r="W268" s="2" t="inlineStr">
        <is>
          <t>Classification</t>
        </is>
      </c>
      <c r="AA268" s="11" t="n">
        <v>44956</v>
      </c>
      <c r="AB268" s="11" t="n">
        <v>45427</v>
      </c>
    </row>
    <row r="269">
      <c r="A269" s="2" t="inlineStr">
        <is>
          <t>Downer</t>
        </is>
      </c>
      <c r="B269" s="2" t="inlineStr">
        <is>
          <t>_CLOSED_Melbourne - 468 St Kilda Rd</t>
        </is>
      </c>
      <c r="C269" s="2" t="inlineStr">
        <is>
          <t>Other</t>
        </is>
      </c>
      <c r="D269" s="2" t="inlineStr">
        <is>
          <t>L9.COR.130.02109</t>
        </is>
      </c>
      <c r="E269" s="2" t="n">
        <v>1002</v>
      </c>
      <c r="F269" s="2" t="n">
        <v>140</v>
      </c>
      <c r="G269" s="2" t="inlineStr">
        <is>
          <t>Office vacated in August 2015</t>
        </is>
      </c>
      <c r="H269" s="2" t="inlineStr">
        <is>
          <t>Level 11, 468 St Kilda Road</t>
        </is>
      </c>
      <c r="I269" s="2" t="inlineStr">
        <is>
          <t>Melbourne</t>
        </is>
      </c>
      <c r="J269" s="2" t="inlineStr">
        <is>
          <t>Victoria</t>
        </is>
      </c>
      <c r="K269" s="2" t="n">
        <v>3004</v>
      </c>
      <c r="L269" s="2" t="inlineStr">
        <is>
          <t>Australia</t>
        </is>
      </c>
      <c r="M269" s="2" t="inlineStr">
        <is>
          <t>Victoria</t>
        </is>
      </c>
      <c r="N269" s="2" t="inlineStr">
        <is>
          <t>Australia</t>
        </is>
      </c>
      <c r="P269" s="2" t="inlineStr">
        <is>
          <t>Operational Control</t>
        </is>
      </c>
      <c r="Q269" s="2" t="inlineStr">
        <is>
          <t>Operational Control</t>
        </is>
      </c>
      <c r="R269" s="2" t="inlineStr">
        <is>
          <t>Corporate</t>
        </is>
      </c>
      <c r="S269" s="2" t="inlineStr">
        <is>
          <t>Downer</t>
        </is>
      </c>
      <c r="T269" s="2" t="n">
        <v>100</v>
      </c>
      <c r="W269" s="2" t="inlineStr">
        <is>
          <t>Classification</t>
        </is>
      </c>
      <c r="X269" s="2" t="n">
        <v>-37.841</v>
      </c>
      <c r="Y269" s="2" t="n">
        <v>144.976</v>
      </c>
      <c r="Z269" s="2" t="n">
        <v>729</v>
      </c>
    </row>
    <row r="270">
      <c r="A270" s="2" t="inlineStr">
        <is>
          <t>Downer</t>
        </is>
      </c>
      <c r="B270" s="2" t="inlineStr">
        <is>
          <t>_CLOSED_Mornington</t>
        </is>
      </c>
      <c r="C270" s="2" t="inlineStr">
        <is>
          <t>Operations Center</t>
        </is>
      </c>
      <c r="D270" s="2" t="inlineStr">
        <is>
          <t>L9.J.17020077</t>
        </is>
      </c>
      <c r="E270" s="2" t="n">
        <v>181</v>
      </c>
      <c r="H270" s="2" t="inlineStr">
        <is>
          <t>337 Racecourse Road</t>
        </is>
      </c>
      <c r="I270" s="2" t="inlineStr">
        <is>
          <t>Mornington</t>
        </is>
      </c>
      <c r="J270" s="2" t="inlineStr">
        <is>
          <t>VIC</t>
        </is>
      </c>
      <c r="K270" s="2" t="n">
        <v>3931</v>
      </c>
      <c r="L270" s="2" t="inlineStr">
        <is>
          <t>Australia</t>
        </is>
      </c>
      <c r="M270" s="2" t="inlineStr">
        <is>
          <t>Victoria</t>
        </is>
      </c>
      <c r="N270" s="2" t="inlineStr">
        <is>
          <t>Australia</t>
        </is>
      </c>
      <c r="P270" s="2" t="inlineStr">
        <is>
          <t>Operational Control</t>
        </is>
      </c>
      <c r="Q270" s="2" t="inlineStr">
        <is>
          <t>Operational Control</t>
        </is>
      </c>
      <c r="R270" s="2" t="inlineStr">
        <is>
          <t>Transport &amp; Infrastructure (T&amp;I)</t>
        </is>
      </c>
      <c r="S270" s="2" t="inlineStr">
        <is>
          <t>Downer</t>
        </is>
      </c>
      <c r="T270" s="2" t="n">
        <v>100</v>
      </c>
      <c r="W270" s="2" t="inlineStr">
        <is>
          <t>Classification</t>
        </is>
      </c>
      <c r="X270" s="2" t="n">
        <v>-38.235</v>
      </c>
      <c r="Y270" s="2" t="n">
        <v>145.066</v>
      </c>
      <c r="Z270" s="2" t="n">
        <v>310</v>
      </c>
      <c r="AB270" s="11" t="n">
        <v>45473</v>
      </c>
    </row>
    <row r="271">
      <c r="A271" s="2" t="inlineStr">
        <is>
          <t>Downer</t>
        </is>
      </c>
      <c r="B271" s="2" t="inlineStr">
        <is>
          <t>_CLOSED_Mt Evelyn</t>
        </is>
      </c>
      <c r="C271" s="2" t="inlineStr">
        <is>
          <t>Operations Center</t>
        </is>
      </c>
      <c r="D271" s="2" t="inlineStr">
        <is>
          <t>L9.J.170258</t>
        </is>
      </c>
      <c r="E271" s="2" t="n">
        <v>183</v>
      </c>
      <c r="H271" s="2" t="inlineStr">
        <is>
          <t>115 Hereford Road</t>
        </is>
      </c>
      <c r="I271" s="2" t="inlineStr">
        <is>
          <t>Mt Evelyn</t>
        </is>
      </c>
      <c r="J271" s="2" t="inlineStr">
        <is>
          <t>VIC</t>
        </is>
      </c>
      <c r="K271" s="2" t="n">
        <v>3796</v>
      </c>
      <c r="L271" s="2" t="inlineStr">
        <is>
          <t>Australia</t>
        </is>
      </c>
      <c r="M271" s="2" t="inlineStr">
        <is>
          <t>Victoria</t>
        </is>
      </c>
      <c r="N271" s="2" t="inlineStr">
        <is>
          <t>Australia</t>
        </is>
      </c>
      <c r="P271" s="2" t="inlineStr">
        <is>
          <t>Operational Control</t>
        </is>
      </c>
      <c r="Q271" s="2" t="inlineStr">
        <is>
          <t>Operational Control</t>
        </is>
      </c>
      <c r="R271" s="2" t="inlineStr">
        <is>
          <t>Transport &amp; Infrastructure (T&amp;I)</t>
        </is>
      </c>
      <c r="S271" s="2" t="inlineStr">
        <is>
          <t>Downer</t>
        </is>
      </c>
      <c r="T271" s="2" t="n">
        <v>100</v>
      </c>
      <c r="W271" s="2" t="inlineStr">
        <is>
          <t>Classification</t>
        </is>
      </c>
      <c r="X271" s="2" t="n">
        <v>-37.77</v>
      </c>
      <c r="Y271" s="2" t="n">
        <v>145.378</v>
      </c>
      <c r="Z271" s="2" t="n">
        <v>310</v>
      </c>
      <c r="AB271" s="11" t="n">
        <v>45077</v>
      </c>
    </row>
    <row r="272">
      <c r="A272" s="2" t="inlineStr">
        <is>
          <t>Downer</t>
        </is>
      </c>
      <c r="B272" s="2" t="inlineStr">
        <is>
          <t>_CLOSED_Mt Thorley - Engineering</t>
        </is>
      </c>
      <c r="C272" s="2" t="inlineStr">
        <is>
          <t>Other</t>
        </is>
      </c>
      <c r="D272" s="2" t="inlineStr">
        <is>
          <t>L9.ENG.360.01420</t>
        </is>
      </c>
      <c r="E272" s="2" t="n">
        <v>2019</v>
      </c>
      <c r="F272" s="2" t="n">
        <v>188</v>
      </c>
      <c r="H272" s="2" t="inlineStr">
        <is>
          <t>6 Woodland Road</t>
        </is>
      </c>
      <c r="I272" s="2" t="inlineStr">
        <is>
          <t>Mt Thorley</t>
        </is>
      </c>
      <c r="J272" s="2" t="inlineStr">
        <is>
          <t>NSW</t>
        </is>
      </c>
      <c r="K272" s="2" t="n">
        <v>2330</v>
      </c>
      <c r="L272" s="2" t="inlineStr">
        <is>
          <t>Australia</t>
        </is>
      </c>
      <c r="M272" s="2" t="inlineStr">
        <is>
          <t>New South Wales</t>
        </is>
      </c>
      <c r="N272" s="2" t="inlineStr">
        <is>
          <t>Australia</t>
        </is>
      </c>
      <c r="P272" s="2" t="inlineStr">
        <is>
          <t>Operational Control</t>
        </is>
      </c>
      <c r="Q272" s="2" t="inlineStr">
        <is>
          <t>Operational Control</t>
        </is>
      </c>
      <c r="R272" s="2" t="inlineStr">
        <is>
          <t>Energy and Utilities (EU)</t>
        </is>
      </c>
      <c r="S272" s="2" t="inlineStr">
        <is>
          <t>Downer</t>
        </is>
      </c>
      <c r="T272" s="2" t="n">
        <v>100</v>
      </c>
      <c r="W272" s="2" t="inlineStr">
        <is>
          <t>Classification</t>
        </is>
      </c>
      <c r="X272" s="2" t="n">
        <v>-32.6254004</v>
      </c>
      <c r="Y272" s="2" t="n">
        <v>151.1064578</v>
      </c>
      <c r="Z272" s="2" t="n">
        <v>310</v>
      </c>
    </row>
    <row r="273">
      <c r="A273" s="2" t="inlineStr">
        <is>
          <t>Downer</t>
        </is>
      </c>
      <c r="B273" s="2" t="inlineStr">
        <is>
          <t>_CLOSED_Newcastle Light Rail</t>
        </is>
      </c>
      <c r="C273" s="2" t="inlineStr">
        <is>
          <t>Public Facility</t>
        </is>
      </c>
      <c r="D273" s="2" t="inlineStr">
        <is>
          <t>L9.J.70960002</t>
        </is>
      </c>
      <c r="E273" s="2" t="inlineStr">
        <is>
          <t>L9.J.70960002</t>
        </is>
      </c>
      <c r="H273" s="2" t="inlineStr">
        <is>
          <t>Argyle Street</t>
        </is>
      </c>
      <c r="I273" s="2" t="inlineStr">
        <is>
          <t>Newcastle</t>
        </is>
      </c>
      <c r="J273" s="2" t="inlineStr">
        <is>
          <t>NSW</t>
        </is>
      </c>
      <c r="K273" s="2" t="n">
        <v>2300</v>
      </c>
      <c r="L273" s="2" t="inlineStr">
        <is>
          <t>Australia</t>
        </is>
      </c>
      <c r="M273" s="2" t="inlineStr">
        <is>
          <t>New South Wales</t>
        </is>
      </c>
      <c r="N273" s="2" t="inlineStr">
        <is>
          <t>Australia</t>
        </is>
      </c>
      <c r="P273" s="2" t="inlineStr">
        <is>
          <t>Operational Control</t>
        </is>
      </c>
      <c r="Q273" s="2" t="inlineStr">
        <is>
          <t>Operational Control</t>
        </is>
      </c>
      <c r="R273" s="2" t="inlineStr">
        <is>
          <t>DT Infrastructure (pre Sept 23 divestment)</t>
        </is>
      </c>
      <c r="S273" s="2" t="inlineStr">
        <is>
          <t>Downer</t>
        </is>
      </c>
      <c r="T273" s="2" t="n">
        <v>100</v>
      </c>
      <c r="V273" s="11" t="n">
        <v>45199</v>
      </c>
      <c r="W273" s="2" t="inlineStr">
        <is>
          <t>Classification</t>
        </is>
      </c>
      <c r="X273" s="2" t="n">
        <v>-32.927277</v>
      </c>
      <c r="Y273" s="2" t="n">
        <v>151.769164</v>
      </c>
      <c r="Z273" s="2" t="n">
        <v>310</v>
      </c>
      <c r="AA273" s="11" t="n">
        <v>42856</v>
      </c>
      <c r="AB273" s="11" t="n">
        <v>44012</v>
      </c>
    </row>
    <row r="274">
      <c r="A274" s="2" t="inlineStr">
        <is>
          <t>Downer</t>
        </is>
      </c>
      <c r="B274" s="2" t="inlineStr">
        <is>
          <t>_CLOSED_NSW / ACT Plant and OH</t>
        </is>
      </c>
      <c r="C274" s="2" t="inlineStr">
        <is>
          <t>Depot</t>
        </is>
      </c>
      <c r="D274" s="2" t="inlineStr">
        <is>
          <t>L9.J.200411</t>
        </is>
      </c>
      <c r="E274" s="2" t="inlineStr">
        <is>
          <t>L9.J.200411</t>
        </is>
      </c>
      <c r="M274" s="2" t="inlineStr">
        <is>
          <t>New South Wales</t>
        </is>
      </c>
      <c r="N274" s="2" t="inlineStr">
        <is>
          <t>Australia</t>
        </is>
      </c>
      <c r="P274" s="2" t="inlineStr">
        <is>
          <t>Operational Control</t>
        </is>
      </c>
      <c r="Q274" s="2" t="inlineStr">
        <is>
          <t>Operational Control</t>
        </is>
      </c>
      <c r="R274" s="2" t="inlineStr">
        <is>
          <t>DT Infrastructure (pre Sept 23 divestment)</t>
        </is>
      </c>
      <c r="S274" s="2" t="inlineStr">
        <is>
          <t>Downer</t>
        </is>
      </c>
      <c r="T274" s="2" t="n">
        <v>100</v>
      </c>
      <c r="V274" s="11" t="n">
        <v>45199</v>
      </c>
      <c r="W274" s="2" t="inlineStr">
        <is>
          <t>Classification</t>
        </is>
      </c>
    </row>
    <row r="275">
      <c r="A275" s="2" t="inlineStr">
        <is>
          <t>Downer</t>
        </is>
      </c>
      <c r="B275" s="2" t="inlineStr">
        <is>
          <t>_CLOSED_NW Tas Maint</t>
        </is>
      </c>
      <c r="C275" s="2" t="inlineStr">
        <is>
          <t>Operations Center</t>
        </is>
      </c>
      <c r="D275" s="2" t="inlineStr">
        <is>
          <t>L9.J.17021160</t>
        </is>
      </c>
      <c r="E275" s="2" t="n">
        <v>17021160</v>
      </c>
      <c r="H275" s="2" t="inlineStr">
        <is>
          <t>10b Industrial Drive</t>
        </is>
      </c>
      <c r="I275" s="2" t="inlineStr">
        <is>
          <t>Australia</t>
        </is>
      </c>
      <c r="J275" s="2" t="inlineStr">
        <is>
          <t>TAS</t>
        </is>
      </c>
      <c r="K275" s="2" t="n">
        <v>7315</v>
      </c>
      <c r="L275" s="2" t="inlineStr">
        <is>
          <t>Australia</t>
        </is>
      </c>
      <c r="M275" s="2" t="inlineStr">
        <is>
          <t>Ulverstone</t>
        </is>
      </c>
      <c r="N275" s="2" t="inlineStr">
        <is>
          <t>Australia</t>
        </is>
      </c>
      <c r="P275" s="2" t="inlineStr">
        <is>
          <t>Operational Control</t>
        </is>
      </c>
      <c r="Q275" s="2" t="inlineStr">
        <is>
          <t>Operational Control</t>
        </is>
      </c>
      <c r="R275" s="2" t="inlineStr">
        <is>
          <t>Transport &amp; Infrastructure (T&amp;I)</t>
        </is>
      </c>
      <c r="S275" s="2" t="inlineStr">
        <is>
          <t>Downer</t>
        </is>
      </c>
      <c r="T275" s="2" t="n">
        <v>100</v>
      </c>
      <c r="W275" s="2" t="inlineStr">
        <is>
          <t>Classification</t>
        </is>
      </c>
      <c r="X275" s="2" t="n">
        <v>-41.157985</v>
      </c>
      <c r="Y275" s="2" t="n">
        <v>146.19911</v>
      </c>
      <c r="Z275" s="2" t="n">
        <v>310</v>
      </c>
      <c r="AB275" s="11" t="n">
        <v>45473</v>
      </c>
    </row>
    <row r="276">
      <c r="A276" s="2" t="inlineStr">
        <is>
          <t>Downer</t>
        </is>
      </c>
      <c r="B276" s="2" t="inlineStr">
        <is>
          <t>_CLOSED_NZ_Niue</t>
        </is>
      </c>
      <c r="C276" s="2" t="inlineStr">
        <is>
          <t>Airport</t>
        </is>
      </c>
      <c r="D276" s="2" t="inlineStr">
        <is>
          <t>L9.DNZJ.DI0001</t>
        </is>
      </c>
      <c r="E276" s="2" t="n">
        <v>404</v>
      </c>
      <c r="M276" s="2" t="inlineStr">
        <is>
          <t>Niue</t>
        </is>
      </c>
      <c r="N276" s="2" t="inlineStr">
        <is>
          <t>Niue</t>
        </is>
      </c>
      <c r="P276" s="2" t="inlineStr">
        <is>
          <t>Operational Control</t>
        </is>
      </c>
      <c r="Q276" s="2" t="inlineStr">
        <is>
          <t>Operational Control</t>
        </is>
      </c>
      <c r="R276" s="2" t="inlineStr">
        <is>
          <t>Transport &amp; Infrastructure (T&amp;I)</t>
        </is>
      </c>
      <c r="S276" s="2" t="inlineStr">
        <is>
          <t>Downer</t>
        </is>
      </c>
      <c r="T276" s="2" t="n">
        <v>100</v>
      </c>
      <c r="W276" s="2" t="inlineStr">
        <is>
          <t>Classification</t>
        </is>
      </c>
      <c r="AB276" s="11" t="n">
        <v>45596</v>
      </c>
    </row>
    <row r="277">
      <c r="A277" s="2" t="inlineStr">
        <is>
          <t>Downer</t>
        </is>
      </c>
      <c r="B277" s="2" t="inlineStr">
        <is>
          <t>_CLOSED_NZ-AE Smith - New Zealand</t>
        </is>
      </c>
      <c r="C277" s="2" t="inlineStr">
        <is>
          <t>Unspecified</t>
        </is>
      </c>
      <c r="D277" s="2" t="inlineStr">
        <is>
          <t>L9.S.23016541</t>
        </is>
      </c>
      <c r="E277" s="2" t="inlineStr">
        <is>
          <t>R51</t>
        </is>
      </c>
      <c r="M277" s="2" t="inlineStr">
        <is>
          <t>Auckland City</t>
        </is>
      </c>
      <c r="N277" s="2" t="inlineStr">
        <is>
          <t>New Zealand</t>
        </is>
      </c>
      <c r="P277" s="2" t="inlineStr">
        <is>
          <t>Operational Control</t>
        </is>
      </c>
      <c r="Q277" s="2" t="inlineStr">
        <is>
          <t>Operational Control</t>
        </is>
      </c>
      <c r="R277" s="2" t="inlineStr">
        <is>
          <t>Social Infra &amp; Citizen Serv (SICS)</t>
        </is>
      </c>
      <c r="S277" s="2" t="inlineStr">
        <is>
          <t>Downer</t>
        </is>
      </c>
      <c r="T277" s="2" t="n">
        <v>100</v>
      </c>
      <c r="W277" s="2" t="inlineStr">
        <is>
          <t>Classification</t>
        </is>
      </c>
    </row>
    <row r="278">
      <c r="A278" s="2" t="inlineStr">
        <is>
          <t>Downer</t>
        </is>
      </c>
      <c r="B278" s="2" t="inlineStr">
        <is>
          <t>_CLOSED_NZ-BP_Auckland_135 Albert St Façade Works</t>
        </is>
      </c>
      <c r="C278" s="2" t="inlineStr">
        <is>
          <t>Other</t>
        </is>
      </c>
      <c r="D278" s="2" t="inlineStr">
        <is>
          <t>L9.DNZ.HA0376</t>
        </is>
      </c>
      <c r="E278" s="2" t="n">
        <v>5192</v>
      </c>
      <c r="G278" s="2" t="inlineStr">
        <is>
          <t>Project Site - Building Construction - New location established following purchase of Hawkins 2024 - Auckland Council</t>
        </is>
      </c>
      <c r="H278" s="2" t="inlineStr">
        <is>
          <t>135 Albert Street, Auckland CBD</t>
        </is>
      </c>
      <c r="I278" s="2" t="inlineStr">
        <is>
          <t>Auckland</t>
        </is>
      </c>
      <c r="J278" s="2" t="inlineStr">
        <is>
          <t>Auckland</t>
        </is>
      </c>
      <c r="K278" s="2" t="n">
        <v>1010</v>
      </c>
      <c r="L278" s="2" t="inlineStr">
        <is>
          <t>New Zealand</t>
        </is>
      </c>
      <c r="M278" s="2" t="inlineStr">
        <is>
          <t>Auckland</t>
        </is>
      </c>
      <c r="N278" s="2" t="inlineStr">
        <is>
          <t>New Zealand</t>
        </is>
      </c>
      <c r="P278" s="2" t="inlineStr">
        <is>
          <t>Operational Control</t>
        </is>
      </c>
      <c r="Q278" s="2" t="inlineStr">
        <is>
          <t>Operational Control</t>
        </is>
      </c>
      <c r="R278" s="2" t="inlineStr">
        <is>
          <t>Transport &amp; Infrastructure (T&amp;I)</t>
        </is>
      </c>
      <c r="S278" s="2" t="inlineStr">
        <is>
          <t>Downer</t>
        </is>
      </c>
      <c r="T278" s="2" t="n">
        <v>100</v>
      </c>
      <c r="W278" s="2" t="inlineStr">
        <is>
          <t>Classification</t>
        </is>
      </c>
      <c r="X278" s="2" t="n">
        <v>-36.849908</v>
      </c>
      <c r="Y278" s="2" t="n">
        <v>174.762402</v>
      </c>
      <c r="Z278" s="2" t="n">
        <v>302</v>
      </c>
      <c r="AA278" s="11" t="n">
        <v>42917</v>
      </c>
    </row>
    <row r="279">
      <c r="A279" s="2" t="inlineStr">
        <is>
          <t>Downer</t>
        </is>
      </c>
      <c r="B279" s="2" t="inlineStr">
        <is>
          <t>_CLOSED_NZ-BP_Auckland_AIAL Pier B Extension</t>
        </is>
      </c>
      <c r="C279" s="2" t="inlineStr">
        <is>
          <t>Other</t>
        </is>
      </c>
      <c r="D279" s="2" t="inlineStr">
        <is>
          <t>L9.DNZ.HA0156</t>
        </is>
      </c>
      <c r="E279" s="2" t="n">
        <v>5188</v>
      </c>
      <c r="G279" s="2" t="inlineStr">
        <is>
          <t>Project Site - Building Construction - New location established following purchase of Hawkins 2020 - Auckland Airport Limited</t>
        </is>
      </c>
      <c r="H279" s="2" t="inlineStr">
        <is>
          <t>AIAL 10 Manu Tapu Drive, Auckland CBD</t>
        </is>
      </c>
      <c r="I279" s="2" t="inlineStr">
        <is>
          <t>Auckland</t>
        </is>
      </c>
      <c r="J279" s="2" t="inlineStr">
        <is>
          <t>Auckland</t>
        </is>
      </c>
      <c r="K279" s="2" t="n">
        <v>1010</v>
      </c>
      <c r="L279" s="2" t="inlineStr">
        <is>
          <t>New Zealand</t>
        </is>
      </c>
      <c r="M279" s="2" t="inlineStr">
        <is>
          <t>Mangere</t>
        </is>
      </c>
      <c r="N279" s="2" t="inlineStr">
        <is>
          <t>New Zealand</t>
        </is>
      </c>
      <c r="P279" s="2" t="inlineStr">
        <is>
          <t>Operational Control</t>
        </is>
      </c>
      <c r="Q279" s="2" t="inlineStr">
        <is>
          <t>Operational Control</t>
        </is>
      </c>
      <c r="R279" s="2" t="inlineStr">
        <is>
          <t>Transport &amp; Infrastructure (T&amp;I)</t>
        </is>
      </c>
      <c r="S279" s="2" t="inlineStr">
        <is>
          <t>Downer</t>
        </is>
      </c>
      <c r="T279" s="2" t="n">
        <v>100</v>
      </c>
      <c r="W279" s="2" t="inlineStr">
        <is>
          <t>Classification</t>
        </is>
      </c>
      <c r="X279" s="2" t="n">
        <v>-36.999982</v>
      </c>
      <c r="Y279" s="2" t="n">
        <v>174.782127</v>
      </c>
      <c r="Z279" s="2" t="n">
        <v>302</v>
      </c>
      <c r="AA279" s="11" t="n">
        <v>42917</v>
      </c>
    </row>
    <row r="280">
      <c r="A280" s="2" t="inlineStr">
        <is>
          <t>Downer</t>
        </is>
      </c>
      <c r="B280" s="2" t="inlineStr">
        <is>
          <t>_CLOSED_NZ-BP_Auckland_ATEED Mason Brothers</t>
        </is>
      </c>
      <c r="C280" s="2" t="inlineStr">
        <is>
          <t>Other</t>
        </is>
      </c>
      <c r="D280" s="2" t="inlineStr">
        <is>
          <t>L9.DNZ.HC0349</t>
        </is>
      </c>
      <c r="E280" s="2" t="n">
        <v>5191</v>
      </c>
      <c r="G280" s="2" t="inlineStr">
        <is>
          <t>Project Site - Building Construction - New location established following purchase of Hawkins 2023 - Ateed</t>
        </is>
      </c>
      <c r="H280" s="2" t="inlineStr">
        <is>
          <t>12 Madden Street, Auckland CBD</t>
        </is>
      </c>
      <c r="I280" s="2" t="inlineStr">
        <is>
          <t>Auckland</t>
        </is>
      </c>
      <c r="J280" s="2" t="inlineStr">
        <is>
          <t>Auckland</t>
        </is>
      </c>
      <c r="K280" s="2" t="n">
        <v>1023</v>
      </c>
      <c r="L280" s="2" t="inlineStr">
        <is>
          <t>New Zealand</t>
        </is>
      </c>
      <c r="M280" s="2" t="inlineStr">
        <is>
          <t>Auckland</t>
        </is>
      </c>
      <c r="N280" s="2" t="inlineStr">
        <is>
          <t>New Zealand</t>
        </is>
      </c>
      <c r="P280" s="2" t="inlineStr">
        <is>
          <t>Operational Control</t>
        </is>
      </c>
      <c r="Q280" s="2" t="inlineStr">
        <is>
          <t>Operational Control</t>
        </is>
      </c>
      <c r="R280" s="2" t="inlineStr">
        <is>
          <t>Transport &amp; Infrastructure (T&amp;I)</t>
        </is>
      </c>
      <c r="S280" s="2" t="inlineStr">
        <is>
          <t>Downer</t>
        </is>
      </c>
      <c r="T280" s="2" t="n">
        <v>100</v>
      </c>
      <c r="W280" s="2" t="inlineStr">
        <is>
          <t>Classification</t>
        </is>
      </c>
      <c r="X280" s="2" t="n">
        <v>-36.842118</v>
      </c>
      <c r="Y280" s="2" t="n">
        <v>174.756572</v>
      </c>
      <c r="Z280" s="2" t="n">
        <v>302</v>
      </c>
      <c r="AA280" s="11" t="n">
        <v>42917</v>
      </c>
      <c r="AB280" s="11" t="n">
        <v>43190</v>
      </c>
    </row>
    <row r="281">
      <c r="A281" s="2" t="inlineStr">
        <is>
          <t>Downer</t>
        </is>
      </c>
      <c r="B281" s="2" t="inlineStr">
        <is>
          <t>_CLOSED_NZ-BP_Auckland_Middlemore Hospital Scott B</t>
        </is>
      </c>
      <c r="C281" s="2" t="inlineStr">
        <is>
          <t>Construction Site</t>
        </is>
      </c>
      <c r="D281" s="2" t="inlineStr">
        <is>
          <t>L9.DNZ.HA0171</t>
        </is>
      </c>
      <c r="E281" s="2" t="n">
        <v>5253</v>
      </c>
      <c r="G281" s="2" t="inlineStr">
        <is>
          <t>Project Site - Building Construction - New location established in FY19</t>
        </is>
      </c>
      <c r="M281" s="2" t="inlineStr">
        <is>
          <t>Auckland City</t>
        </is>
      </c>
      <c r="N281" s="2" t="inlineStr">
        <is>
          <t>New Zealand</t>
        </is>
      </c>
      <c r="P281" s="2" t="inlineStr">
        <is>
          <t>Operational Control</t>
        </is>
      </c>
      <c r="Q281" s="2" t="inlineStr">
        <is>
          <t>Operational Control</t>
        </is>
      </c>
      <c r="R281" s="2" t="inlineStr">
        <is>
          <t>Transport &amp; Infrastructure (T&amp;I)</t>
        </is>
      </c>
      <c r="S281" s="2" t="inlineStr">
        <is>
          <t>Downer</t>
        </is>
      </c>
      <c r="T281" s="2" t="n">
        <v>100</v>
      </c>
      <c r="W281" s="2" t="inlineStr">
        <is>
          <t>Classification</t>
        </is>
      </c>
    </row>
    <row r="282">
      <c r="A282" s="2" t="inlineStr">
        <is>
          <t>Downer</t>
        </is>
      </c>
      <c r="B282" s="2" t="inlineStr">
        <is>
          <t>_CLOSED_NZ-BP_Auckland_Park Hyatt Auckland Hotel_J</t>
        </is>
      </c>
      <c r="C282" s="2" t="inlineStr">
        <is>
          <t>Construction Site</t>
        </is>
      </c>
      <c r="D282" s="2" t="inlineStr">
        <is>
          <t>L9.DNZ.CH001</t>
        </is>
      </c>
      <c r="E282" s="2" t="n">
        <v>5195</v>
      </c>
      <c r="G282" s="2" t="inlineStr">
        <is>
          <t>Project Site - Building Construction - New location established following purchase of Hawkins 2027 - Auckland Hotel Investments Limited</t>
        </is>
      </c>
      <c r="H282" s="2" t="inlineStr">
        <is>
          <t>99-135 Halsley Street, Auckland CBD</t>
        </is>
      </c>
      <c r="I282" s="2" t="inlineStr">
        <is>
          <t>Auckland</t>
        </is>
      </c>
      <c r="J282" s="2" t="inlineStr">
        <is>
          <t>Auckland</t>
        </is>
      </c>
      <c r="K282" s="2" t="n">
        <v>3015</v>
      </c>
      <c r="L282" s="2" t="inlineStr">
        <is>
          <t>New Zealand</t>
        </is>
      </c>
      <c r="M282" s="2" t="inlineStr">
        <is>
          <t>Auckland</t>
        </is>
      </c>
      <c r="N282" s="2" t="inlineStr">
        <is>
          <t>New Zealand</t>
        </is>
      </c>
      <c r="P282" s="2" t="inlineStr">
        <is>
          <t>Operational Control</t>
        </is>
      </c>
      <c r="Q282" s="2" t="inlineStr">
        <is>
          <t>Operational Control</t>
        </is>
      </c>
      <c r="R282" s="2" t="inlineStr">
        <is>
          <t>Transport &amp; Infrastructure (T&amp;I)</t>
        </is>
      </c>
      <c r="S282" s="2" t="inlineStr">
        <is>
          <t>Downer</t>
        </is>
      </c>
      <c r="T282" s="2" t="n">
        <v>100</v>
      </c>
      <c r="W282" s="2" t="inlineStr">
        <is>
          <t>Classification</t>
        </is>
      </c>
      <c r="X282" s="2" t="n">
        <v>-36.842462</v>
      </c>
      <c r="Y282" s="2" t="n">
        <v>174.757948</v>
      </c>
      <c r="Z282" s="2" t="n">
        <v>302</v>
      </c>
      <c r="AA282" s="11" t="n">
        <v>42917</v>
      </c>
    </row>
    <row r="283">
      <c r="A283" s="2" t="inlineStr">
        <is>
          <t>Downer</t>
        </is>
      </c>
      <c r="B283" s="2" t="inlineStr">
        <is>
          <t>_CLOSED_NZ-BP_Central_Cook Street Social Club</t>
        </is>
      </c>
      <c r="C283" s="2" t="inlineStr">
        <is>
          <t>Other</t>
        </is>
      </c>
      <c r="D283" s="2" t="inlineStr">
        <is>
          <t>L9.DNZJ.149080</t>
        </is>
      </c>
      <c r="E283" s="2" t="inlineStr">
        <is>
          <t>L9.DNZJ.149080</t>
        </is>
      </c>
      <c r="G283" s="2" t="inlineStr">
        <is>
          <t>Project Site - Building Construction - New location established following purchase of Hawkins 2038 - Odd Fellows Hospitality Ltd</t>
        </is>
      </c>
      <c r="H283" s="2" t="inlineStr">
        <is>
          <t>7 Cook Street, Hamilton East</t>
        </is>
      </c>
      <c r="I283" s="2" t="inlineStr">
        <is>
          <t>Hamilton</t>
        </is>
      </c>
      <c r="J283" s="2" t="inlineStr">
        <is>
          <t>Waikato</t>
        </is>
      </c>
      <c r="K283" s="2" t="n">
        <v>3204</v>
      </c>
      <c r="L283" s="2" t="inlineStr">
        <is>
          <t>New Zealand</t>
        </is>
      </c>
      <c r="M283" s="2" t="inlineStr">
        <is>
          <t>Hamilton</t>
        </is>
      </c>
      <c r="N283" s="2" t="inlineStr">
        <is>
          <t>New Zealand</t>
        </is>
      </c>
      <c r="P283" s="2" t="inlineStr">
        <is>
          <t>Operational Control</t>
        </is>
      </c>
      <c r="Q283" s="2" t="inlineStr">
        <is>
          <t>Operational Control</t>
        </is>
      </c>
      <c r="R283" s="2" t="inlineStr">
        <is>
          <t>Transport &amp; Infrastructure (T&amp;I)</t>
        </is>
      </c>
      <c r="S283" s="2" t="inlineStr">
        <is>
          <t>Downer</t>
        </is>
      </c>
      <c r="T283" s="2" t="n">
        <v>100</v>
      </c>
      <c r="W283" s="2" t="inlineStr">
        <is>
          <t>Classification</t>
        </is>
      </c>
      <c r="X283" s="2" t="n">
        <v>-37.793315</v>
      </c>
      <c r="Y283" s="2" t="n">
        <v>175.294028</v>
      </c>
      <c r="Z283" s="2" t="n">
        <v>302</v>
      </c>
      <c r="AA283" s="11" t="n">
        <v>43024</v>
      </c>
      <c r="AB283" s="11" t="n">
        <v>43190</v>
      </c>
    </row>
    <row r="284">
      <c r="A284" s="2" t="inlineStr">
        <is>
          <t>Downer</t>
        </is>
      </c>
      <c r="B284" s="2" t="inlineStr">
        <is>
          <t>_CLOSED_NZ-BP_Central_Gilmours Fitout from Basebui</t>
        </is>
      </c>
      <c r="C284" s="2" t="inlineStr">
        <is>
          <t>Other</t>
        </is>
      </c>
      <c r="D284" s="2" t="inlineStr">
        <is>
          <t>L9.DNZ.HC0319</t>
        </is>
      </c>
      <c r="E284" s="2" t="n">
        <v>5209</v>
      </c>
      <c r="G284" s="2" t="inlineStr">
        <is>
          <t>Project Site - Building Construction - New location established following purchase of Hawkins 2041 - Foodstuffs North Island Limited</t>
        </is>
      </c>
      <c r="H284" s="2" t="inlineStr">
        <is>
          <t>31 Taurikura Drive, Tauriko</t>
        </is>
      </c>
      <c r="I284" s="2" t="inlineStr">
        <is>
          <t>Tauranga</t>
        </is>
      </c>
      <c r="J284" s="2" t="inlineStr">
        <is>
          <t>Bay of Plenty</t>
        </is>
      </c>
      <c r="K284" s="2" t="n">
        <v>6022</v>
      </c>
      <c r="L284" s="2" t="inlineStr">
        <is>
          <t>New Zealand</t>
        </is>
      </c>
      <c r="M284" s="2" t="inlineStr">
        <is>
          <t>Tauranga</t>
        </is>
      </c>
      <c r="N284" s="2" t="inlineStr">
        <is>
          <t>New Zealand</t>
        </is>
      </c>
      <c r="P284" s="2" t="inlineStr">
        <is>
          <t>Operational Control</t>
        </is>
      </c>
      <c r="Q284" s="2" t="inlineStr">
        <is>
          <t>Operational Control</t>
        </is>
      </c>
      <c r="R284" s="2" t="inlineStr">
        <is>
          <t>Transport &amp; Infrastructure (T&amp;I)</t>
        </is>
      </c>
      <c r="S284" s="2" t="inlineStr">
        <is>
          <t>Downer</t>
        </is>
      </c>
      <c r="T284" s="2" t="n">
        <v>100</v>
      </c>
      <c r="W284" s="2" t="inlineStr">
        <is>
          <t>Classification</t>
        </is>
      </c>
      <c r="X284" s="2" t="n">
        <v>-37.741582</v>
      </c>
      <c r="Y284" s="2" t="n">
        <v>176.102554</v>
      </c>
      <c r="Z284" s="2" t="n">
        <v>302</v>
      </c>
      <c r="AA284" s="11" t="n">
        <v>43108</v>
      </c>
    </row>
    <row r="285">
      <c r="A285" s="2" t="inlineStr">
        <is>
          <t>Downer</t>
        </is>
      </c>
      <c r="B285" s="2" t="inlineStr">
        <is>
          <t>_CLOSED_NZ-BP_Central_Red Stag New Planer Mill</t>
        </is>
      </c>
      <c r="C285" s="2" t="inlineStr">
        <is>
          <t>Other</t>
        </is>
      </c>
      <c r="D285" s="2" t="inlineStr">
        <is>
          <t>L9.DNZ.HC0322</t>
        </is>
      </c>
      <c r="E285" s="2" t="n">
        <v>5204</v>
      </c>
      <c r="G285" s="2" t="inlineStr">
        <is>
          <t>Project Site - Building Construction - New location established following purchase of Hawkins 2036 - Red Stag Timber Ltd</t>
        </is>
      </c>
      <c r="H285" s="2" t="inlineStr">
        <is>
          <t>Waipa State Mill Road, Whakarewarewa</t>
        </is>
      </c>
      <c r="I285" s="2" t="inlineStr">
        <is>
          <t>Rotorua</t>
        </is>
      </c>
      <c r="J285" s="2" t="inlineStr">
        <is>
          <t>Bay of Plenty</t>
        </is>
      </c>
      <c r="K285" s="2" t="n">
        <v>3216</v>
      </c>
      <c r="L285" s="2" t="inlineStr">
        <is>
          <t>New Zealand</t>
        </is>
      </c>
      <c r="M285" s="2" t="inlineStr">
        <is>
          <t>Rotorua</t>
        </is>
      </c>
      <c r="N285" s="2" t="inlineStr">
        <is>
          <t>New Zealand</t>
        </is>
      </c>
      <c r="P285" s="2" t="inlineStr">
        <is>
          <t>Operational Control</t>
        </is>
      </c>
      <c r="Q285" s="2" t="inlineStr">
        <is>
          <t>Operational Control</t>
        </is>
      </c>
      <c r="R285" s="2" t="inlineStr">
        <is>
          <t>Transport &amp; Infrastructure (T&amp;I)</t>
        </is>
      </c>
      <c r="S285" s="2" t="inlineStr">
        <is>
          <t>Downer</t>
        </is>
      </c>
      <c r="T285" s="2" t="n">
        <v>100</v>
      </c>
      <c r="W285" s="2" t="inlineStr">
        <is>
          <t>Classification</t>
        </is>
      </c>
      <c r="X285" s="2" t="n">
        <v>-38.179751</v>
      </c>
      <c r="Y285" s="2" t="n">
        <v>176.260858</v>
      </c>
      <c r="Z285" s="2" t="n">
        <v>302</v>
      </c>
      <c r="AA285" s="11" t="n">
        <v>42906</v>
      </c>
      <c r="AB285" s="11" t="n">
        <v>43190</v>
      </c>
    </row>
    <row r="286">
      <c r="A286" s="2" t="inlineStr">
        <is>
          <t>Downer</t>
        </is>
      </c>
      <c r="B286" s="2" t="inlineStr">
        <is>
          <t>_CLOSED_NZ-BP_Central_Skycity L3 Office Redevelopm</t>
        </is>
      </c>
      <c r="C286" s="2" t="inlineStr">
        <is>
          <t>Other</t>
        </is>
      </c>
      <c r="D286" s="2" t="inlineStr">
        <is>
          <t>L9.DNZ.HC0332</t>
        </is>
      </c>
      <c r="E286" s="2" t="n">
        <v>5208</v>
      </c>
      <c r="G286" s="2" t="inlineStr">
        <is>
          <t>Project Site - Building Construction - New location established following purchase of Hawkins 2040 - Sky City Hamilton Limited</t>
        </is>
      </c>
      <c r="H286" s="2" t="inlineStr">
        <is>
          <t>346 Victoria Street, Hamilton Central</t>
        </is>
      </c>
      <c r="I286" s="2" t="inlineStr">
        <is>
          <t>Hamilton</t>
        </is>
      </c>
      <c r="J286" s="2" t="inlineStr">
        <is>
          <t>Waikato</t>
        </is>
      </c>
      <c r="K286" s="2" t="n">
        <v>6011</v>
      </c>
      <c r="L286" s="2" t="inlineStr">
        <is>
          <t>New Zealand</t>
        </is>
      </c>
      <c r="M286" s="2" t="inlineStr">
        <is>
          <t>Hamilton</t>
        </is>
      </c>
      <c r="N286" s="2" t="inlineStr">
        <is>
          <t>New Zealand</t>
        </is>
      </c>
      <c r="P286" s="2" t="inlineStr">
        <is>
          <t>Operational Control</t>
        </is>
      </c>
      <c r="Q286" s="2" t="inlineStr">
        <is>
          <t>Operational Control</t>
        </is>
      </c>
      <c r="R286" s="2" t="inlineStr">
        <is>
          <t>Transport &amp; Infrastructure (T&amp;I)</t>
        </is>
      </c>
      <c r="S286" s="2" t="inlineStr">
        <is>
          <t>Downer</t>
        </is>
      </c>
      <c r="T286" s="2" t="n">
        <v>100</v>
      </c>
      <c r="W286" s="2" t="inlineStr">
        <is>
          <t>Classification</t>
        </is>
      </c>
      <c r="X286" s="2" t="n">
        <v>-37.787019</v>
      </c>
      <c r="Y286" s="2" t="n">
        <v>175.283838</v>
      </c>
      <c r="Z286" s="2" t="n">
        <v>302</v>
      </c>
      <c r="AA286" s="11" t="n">
        <v>43068</v>
      </c>
    </row>
    <row r="287">
      <c r="A287" s="2" t="inlineStr">
        <is>
          <t>Downer</t>
        </is>
      </c>
      <c r="B287" s="2" t="inlineStr">
        <is>
          <t>_CLOSED_NZ-BP_Central_Tauranga Crossing Stage 2</t>
        </is>
      </c>
      <c r="C287" s="2" t="inlineStr">
        <is>
          <t>Other</t>
        </is>
      </c>
      <c r="D287" s="2" t="inlineStr">
        <is>
          <t>L9.DNZ.HC0318</t>
        </is>
      </c>
      <c r="E287" s="2" t="n">
        <v>5201</v>
      </c>
      <c r="G287" s="2" t="inlineStr">
        <is>
          <t>Project Site - Building Construction - New location established following purchase of Hawkins 2033 - Tauranga Crossing Ltd</t>
        </is>
      </c>
      <c r="H287" s="2" t="inlineStr">
        <is>
          <t>2 Taurikura Drive, Tauriko</t>
        </is>
      </c>
      <c r="I287" s="2" t="inlineStr">
        <is>
          <t>Tauranga</t>
        </is>
      </c>
      <c r="J287" s="2" t="inlineStr">
        <is>
          <t>Bay of Plenty</t>
        </is>
      </c>
      <c r="K287" s="2" t="n">
        <v>3110</v>
      </c>
      <c r="L287" s="2" t="inlineStr">
        <is>
          <t>New Zealand</t>
        </is>
      </c>
      <c r="M287" s="2" t="inlineStr">
        <is>
          <t>Tauranga</t>
        </is>
      </c>
      <c r="N287" s="2" t="inlineStr">
        <is>
          <t>New Zealand</t>
        </is>
      </c>
      <c r="P287" s="2" t="inlineStr">
        <is>
          <t>Operational Control</t>
        </is>
      </c>
      <c r="Q287" s="2" t="inlineStr">
        <is>
          <t>Operational Control</t>
        </is>
      </c>
      <c r="R287" s="2" t="inlineStr">
        <is>
          <t>Transport &amp; Infrastructure (T&amp;I)</t>
        </is>
      </c>
      <c r="S287" s="2" t="inlineStr">
        <is>
          <t>Downer</t>
        </is>
      </c>
      <c r="T287" s="2" t="n">
        <v>100</v>
      </c>
      <c r="W287" s="2" t="inlineStr">
        <is>
          <t>Classification</t>
        </is>
      </c>
      <c r="X287" s="2" t="n">
        <v>-37.740885</v>
      </c>
      <c r="Y287" s="2" t="n">
        <v>176.103612</v>
      </c>
      <c r="Z287" s="2" t="n">
        <v>302</v>
      </c>
      <c r="AA287" s="11" t="n">
        <v>42859</v>
      </c>
    </row>
    <row r="288">
      <c r="A288" s="2" t="inlineStr">
        <is>
          <t>Downer</t>
        </is>
      </c>
      <c r="B288" s="2" t="inlineStr">
        <is>
          <t>_CLOSED_NZ-BP_Central_UOW Tauranga Campus</t>
        </is>
      </c>
      <c r="C288" s="2" t="inlineStr">
        <is>
          <t>Other</t>
        </is>
      </c>
      <c r="D288" s="2" t="inlineStr">
        <is>
          <t>L9.DNZ.HC0321</t>
        </is>
      </c>
      <c r="E288" s="2" t="n">
        <v>5203</v>
      </c>
      <c r="G288" s="2" t="inlineStr">
        <is>
          <t>Project Site - Building Construction - New location established following purchase of Hawkins 2035 - The University of Waikato</t>
        </is>
      </c>
      <c r="H288" s="2" t="inlineStr">
        <is>
          <t>Durham Street</t>
        </is>
      </c>
      <c r="I288" s="2" t="inlineStr">
        <is>
          <t>Tauranga</t>
        </is>
      </c>
      <c r="J288" s="2" t="inlineStr">
        <is>
          <t>Bay of Plenty</t>
        </is>
      </c>
      <c r="K288" s="2" t="n">
        <v>3189</v>
      </c>
      <c r="L288" s="2" t="inlineStr">
        <is>
          <t>New Zealand</t>
        </is>
      </c>
      <c r="M288" s="2" t="inlineStr">
        <is>
          <t>Tauranga</t>
        </is>
      </c>
      <c r="N288" s="2" t="inlineStr">
        <is>
          <t>New Zealand</t>
        </is>
      </c>
      <c r="P288" s="2" t="inlineStr">
        <is>
          <t>Operational Control</t>
        </is>
      </c>
      <c r="Q288" s="2" t="inlineStr">
        <is>
          <t>Operational Control</t>
        </is>
      </c>
      <c r="R288" s="2" t="inlineStr">
        <is>
          <t>Transport &amp; Infrastructure (T&amp;I)</t>
        </is>
      </c>
      <c r="S288" s="2" t="inlineStr">
        <is>
          <t>Downer</t>
        </is>
      </c>
      <c r="T288" s="2" t="n">
        <v>100</v>
      </c>
      <c r="W288" s="2" t="inlineStr">
        <is>
          <t>Classification</t>
        </is>
      </c>
      <c r="X288" s="2" t="n">
        <v>-37.684281</v>
      </c>
      <c r="Y288" s="2" t="n">
        <v>176.16743</v>
      </c>
      <c r="Z288" s="2" t="n">
        <v>302</v>
      </c>
      <c r="AA288" s="11" t="n">
        <v>42933</v>
      </c>
    </row>
    <row r="289">
      <c r="A289" s="2" t="inlineStr">
        <is>
          <t>Downer</t>
        </is>
      </c>
      <c r="B289" s="2" t="inlineStr">
        <is>
          <t>_CLOSED_NZ-BP_South-Island_Ashburton Fire Station</t>
        </is>
      </c>
      <c r="C289" s="2" t="inlineStr">
        <is>
          <t>Other</t>
        </is>
      </c>
      <c r="D289" s="2" t="inlineStr">
        <is>
          <t>L9.DNZ.HI0316</t>
        </is>
      </c>
      <c r="E289" s="2" t="n">
        <v>5243</v>
      </c>
      <c r="G289" s="2" t="inlineStr">
        <is>
          <t>Project Site - Building Construction - New location established following purchase of Hawkins 2075 - New Zealand Fire Service</t>
        </is>
      </c>
      <c r="H289" s="2" t="inlineStr">
        <is>
          <t>332 Burnett Street</t>
        </is>
      </c>
      <c r="I289" s="2" t="inlineStr">
        <is>
          <t>Ashburton</t>
        </is>
      </c>
      <c r="J289" s="2" t="inlineStr">
        <is>
          <t>Canterbury</t>
        </is>
      </c>
      <c r="K289" s="2" t="n">
        <v>8011</v>
      </c>
      <c r="L289" s="2" t="inlineStr">
        <is>
          <t>New Zealand</t>
        </is>
      </c>
      <c r="M289" s="2" t="inlineStr">
        <is>
          <t>Ashburton</t>
        </is>
      </c>
      <c r="N289" s="2" t="inlineStr">
        <is>
          <t>New Zealand</t>
        </is>
      </c>
      <c r="P289" s="2" t="inlineStr">
        <is>
          <t>Operational Control</t>
        </is>
      </c>
      <c r="Q289" s="2" t="inlineStr">
        <is>
          <t>Operational Control</t>
        </is>
      </c>
      <c r="R289" s="2" t="inlineStr">
        <is>
          <t>Transport &amp; Infrastructure (T&amp;I)</t>
        </is>
      </c>
      <c r="S289" s="2" t="inlineStr">
        <is>
          <t>Downer</t>
        </is>
      </c>
      <c r="T289" s="2" t="n">
        <v>100</v>
      </c>
      <c r="W289" s="2" t="inlineStr">
        <is>
          <t>Classification</t>
        </is>
      </c>
      <c r="X289" s="2" t="n">
        <v>-43.9069686</v>
      </c>
      <c r="Y289" s="2" t="n">
        <v>171.7505008</v>
      </c>
      <c r="Z289" s="2" t="n">
        <v>302</v>
      </c>
      <c r="AA289" s="11" t="n">
        <v>42968</v>
      </c>
      <c r="AB289" s="11" t="n">
        <v>43157</v>
      </c>
    </row>
    <row r="290">
      <c r="A290" s="2" t="inlineStr">
        <is>
          <t>Downer</t>
        </is>
      </c>
      <c r="B290" s="2" t="inlineStr">
        <is>
          <t>_CLOSED_NZ-BP_South-Island_Balclutha Primary Schoo</t>
        </is>
      </c>
      <c r="C290" s="2" t="inlineStr">
        <is>
          <t>Other</t>
        </is>
      </c>
      <c r="D290" s="2" t="inlineStr">
        <is>
          <t>L9.DNZ.HI0320</t>
        </is>
      </c>
      <c r="E290" s="2" t="n">
        <v>5247</v>
      </c>
      <c r="G290" s="2" t="inlineStr">
        <is>
          <t>Project Site - Building Construction - New location established following purchase of Hawkins 2079 - Balclutha Primary School Board</t>
        </is>
      </c>
      <c r="H290" s="2" t="inlineStr">
        <is>
          <t>19 Lanark Street</t>
        </is>
      </c>
      <c r="I290" s="2" t="inlineStr">
        <is>
          <t>Balclutha</t>
        </is>
      </c>
      <c r="J290" s="2" t="inlineStr">
        <is>
          <t>Canterbury</t>
        </is>
      </c>
      <c r="K290" s="2" t="n">
        <v>8011</v>
      </c>
      <c r="L290" s="2" t="inlineStr">
        <is>
          <t>New Zealand</t>
        </is>
      </c>
      <c r="M290" s="2" t="inlineStr">
        <is>
          <t>Balclutha</t>
        </is>
      </c>
      <c r="N290" s="2" t="inlineStr">
        <is>
          <t>New Zealand</t>
        </is>
      </c>
      <c r="P290" s="2" t="inlineStr">
        <is>
          <t>Operational Control</t>
        </is>
      </c>
      <c r="Q290" s="2" t="inlineStr">
        <is>
          <t>Operational Control</t>
        </is>
      </c>
      <c r="R290" s="2" t="inlineStr">
        <is>
          <t>Transport &amp; Infrastructure (T&amp;I)</t>
        </is>
      </c>
      <c r="S290" s="2" t="inlineStr">
        <is>
          <t>Downer</t>
        </is>
      </c>
      <c r="T290" s="2" t="n">
        <v>100</v>
      </c>
      <c r="W290" s="2" t="inlineStr">
        <is>
          <t>Classification</t>
        </is>
      </c>
      <c r="X290" s="2" t="n">
        <v>-46.2395243</v>
      </c>
      <c r="Y290" s="2" t="n">
        <v>169.742956199999</v>
      </c>
      <c r="Z290" s="2" t="n">
        <v>302</v>
      </c>
      <c r="AA290" s="11" t="n">
        <v>43058</v>
      </c>
    </row>
    <row r="291">
      <c r="A291" s="2" t="inlineStr">
        <is>
          <t>Downer</t>
        </is>
      </c>
      <c r="B291" s="2" t="inlineStr">
        <is>
          <t>_CLOSED_NZ-BP_South-Island_CIAL Swirl Replacement</t>
        </is>
      </c>
      <c r="C291" s="2" t="inlineStr">
        <is>
          <t>Other</t>
        </is>
      </c>
      <c r="D291" s="2" t="inlineStr">
        <is>
          <t>L9.DNZJ.55533</t>
        </is>
      </c>
      <c r="E291" s="2" t="inlineStr">
        <is>
          <t>L9.DNZJ.55533</t>
        </is>
      </c>
      <c r="G291" s="2" t="inlineStr">
        <is>
          <t>Project Site - Building Construction - New location established following purchase of Hawkins 2069 - Airways Corporation of NZ</t>
        </is>
      </c>
      <c r="H291" s="2" t="inlineStr">
        <is>
          <t>Christchurch Airport,Orchard Road</t>
        </is>
      </c>
      <c r="I291" s="2" t="inlineStr">
        <is>
          <t>Christchurch</t>
        </is>
      </c>
      <c r="J291" s="2" t="inlineStr">
        <is>
          <t>Canterbury</t>
        </is>
      </c>
      <c r="K291" s="2" t="n">
        <v>8011</v>
      </c>
      <c r="L291" s="2" t="inlineStr">
        <is>
          <t>New Zealand</t>
        </is>
      </c>
      <c r="M291" s="2" t="inlineStr">
        <is>
          <t>Christchurch</t>
        </is>
      </c>
      <c r="N291" s="2" t="inlineStr">
        <is>
          <t>New Zealand</t>
        </is>
      </c>
      <c r="P291" s="2" t="inlineStr">
        <is>
          <t>Operational Control</t>
        </is>
      </c>
      <c r="Q291" s="2" t="inlineStr">
        <is>
          <t>Operational Control</t>
        </is>
      </c>
      <c r="R291" s="2" t="inlineStr">
        <is>
          <t>Transport &amp; Infrastructure (T&amp;I)</t>
        </is>
      </c>
      <c r="S291" s="2" t="inlineStr">
        <is>
          <t>Downer</t>
        </is>
      </c>
      <c r="T291" s="2" t="n">
        <v>100</v>
      </c>
      <c r="W291" s="2" t="inlineStr">
        <is>
          <t>Classification</t>
        </is>
      </c>
      <c r="X291" s="2" t="n">
        <v>-43.4863981</v>
      </c>
      <c r="Y291" s="2" t="n">
        <v>172.536870499999</v>
      </c>
      <c r="Z291" s="2" t="n">
        <v>302</v>
      </c>
      <c r="AA291" s="11" t="n">
        <v>42888</v>
      </c>
      <c r="AB291" s="11" t="n">
        <v>42923</v>
      </c>
    </row>
    <row r="292">
      <c r="A292" s="2" t="inlineStr">
        <is>
          <t>Downer</t>
        </is>
      </c>
      <c r="B292" s="2" t="inlineStr">
        <is>
          <t>_CLOSED_NZ-BP_South-Island_KEB DOSE Café Fitout</t>
        </is>
      </c>
      <c r="C292" s="2" t="inlineStr">
        <is>
          <t>Other</t>
        </is>
      </c>
      <c r="D292" s="2" t="inlineStr">
        <is>
          <t>L9.DNZ.HI0315</t>
        </is>
      </c>
      <c r="E292" s="2" t="n">
        <v>5239</v>
      </c>
      <c r="G292" s="2" t="inlineStr">
        <is>
          <t>Project Site - Building Construction - New location established following purchase of Hawkins 2071 - WESTEND STORIES LIMITED</t>
        </is>
      </c>
      <c r="H292" s="2" t="inlineStr">
        <is>
          <t>65 Cashel Street</t>
        </is>
      </c>
      <c r="I292" s="2" t="inlineStr">
        <is>
          <t>Christchurch</t>
        </is>
      </c>
      <c r="J292" s="2" t="inlineStr">
        <is>
          <t>Canterbury</t>
        </is>
      </c>
      <c r="K292" s="2" t="n">
        <v>8082</v>
      </c>
      <c r="L292" s="2" t="inlineStr">
        <is>
          <t>New Zealand</t>
        </is>
      </c>
      <c r="M292" s="2" t="inlineStr">
        <is>
          <t>Christchurch</t>
        </is>
      </c>
      <c r="N292" s="2" t="inlineStr">
        <is>
          <t>New Zealand</t>
        </is>
      </c>
      <c r="P292" s="2" t="inlineStr">
        <is>
          <t>Operational Control</t>
        </is>
      </c>
      <c r="Q292" s="2" t="inlineStr">
        <is>
          <t>Operational Control</t>
        </is>
      </c>
      <c r="R292" s="2" t="inlineStr">
        <is>
          <t>Transport &amp; Infrastructure (T&amp;I)</t>
        </is>
      </c>
      <c r="S292" s="2" t="inlineStr">
        <is>
          <t>Downer</t>
        </is>
      </c>
      <c r="T292" s="2" t="n">
        <v>100</v>
      </c>
      <c r="W292" s="2" t="inlineStr">
        <is>
          <t>Classification</t>
        </is>
      </c>
      <c r="X292" s="2" t="n">
        <v>-43.5328097</v>
      </c>
      <c r="Y292" s="2" t="n">
        <v>172.6315719</v>
      </c>
      <c r="Z292" s="2" t="n">
        <v>302</v>
      </c>
      <c r="AA292" s="11" t="n">
        <v>42923</v>
      </c>
      <c r="AB292" s="11" t="n">
        <v>43026</v>
      </c>
    </row>
    <row r="293">
      <c r="A293" s="2" t="inlineStr">
        <is>
          <t>Downer</t>
        </is>
      </c>
      <c r="B293" s="2" t="inlineStr">
        <is>
          <t>_CLOSED_NZ-BP_South-Island_KOHA Fitness Fitout</t>
        </is>
      </c>
      <c r="C293" s="2" t="inlineStr">
        <is>
          <t>Other</t>
        </is>
      </c>
      <c r="D293" s="2" t="inlineStr">
        <is>
          <t>L9.S.26017887</t>
        </is>
      </c>
      <c r="E293" s="2" t="n">
        <v>5245</v>
      </c>
      <c r="G293" s="2" t="inlineStr">
        <is>
          <t>Project Site - Building Construction - New location established following purchase of Hawkins 2077 - Koha Fitness Christchurch Limi</t>
        </is>
      </c>
      <c r="H293" s="2" t="inlineStr">
        <is>
          <t>48 Hereford Street</t>
        </is>
      </c>
      <c r="I293" s="2" t="inlineStr">
        <is>
          <t>Christchurch</t>
        </is>
      </c>
      <c r="J293" s="2" t="inlineStr">
        <is>
          <t>Canterbury</t>
        </is>
      </c>
      <c r="K293" s="2" t="n">
        <v>9230</v>
      </c>
      <c r="L293" s="2" t="inlineStr">
        <is>
          <t>New Zealand</t>
        </is>
      </c>
      <c r="M293" s="2" t="inlineStr">
        <is>
          <t>Christchurch</t>
        </is>
      </c>
      <c r="N293" s="2" t="inlineStr">
        <is>
          <t>New Zealand</t>
        </is>
      </c>
      <c r="P293" s="2" t="inlineStr">
        <is>
          <t>Operational Control</t>
        </is>
      </c>
      <c r="Q293" s="2" t="inlineStr">
        <is>
          <t>Operational Control</t>
        </is>
      </c>
      <c r="R293" s="2" t="inlineStr">
        <is>
          <t>Transport &amp; Infrastructure (T&amp;I)</t>
        </is>
      </c>
      <c r="S293" s="2" t="inlineStr">
        <is>
          <t>Downer</t>
        </is>
      </c>
      <c r="T293" s="2" t="n">
        <v>100</v>
      </c>
      <c r="W293" s="2" t="inlineStr">
        <is>
          <t>Classification</t>
        </is>
      </c>
      <c r="X293" s="2" t="n">
        <v>-43.5322111</v>
      </c>
      <c r="Y293" s="2" t="n">
        <v>172.6325083</v>
      </c>
      <c r="Z293" s="2" t="n">
        <v>302</v>
      </c>
      <c r="AA293" s="11" t="n">
        <v>42989</v>
      </c>
      <c r="AB293" s="11" t="n">
        <v>43077</v>
      </c>
    </row>
    <row r="294">
      <c r="A294" s="2" t="inlineStr">
        <is>
          <t>Downer</t>
        </is>
      </c>
      <c r="B294" s="2" t="inlineStr">
        <is>
          <t>_CLOSED_NZ-BP_South-Island_KPMG Office Fitout</t>
        </is>
      </c>
      <c r="C294" s="2" t="inlineStr">
        <is>
          <t>Other</t>
        </is>
      </c>
      <c r="D294" s="2" t="inlineStr">
        <is>
          <t>L9.DNZ.HI0322</t>
        </is>
      </c>
      <c r="E294" s="2" t="n">
        <v>5249</v>
      </c>
      <c r="G294" s="2" t="inlineStr">
        <is>
          <t>Project Site - Building Construction - New location established following purchase of Hawkins 2081 - KPMG</t>
        </is>
      </c>
      <c r="H294" s="2" t="inlineStr">
        <is>
          <t>90 Hereford Street</t>
        </is>
      </c>
      <c r="I294" s="2" t="inlineStr">
        <is>
          <t>Christchurch</t>
        </is>
      </c>
      <c r="J294" s="2" t="inlineStr">
        <is>
          <t>Canterbury</t>
        </is>
      </c>
      <c r="K294" s="2" t="n">
        <v>8011</v>
      </c>
      <c r="L294" s="2" t="inlineStr">
        <is>
          <t>New Zealand</t>
        </is>
      </c>
      <c r="M294" s="2" t="inlineStr">
        <is>
          <t>Christchurch</t>
        </is>
      </c>
      <c r="N294" s="2" t="inlineStr">
        <is>
          <t>New Zealand</t>
        </is>
      </c>
      <c r="P294" s="2" t="inlineStr">
        <is>
          <t>Operational Control</t>
        </is>
      </c>
      <c r="Q294" s="2" t="inlineStr">
        <is>
          <t>Operational Control</t>
        </is>
      </c>
      <c r="R294" s="2" t="inlineStr">
        <is>
          <t>Transport &amp; Infrastructure (T&amp;I)</t>
        </is>
      </c>
      <c r="S294" s="2" t="inlineStr">
        <is>
          <t>Downer</t>
        </is>
      </c>
      <c r="T294" s="2" t="n">
        <v>100</v>
      </c>
      <c r="W294" s="2" t="inlineStr">
        <is>
          <t>Classification</t>
        </is>
      </c>
      <c r="X294" s="2" t="n">
        <v>-43.5322485</v>
      </c>
      <c r="Y294" s="2" t="n">
        <v>172.634727</v>
      </c>
      <c r="Z294" s="2" t="n">
        <v>302</v>
      </c>
      <c r="AA294" s="11" t="n">
        <v>43073</v>
      </c>
    </row>
    <row r="295">
      <c r="A295" s="2" t="inlineStr">
        <is>
          <t>Downer</t>
        </is>
      </c>
      <c r="B295" s="2" t="inlineStr">
        <is>
          <t>_CLOSED_NZ-BP_South-Island_La Residence Du Parc</t>
        </is>
      </c>
      <c r="C295" s="2" t="inlineStr">
        <is>
          <t>Other</t>
        </is>
      </c>
      <c r="D295" s="2" t="inlineStr">
        <is>
          <t>L9.DNZ.HS0128</t>
        </is>
      </c>
      <c r="E295" s="2" t="n">
        <v>5233</v>
      </c>
      <c r="G295" s="2" t="inlineStr">
        <is>
          <t>Project Site - Building Construction - New location established following purchase of Hawkins 2065 - Residence Du Parc Limited</t>
        </is>
      </c>
      <c r="H295" s="2" t="inlineStr">
        <is>
          <t>154 Arthurs Point Road, Arthurs Point</t>
        </is>
      </c>
      <c r="I295" s="2" t="inlineStr">
        <is>
          <t>Queenstown</t>
        </is>
      </c>
      <c r="J295" s="2" t="inlineStr">
        <is>
          <t>Central Otago</t>
        </is>
      </c>
      <c r="K295" s="2" t="n">
        <v>9300</v>
      </c>
      <c r="L295" s="2" t="inlineStr">
        <is>
          <t>New Zealand</t>
        </is>
      </c>
      <c r="M295" s="2" t="inlineStr">
        <is>
          <t>Queenstown</t>
        </is>
      </c>
      <c r="N295" s="2" t="inlineStr">
        <is>
          <t>New Zealand</t>
        </is>
      </c>
      <c r="P295" s="2" t="inlineStr">
        <is>
          <t>Operational Control</t>
        </is>
      </c>
      <c r="Q295" s="2" t="inlineStr">
        <is>
          <t>Operational Control</t>
        </is>
      </c>
      <c r="R295" s="2" t="inlineStr">
        <is>
          <t>Transport &amp; Infrastructure (T&amp;I)</t>
        </is>
      </c>
      <c r="S295" s="2" t="inlineStr">
        <is>
          <t>Downer</t>
        </is>
      </c>
      <c r="T295" s="2" t="n">
        <v>100</v>
      </c>
      <c r="W295" s="2" t="inlineStr">
        <is>
          <t>Classification</t>
        </is>
      </c>
      <c r="X295" s="2" t="n">
        <v>-44.9805465</v>
      </c>
      <c r="Y295" s="2" t="n">
        <v>168.685422099999</v>
      </c>
      <c r="Z295" s="2" t="n">
        <v>301</v>
      </c>
      <c r="AA295" s="11" t="n">
        <v>43017</v>
      </c>
    </row>
    <row r="296">
      <c r="A296" s="2" t="inlineStr">
        <is>
          <t>Downer</t>
        </is>
      </c>
      <c r="B296" s="2" t="inlineStr">
        <is>
          <t>_CLOSED_NZ-BP_South-Island_Mainstream Building Upg</t>
        </is>
      </c>
      <c r="C296" s="2" t="inlineStr">
        <is>
          <t>Other</t>
        </is>
      </c>
      <c r="D296" s="2" t="inlineStr">
        <is>
          <t>L9.DNZ.HI0319</t>
        </is>
      </c>
      <c r="E296" s="2" t="n">
        <v>5246</v>
      </c>
      <c r="G296" s="2" t="inlineStr">
        <is>
          <t>Project Site - Building Construction - New location established following purchase of Hawkins 2078 - Saltire Trust</t>
        </is>
      </c>
      <c r="H296" s="2" t="inlineStr">
        <is>
          <t>6 Jipcho Place, Sockburn</t>
        </is>
      </c>
      <c r="I296" s="2" t="inlineStr">
        <is>
          <t>Christchurch</t>
        </is>
      </c>
      <c r="J296" s="2" t="inlineStr">
        <is>
          <t>Canterbury</t>
        </is>
      </c>
      <c r="K296" s="2" t="n">
        <v>8013</v>
      </c>
      <c r="L296" s="2" t="inlineStr">
        <is>
          <t>New Zealand</t>
        </is>
      </c>
      <c r="M296" s="2" t="inlineStr">
        <is>
          <t>Christchurch</t>
        </is>
      </c>
      <c r="N296" s="2" t="inlineStr">
        <is>
          <t>New Zealand</t>
        </is>
      </c>
      <c r="P296" s="2" t="inlineStr">
        <is>
          <t>Operational Control</t>
        </is>
      </c>
      <c r="Q296" s="2" t="inlineStr">
        <is>
          <t>Operational Control</t>
        </is>
      </c>
      <c r="R296" s="2" t="inlineStr">
        <is>
          <t>Transport &amp; Infrastructure (T&amp;I)</t>
        </is>
      </c>
      <c r="S296" s="2" t="inlineStr">
        <is>
          <t>Downer</t>
        </is>
      </c>
      <c r="T296" s="2" t="n">
        <v>100</v>
      </c>
      <c r="W296" s="2" t="inlineStr">
        <is>
          <t>Classification</t>
        </is>
      </c>
      <c r="X296" s="2" t="n">
        <v>-43.5429275</v>
      </c>
      <c r="Y296" s="2" t="n">
        <v>172.5656689</v>
      </c>
      <c r="Z296" s="2" t="n">
        <v>302</v>
      </c>
      <c r="AA296" s="11" t="n">
        <v>43005</v>
      </c>
      <c r="AB296" s="11" t="n">
        <v>43122</v>
      </c>
    </row>
    <row r="297">
      <c r="A297" s="2" t="inlineStr">
        <is>
          <t>Downer</t>
        </is>
      </c>
      <c r="B297" s="2" t="inlineStr">
        <is>
          <t>_CLOSED_NZ-BP_South-Island_NZ Post Small Works 201</t>
        </is>
      </c>
      <c r="C297" s="2" t="inlineStr">
        <is>
          <t>Other</t>
        </is>
      </c>
      <c r="D297" s="2" t="inlineStr">
        <is>
          <t>L9.DNZJ.149080</t>
        </is>
      </c>
      <c r="E297" s="2" t="n">
        <v>5236</v>
      </c>
      <c r="G297" s="2" t="inlineStr">
        <is>
          <t>Project Site - Building Construction - New location established following purchase of Hawkins 2068 - NZ Post Properties</t>
        </is>
      </c>
      <c r="H297" s="2" t="inlineStr">
        <is>
          <t>Various - supported from Unit 14 Barry Hogan Place</t>
        </is>
      </c>
      <c r="I297" s="2" t="inlineStr">
        <is>
          <t>Addington</t>
        </is>
      </c>
      <c r="J297" s="2" t="inlineStr">
        <is>
          <t>Canterbury</t>
        </is>
      </c>
      <c r="K297" s="2" t="n">
        <v>8041</v>
      </c>
      <c r="L297" s="2" t="inlineStr">
        <is>
          <t>New Zealand</t>
        </is>
      </c>
      <c r="M297" s="2" t="inlineStr">
        <is>
          <t>Christchurch</t>
        </is>
      </c>
      <c r="N297" s="2" t="inlineStr">
        <is>
          <t>New Zealand</t>
        </is>
      </c>
      <c r="P297" s="2" t="inlineStr">
        <is>
          <t>Operational Control</t>
        </is>
      </c>
      <c r="Q297" s="2" t="inlineStr">
        <is>
          <t>Operational Control</t>
        </is>
      </c>
      <c r="R297" s="2" t="inlineStr">
        <is>
          <t>Transport &amp; Infrastructure (T&amp;I)</t>
        </is>
      </c>
      <c r="S297" s="2" t="inlineStr">
        <is>
          <t>Downer</t>
        </is>
      </c>
      <c r="T297" s="2" t="n">
        <v>100</v>
      </c>
      <c r="W297" s="2" t="inlineStr">
        <is>
          <t>Classification</t>
        </is>
      </c>
      <c r="X297" s="2" t="n">
        <v>-43.5406926</v>
      </c>
      <c r="Y297" s="2" t="n">
        <v>172.5997403</v>
      </c>
      <c r="Z297" s="2" t="n">
        <v>302</v>
      </c>
      <c r="AA297" s="11" t="n">
        <v>42917</v>
      </c>
    </row>
    <row r="298">
      <c r="A298" s="2" t="inlineStr">
        <is>
          <t>Downer</t>
        </is>
      </c>
      <c r="B298" s="2" t="inlineStr">
        <is>
          <t>_CLOSED_NZ-BP_South-Island_Opus Int Office Fitout</t>
        </is>
      </c>
      <c r="C298" s="2" t="inlineStr">
        <is>
          <t>Other</t>
        </is>
      </c>
      <c r="D298" s="2" t="inlineStr">
        <is>
          <t>L9.DNZ.HI0306</t>
        </is>
      </c>
      <c r="E298" s="2" t="n">
        <v>5235</v>
      </c>
      <c r="G298" s="2" t="inlineStr">
        <is>
          <t>Project Site - Building Construction - New location established following purchase of Hawkins 2067 - Opus International Consultants</t>
        </is>
      </c>
      <c r="H298" s="2" t="inlineStr">
        <is>
          <t>Level 1, Five Mile Centre, Grant Road, Frankton</t>
        </is>
      </c>
      <c r="I298" s="2" t="inlineStr">
        <is>
          <t>Queenstown</t>
        </is>
      </c>
      <c r="J298" s="2" t="inlineStr">
        <is>
          <t>Canterbury</t>
        </is>
      </c>
      <c r="K298" s="2" t="n">
        <v>8051</v>
      </c>
      <c r="L298" s="2" t="inlineStr">
        <is>
          <t>New Zealand</t>
        </is>
      </c>
      <c r="M298" s="2" t="inlineStr">
        <is>
          <t>Queenstown</t>
        </is>
      </c>
      <c r="N298" s="2" t="inlineStr">
        <is>
          <t>New Zealand</t>
        </is>
      </c>
      <c r="P298" s="2" t="inlineStr">
        <is>
          <t>Operational Control</t>
        </is>
      </c>
      <c r="Q298" s="2" t="inlineStr">
        <is>
          <t>Operational Control</t>
        </is>
      </c>
      <c r="R298" s="2" t="inlineStr">
        <is>
          <t>Transport &amp; Infrastructure (T&amp;I)</t>
        </is>
      </c>
      <c r="S298" s="2" t="inlineStr">
        <is>
          <t>Downer</t>
        </is>
      </c>
      <c r="T298" s="2" t="n">
        <v>100</v>
      </c>
      <c r="W298" s="2" t="inlineStr">
        <is>
          <t>Classification</t>
        </is>
      </c>
      <c r="X298" s="2" t="n">
        <v>-45.0156059</v>
      </c>
      <c r="Y298" s="2" t="n">
        <v>168.747069799999</v>
      </c>
      <c r="Z298" s="2" t="n">
        <v>302</v>
      </c>
      <c r="AA298" s="11" t="n">
        <v>42851</v>
      </c>
      <c r="AB298" s="11" t="n">
        <v>42922</v>
      </c>
    </row>
    <row r="299">
      <c r="A299" s="2" t="inlineStr">
        <is>
          <t>Downer</t>
        </is>
      </c>
      <c r="B299" s="2" t="inlineStr">
        <is>
          <t>_CLOSED_NZ-BP_South-Island_Pacific After Hours Rad</t>
        </is>
      </c>
      <c r="C299" s="2" t="inlineStr">
        <is>
          <t>Other</t>
        </is>
      </c>
      <c r="D299" s="2" t="inlineStr">
        <is>
          <t>L9.DNZ.HI0305</t>
        </is>
      </c>
      <c r="E299" s="2" t="n">
        <v>5234</v>
      </c>
      <c r="G299" s="2" t="inlineStr">
        <is>
          <t>Project Site - Building Construction - New location established following purchase of Hawkins 2066 - Pacific Radiology</t>
        </is>
      </c>
      <c r="H299" s="2" t="inlineStr">
        <is>
          <t>401 Madras Street</t>
        </is>
      </c>
      <c r="I299" s="2" t="inlineStr">
        <is>
          <t>Christchurch</t>
        </is>
      </c>
      <c r="J299" s="2" t="inlineStr">
        <is>
          <t>Canterbury</t>
        </is>
      </c>
      <c r="K299" s="2" t="n">
        <v>8041</v>
      </c>
      <c r="L299" s="2" t="inlineStr">
        <is>
          <t>New Zealand</t>
        </is>
      </c>
      <c r="M299" s="2" t="inlineStr">
        <is>
          <t>Christchurch</t>
        </is>
      </c>
      <c r="N299" s="2" t="inlineStr">
        <is>
          <t>New Zealand</t>
        </is>
      </c>
      <c r="P299" s="2" t="inlineStr">
        <is>
          <t>Operational Control</t>
        </is>
      </c>
      <c r="Q299" s="2" t="inlineStr">
        <is>
          <t>Operational Control</t>
        </is>
      </c>
      <c r="R299" s="2" t="inlineStr">
        <is>
          <t>Transport &amp; Infrastructure (T&amp;I)</t>
        </is>
      </c>
      <c r="S299" s="2" t="inlineStr">
        <is>
          <t>Downer</t>
        </is>
      </c>
      <c r="T299" s="2" t="n">
        <v>100</v>
      </c>
      <c r="W299" s="2" t="inlineStr">
        <is>
          <t>Classification</t>
        </is>
      </c>
      <c r="X299" s="2" t="n">
        <v>-43.5217193999999</v>
      </c>
      <c r="Y299" s="2" t="n">
        <v>172.6416341</v>
      </c>
      <c r="Z299" s="2" t="n">
        <v>302</v>
      </c>
      <c r="AA299" s="11" t="n">
        <v>40271</v>
      </c>
      <c r="AB299" s="11" t="n">
        <v>43194</v>
      </c>
    </row>
    <row r="300">
      <c r="A300" s="2" t="inlineStr">
        <is>
          <t>Downer</t>
        </is>
      </c>
      <c r="B300" s="2" t="inlineStr">
        <is>
          <t>_CLOSED_NZ-BP_South-Island_Skope Warehouse Extensi</t>
        </is>
      </c>
      <c r="C300" s="2" t="inlineStr">
        <is>
          <t>Other</t>
        </is>
      </c>
      <c r="D300" s="2" t="inlineStr">
        <is>
          <t>L9.DNZ.HI0310</t>
        </is>
      </c>
      <c r="E300" s="2" t="n">
        <v>5238</v>
      </c>
      <c r="G300" s="2" t="inlineStr">
        <is>
          <t>Project Site - Building Construction - New location established following purchase of Hawkins 2070 - Skope Industries Ltd</t>
        </is>
      </c>
      <c r="H300" s="2" t="inlineStr">
        <is>
          <t>Princess Street, Addington</t>
        </is>
      </c>
      <c r="I300" s="2" t="inlineStr">
        <is>
          <t>Christchurch</t>
        </is>
      </c>
      <c r="J300" s="2" t="inlineStr">
        <is>
          <t>Canterbury</t>
        </is>
      </c>
      <c r="K300" s="2" t="n">
        <v>8223</v>
      </c>
      <c r="L300" s="2" t="inlineStr">
        <is>
          <t>New Zealand</t>
        </is>
      </c>
      <c r="M300" s="2" t="inlineStr">
        <is>
          <t>Christchurch</t>
        </is>
      </c>
      <c r="N300" s="2" t="inlineStr">
        <is>
          <t>New Zealand</t>
        </is>
      </c>
      <c r="P300" s="2" t="inlineStr">
        <is>
          <t>Operational Control</t>
        </is>
      </c>
      <c r="Q300" s="2" t="inlineStr">
        <is>
          <t>Operational Control</t>
        </is>
      </c>
      <c r="R300" s="2" t="inlineStr">
        <is>
          <t>Transport &amp; Infrastructure (T&amp;I)</t>
        </is>
      </c>
      <c r="S300" s="2" t="inlineStr">
        <is>
          <t>Downer</t>
        </is>
      </c>
      <c r="T300" s="2" t="n">
        <v>100</v>
      </c>
      <c r="W300" s="2" t="inlineStr">
        <is>
          <t>Classification</t>
        </is>
      </c>
      <c r="X300" s="2" t="n">
        <v>-43.5386521</v>
      </c>
      <c r="Y300" s="2" t="n">
        <v>172.6000409</v>
      </c>
      <c r="Z300" s="2" t="n">
        <v>302</v>
      </c>
      <c r="AA300" s="11" t="n">
        <v>42907</v>
      </c>
      <c r="AB300" s="11" t="n">
        <v>43033</v>
      </c>
    </row>
    <row r="301">
      <c r="A301" s="2" t="inlineStr">
        <is>
          <t>Downer</t>
        </is>
      </c>
      <c r="B301" s="2" t="inlineStr">
        <is>
          <t>_CLOSED_NZ-BP_South-Island_Terraces-Stage-1 - BLD</t>
        </is>
      </c>
      <c r="C301" s="2" t="inlineStr">
        <is>
          <t>Other</t>
        </is>
      </c>
      <c r="D301" s="2" t="inlineStr">
        <is>
          <t>L9.DNZJ.700097</t>
        </is>
      </c>
      <c r="E301" s="2" t="n">
        <v>5230</v>
      </c>
      <c r="G301" s="2" t="inlineStr">
        <is>
          <t>Project Site - Building Construction - New location established following purchase of Hawkins 2062 - Hereford Holdings Limited</t>
        </is>
      </c>
      <c r="H301" s="2" t="inlineStr">
        <is>
          <t>90 Hereford Street</t>
        </is>
      </c>
      <c r="I301" s="2" t="inlineStr">
        <is>
          <t>Christchurch</t>
        </is>
      </c>
      <c r="J301" s="2" t="inlineStr">
        <is>
          <t>Canterbury</t>
        </is>
      </c>
      <c r="K301" s="2" t="n">
        <v>8024</v>
      </c>
      <c r="L301" s="2" t="inlineStr">
        <is>
          <t>New Zealand</t>
        </is>
      </c>
      <c r="M301" s="2" t="inlineStr">
        <is>
          <t>Christchurch</t>
        </is>
      </c>
      <c r="N301" s="2" t="inlineStr">
        <is>
          <t>New Zealand</t>
        </is>
      </c>
      <c r="P301" s="2" t="inlineStr">
        <is>
          <t>Operational Control</t>
        </is>
      </c>
      <c r="Q301" s="2" t="inlineStr">
        <is>
          <t>Operational Control</t>
        </is>
      </c>
      <c r="R301" s="2" t="inlineStr">
        <is>
          <t>Transport &amp; Infrastructure (T&amp;I)</t>
        </is>
      </c>
      <c r="S301" s="2" t="inlineStr">
        <is>
          <t>Downer</t>
        </is>
      </c>
      <c r="T301" s="2" t="n">
        <v>100</v>
      </c>
      <c r="W301" s="2" t="inlineStr">
        <is>
          <t>Classification</t>
        </is>
      </c>
      <c r="X301" s="2" t="n">
        <v>-43.5322485</v>
      </c>
      <c r="Y301" s="2" t="n">
        <v>172.634727</v>
      </c>
      <c r="Z301" s="2" t="n">
        <v>302</v>
      </c>
      <c r="AA301" s="11" t="n">
        <v>42917</v>
      </c>
    </row>
    <row r="302">
      <c r="A302" s="2" t="inlineStr">
        <is>
          <t>Downer</t>
        </is>
      </c>
      <c r="B302" s="2" t="inlineStr">
        <is>
          <t>_CLOSED_NZ-BP_South-Island_Terraces-Stage-2 - Buil</t>
        </is>
      </c>
      <c r="C302" s="2" t="inlineStr">
        <is>
          <t>Other</t>
        </is>
      </c>
      <c r="D302" s="2" t="inlineStr">
        <is>
          <t>L9.DNZJ.700097</t>
        </is>
      </c>
      <c r="E302" s="2" t="n">
        <v>5228</v>
      </c>
      <c r="G302" s="2" t="inlineStr">
        <is>
          <t>Project Site - Building Construction - New location established following purchase of Hawkins 2060 - The Terrace on Avon Ltd</t>
        </is>
      </c>
      <c r="H302" s="2" t="inlineStr">
        <is>
          <t>90 Hereford Street, Christchurch</t>
        </is>
      </c>
      <c r="I302" s="2" t="inlineStr">
        <is>
          <t>Christchurch</t>
        </is>
      </c>
      <c r="J302" s="2" t="inlineStr">
        <is>
          <t>Canterbury</t>
        </is>
      </c>
      <c r="K302" s="2" t="n">
        <v>8011</v>
      </c>
      <c r="L302" s="2" t="inlineStr">
        <is>
          <t>New Zealand</t>
        </is>
      </c>
      <c r="M302" s="2" t="inlineStr">
        <is>
          <t>Christchurch</t>
        </is>
      </c>
      <c r="N302" s="2" t="inlineStr">
        <is>
          <t>New Zealand</t>
        </is>
      </c>
      <c r="P302" s="2" t="inlineStr">
        <is>
          <t>Operational Control</t>
        </is>
      </c>
      <c r="Q302" s="2" t="inlineStr">
        <is>
          <t>Operational Control</t>
        </is>
      </c>
      <c r="R302" s="2" t="inlineStr">
        <is>
          <t>Transport &amp; Infrastructure (T&amp;I)</t>
        </is>
      </c>
      <c r="S302" s="2" t="inlineStr">
        <is>
          <t>Downer</t>
        </is>
      </c>
      <c r="T302" s="2" t="n">
        <v>100</v>
      </c>
      <c r="W302" s="2" t="inlineStr">
        <is>
          <t>Classification</t>
        </is>
      </c>
      <c r="X302" s="2" t="n">
        <v>-43.5322485</v>
      </c>
      <c r="Y302" s="2" t="n">
        <v>172.634727</v>
      </c>
      <c r="Z302" s="2" t="n">
        <v>302</v>
      </c>
      <c r="AA302" s="11" t="n">
        <v>42917</v>
      </c>
    </row>
    <row r="303">
      <c r="A303" s="2" t="inlineStr">
        <is>
          <t>Downer</t>
        </is>
      </c>
      <c r="B303" s="2" t="inlineStr">
        <is>
          <t>_CLOSED_NZ-BP_South-Island_Tower Junction Building</t>
        </is>
      </c>
      <c r="C303" s="2" t="inlineStr">
        <is>
          <t>Other</t>
        </is>
      </c>
      <c r="D303" s="2" t="inlineStr">
        <is>
          <t>L9.DNZ.HS0127</t>
        </is>
      </c>
      <c r="E303" s="2" t="n">
        <v>5232</v>
      </c>
      <c r="G303" s="2" t="inlineStr">
        <is>
          <t>Project Site - Building Construction - New location established following purchase of Hawkins 2064 - Ngai Tahu Property Limited</t>
        </is>
      </c>
      <c r="H303" s="2" t="inlineStr">
        <is>
          <t>Whiteleigh Avenue</t>
        </is>
      </c>
      <c r="I303" s="2" t="inlineStr">
        <is>
          <t>Christchurch</t>
        </is>
      </c>
      <c r="J303" s="2" t="inlineStr">
        <is>
          <t>Canterbury</t>
        </is>
      </c>
      <c r="K303" s="2" t="n">
        <v>8013</v>
      </c>
      <c r="L303" s="2" t="inlineStr">
        <is>
          <t>New Zealand</t>
        </is>
      </c>
      <c r="M303" s="2" t="inlineStr">
        <is>
          <t>Christchurch</t>
        </is>
      </c>
      <c r="N303" s="2" t="inlineStr">
        <is>
          <t>New Zealand</t>
        </is>
      </c>
      <c r="P303" s="2" t="inlineStr">
        <is>
          <t>Operational Control</t>
        </is>
      </c>
      <c r="Q303" s="2" t="inlineStr">
        <is>
          <t>Operational Control</t>
        </is>
      </c>
      <c r="R303" s="2" t="inlineStr">
        <is>
          <t>Transport &amp; Infrastructure (T&amp;I)</t>
        </is>
      </c>
      <c r="S303" s="2" t="inlineStr">
        <is>
          <t>Downer</t>
        </is>
      </c>
      <c r="T303" s="2" t="n">
        <v>100</v>
      </c>
      <c r="W303" s="2" t="inlineStr">
        <is>
          <t>Classification</t>
        </is>
      </c>
      <c r="X303" s="2" t="n">
        <v>-43.5387454</v>
      </c>
      <c r="Y303" s="2" t="n">
        <v>172.6064238</v>
      </c>
      <c r="Z303" s="2" t="n">
        <v>302</v>
      </c>
      <c r="AA303" s="11" t="n">
        <v>42917</v>
      </c>
    </row>
    <row r="304">
      <c r="A304" s="2" t="inlineStr">
        <is>
          <t>Downer</t>
        </is>
      </c>
      <c r="B304" s="2" t="inlineStr">
        <is>
          <t>_CLOSED_NZ-BP_South-Island_Westpac -SHF Fitout</t>
        </is>
      </c>
      <c r="C304" s="2" t="inlineStr">
        <is>
          <t>Other</t>
        </is>
      </c>
      <c r="D304" s="2" t="inlineStr">
        <is>
          <t>L9.DNZJ.149080</t>
        </is>
      </c>
      <c r="E304" s="2" t="n">
        <v>5244</v>
      </c>
      <c r="G304" s="2" t="inlineStr">
        <is>
          <t>Project Site - Building Construction - New location established following purchase of Hawkins 2076 - WESTPAC NZ INVESTMENTS LTD</t>
        </is>
      </c>
      <c r="H304" s="2" t="inlineStr">
        <is>
          <t>83 Cashel Street</t>
        </is>
      </c>
      <c r="I304" s="2" t="inlineStr">
        <is>
          <t>Christchurch</t>
        </is>
      </c>
      <c r="J304" s="2" t="inlineStr">
        <is>
          <t>Canterbury</t>
        </is>
      </c>
      <c r="K304" s="2" t="n">
        <v>8042</v>
      </c>
      <c r="L304" s="2" t="inlineStr">
        <is>
          <t>New Zealand</t>
        </is>
      </c>
      <c r="M304" s="2" t="inlineStr">
        <is>
          <t>Christchurch</t>
        </is>
      </c>
      <c r="N304" s="2" t="inlineStr">
        <is>
          <t>New Zealand</t>
        </is>
      </c>
      <c r="P304" s="2" t="inlineStr">
        <is>
          <t>Operational Control</t>
        </is>
      </c>
      <c r="Q304" s="2" t="inlineStr">
        <is>
          <t>Operational Control</t>
        </is>
      </c>
      <c r="R304" s="2" t="inlineStr">
        <is>
          <t>Transport &amp; Infrastructure (T&amp;I)</t>
        </is>
      </c>
      <c r="S304" s="2" t="inlineStr">
        <is>
          <t>Downer</t>
        </is>
      </c>
      <c r="T304" s="2" t="n">
        <v>100</v>
      </c>
      <c r="W304" s="2" t="inlineStr">
        <is>
          <t>Classification</t>
        </is>
      </c>
      <c r="X304" s="2" t="n">
        <v>-43.532985</v>
      </c>
      <c r="Y304" s="2" t="n">
        <v>172.6343614</v>
      </c>
      <c r="Z304" s="2" t="n">
        <v>302</v>
      </c>
      <c r="AA304" s="11" t="n">
        <v>43126</v>
      </c>
    </row>
    <row r="305">
      <c r="A305" s="2" t="inlineStr">
        <is>
          <t>Downer</t>
        </is>
      </c>
      <c r="B305" s="2" t="inlineStr">
        <is>
          <t>_CLOSED_NZ-BP_South-Island_Westpac-on-the-Terrace</t>
        </is>
      </c>
      <c r="C305" s="2" t="inlineStr">
        <is>
          <t>Other</t>
        </is>
      </c>
      <c r="D305" s="2" t="inlineStr">
        <is>
          <t>L9.DNZJ.149080</t>
        </is>
      </c>
      <c r="E305" s="2" t="n">
        <v>5250</v>
      </c>
      <c r="G305" s="2" t="inlineStr">
        <is>
          <t>Project Site - Building Construction - New location established following purchase of Hawkins 2082 - WESTPAC NZ INVESTMENTS LTD</t>
        </is>
      </c>
      <c r="H305" s="2" t="inlineStr">
        <is>
          <t>90 Hereford Street</t>
        </is>
      </c>
      <c r="I305" s="2" t="inlineStr">
        <is>
          <t>Christchurch</t>
        </is>
      </c>
      <c r="J305" s="2" t="inlineStr">
        <is>
          <t>Canterbury</t>
        </is>
      </c>
      <c r="K305" s="2" t="n">
        <v>8011</v>
      </c>
      <c r="L305" s="2" t="inlineStr">
        <is>
          <t>New Zealand</t>
        </is>
      </c>
      <c r="M305" s="2" t="inlineStr">
        <is>
          <t>Christchurch</t>
        </is>
      </c>
      <c r="N305" s="2" t="inlineStr">
        <is>
          <t>New Zealand</t>
        </is>
      </c>
      <c r="P305" s="2" t="inlineStr">
        <is>
          <t>Operational Control</t>
        </is>
      </c>
      <c r="Q305" s="2" t="inlineStr">
        <is>
          <t>Operational Control</t>
        </is>
      </c>
      <c r="R305" s="2" t="inlineStr">
        <is>
          <t>Transport &amp; Infrastructure (T&amp;I)</t>
        </is>
      </c>
      <c r="S305" s="2" t="inlineStr">
        <is>
          <t>Downer</t>
        </is>
      </c>
      <c r="T305" s="2" t="n">
        <v>100</v>
      </c>
      <c r="W305" s="2" t="inlineStr">
        <is>
          <t>Classification</t>
        </is>
      </c>
      <c r="X305" s="2" t="n">
        <v>-43.5322485</v>
      </c>
      <c r="Y305" s="2" t="n">
        <v>172.634727</v>
      </c>
      <c r="Z305" s="2" t="n">
        <v>302</v>
      </c>
      <c r="AA305" s="11" t="n">
        <v>43126</v>
      </c>
    </row>
    <row r="306">
      <c r="A306" s="2" t="inlineStr">
        <is>
          <t>Downer</t>
        </is>
      </c>
      <c r="B306" s="2" t="inlineStr">
        <is>
          <t>_CLOSED_NZ-BP_South-Island_Woolston Fire Station</t>
        </is>
      </c>
      <c r="C306" s="2" t="inlineStr">
        <is>
          <t>Other</t>
        </is>
      </c>
      <c r="D306" s="2" t="inlineStr">
        <is>
          <t>L9.DNZ.HI0312</t>
        </is>
      </c>
      <c r="E306" s="2" t="n">
        <v>5240</v>
      </c>
      <c r="G306" s="2" t="inlineStr">
        <is>
          <t>Project Site - Building Construction - New location established following purchase of Hawkins 2072 - New Zealand Fire Service</t>
        </is>
      </c>
      <c r="H306" s="2" t="inlineStr">
        <is>
          <t>925 Ferry Road, Woolston</t>
        </is>
      </c>
      <c r="I306" s="2" t="inlineStr">
        <is>
          <t>Christchurch</t>
        </is>
      </c>
      <c r="J306" s="2" t="inlineStr">
        <is>
          <t>Canterbury</t>
        </is>
      </c>
      <c r="K306" s="2" t="n">
        <v>9300</v>
      </c>
      <c r="L306" s="2" t="inlineStr">
        <is>
          <t>New Zealand</t>
        </is>
      </c>
      <c r="M306" s="2" t="inlineStr">
        <is>
          <t>Christchurch</t>
        </is>
      </c>
      <c r="N306" s="2" t="inlineStr">
        <is>
          <t>New Zealand</t>
        </is>
      </c>
      <c r="P306" s="2" t="inlineStr">
        <is>
          <t>Operational Control</t>
        </is>
      </c>
      <c r="Q306" s="2" t="inlineStr">
        <is>
          <t>Operational Control</t>
        </is>
      </c>
      <c r="R306" s="2" t="inlineStr">
        <is>
          <t>Transport &amp; Infrastructure (T&amp;I)</t>
        </is>
      </c>
      <c r="S306" s="2" t="inlineStr">
        <is>
          <t>Downer</t>
        </is>
      </c>
      <c r="T306" s="2" t="n">
        <v>100</v>
      </c>
      <c r="W306" s="2" t="inlineStr">
        <is>
          <t>Classification</t>
        </is>
      </c>
      <c r="X306" s="2" t="n">
        <v>-43.5558485</v>
      </c>
      <c r="Y306" s="2" t="n">
        <v>172.695747799999</v>
      </c>
      <c r="Z306" s="2" t="n">
        <v>302</v>
      </c>
      <c r="AA306" s="11" t="n">
        <v>42948</v>
      </c>
    </row>
    <row r="307">
      <c r="A307" s="2" t="inlineStr">
        <is>
          <t>Downer</t>
        </is>
      </c>
      <c r="B307" s="2" t="inlineStr">
        <is>
          <t>_CLOSED_NZ-BP_Wellington_Callaghan MSL Project</t>
        </is>
      </c>
      <c r="C307" s="2" t="inlineStr">
        <is>
          <t>Other</t>
        </is>
      </c>
      <c r="D307" s="2" t="inlineStr">
        <is>
          <t>L9.DNZ.HW0165</t>
        </is>
      </c>
      <c r="E307" s="2" t="n">
        <v>5224</v>
      </c>
      <c r="G307" s="2" t="inlineStr">
        <is>
          <t>Project Site - Building Construction - New location established following purchase of Hawkins 2056 - Callaghan Innovation</t>
        </is>
      </c>
      <c r="H307" s="2" t="inlineStr">
        <is>
          <t>69 Gracefield Road, Lower Hutt</t>
        </is>
      </c>
      <c r="I307" s="2" t="inlineStr">
        <is>
          <t>Wellington</t>
        </is>
      </c>
      <c r="J307" s="2" t="inlineStr">
        <is>
          <t>Wellington</t>
        </is>
      </c>
      <c r="K307" s="2" t="n">
        <v>8041</v>
      </c>
      <c r="L307" s="2" t="inlineStr">
        <is>
          <t>New Zealand</t>
        </is>
      </c>
      <c r="M307" s="2" t="inlineStr">
        <is>
          <t>Lower Hutt</t>
        </is>
      </c>
      <c r="N307" s="2" t="inlineStr">
        <is>
          <t>New Zealand</t>
        </is>
      </c>
      <c r="P307" s="2" t="inlineStr">
        <is>
          <t>Operational Control</t>
        </is>
      </c>
      <c r="Q307" s="2" t="inlineStr">
        <is>
          <t>Operational Control</t>
        </is>
      </c>
      <c r="R307" s="2" t="inlineStr">
        <is>
          <t>Transport &amp; Infrastructure (T&amp;I)</t>
        </is>
      </c>
      <c r="S307" s="2" t="inlineStr">
        <is>
          <t>Downer</t>
        </is>
      </c>
      <c r="T307" s="2" t="n">
        <v>100</v>
      </c>
      <c r="W307" s="2" t="inlineStr">
        <is>
          <t>Classification</t>
        </is>
      </c>
      <c r="X307" s="2" t="n">
        <v>-41.234943</v>
      </c>
      <c r="Y307" s="2" t="n">
        <v>174.917233</v>
      </c>
      <c r="Z307" s="2" t="n">
        <v>302</v>
      </c>
      <c r="AA307" s="11" t="n">
        <v>43076</v>
      </c>
    </row>
    <row r="308">
      <c r="A308" s="2" t="inlineStr">
        <is>
          <t>Downer</t>
        </is>
      </c>
      <c r="B308" s="2" t="inlineStr">
        <is>
          <t>_CLOSED_NZ-BP_Wellington_Kiwibank Fitout</t>
        </is>
      </c>
      <c r="C308" s="2" t="inlineStr">
        <is>
          <t>Other</t>
        </is>
      </c>
      <c r="D308" s="2" t="inlineStr">
        <is>
          <t>L9.DNZ.HW0158</t>
        </is>
      </c>
      <c r="E308" s="2" t="n">
        <v>5223</v>
      </c>
      <c r="G308" s="2" t="inlineStr">
        <is>
          <t>Project Site - Building Construction - New location established following purchase of Hawkins 2055 - Kiwibank Limited</t>
        </is>
      </c>
      <c r="H308" s="2" t="inlineStr">
        <is>
          <t>20 Customhouse Quay, Thorndon</t>
        </is>
      </c>
      <c r="I308" s="2" t="inlineStr">
        <is>
          <t>Wellington</t>
        </is>
      </c>
      <c r="J308" s="2" t="inlineStr">
        <is>
          <t>Wellington</t>
        </is>
      </c>
      <c r="K308" s="2" t="n">
        <v>4414</v>
      </c>
      <c r="L308" s="2" t="inlineStr">
        <is>
          <t>New Zealand</t>
        </is>
      </c>
      <c r="M308" s="2" t="inlineStr">
        <is>
          <t>Wellington</t>
        </is>
      </c>
      <c r="N308" s="2" t="inlineStr">
        <is>
          <t>New Zealand</t>
        </is>
      </c>
      <c r="P308" s="2" t="inlineStr">
        <is>
          <t>Operational Control</t>
        </is>
      </c>
      <c r="Q308" s="2" t="inlineStr">
        <is>
          <t>Operational Control</t>
        </is>
      </c>
      <c r="R308" s="2" t="inlineStr">
        <is>
          <t>Transport &amp; Infrastructure (T&amp;I)</t>
        </is>
      </c>
      <c r="S308" s="2" t="inlineStr">
        <is>
          <t>Downer</t>
        </is>
      </c>
      <c r="T308" s="2" t="n">
        <v>100</v>
      </c>
      <c r="W308" s="2" t="inlineStr">
        <is>
          <t>Classification</t>
        </is>
      </c>
      <c r="X308" s="2" t="n">
        <v>-41.282892</v>
      </c>
      <c r="Y308" s="2" t="n">
        <v>174.777897</v>
      </c>
      <c r="Z308" s="2" t="n">
        <v>302</v>
      </c>
      <c r="AA308" s="11" t="n">
        <v>43090</v>
      </c>
    </row>
    <row r="309">
      <c r="A309" s="2" t="inlineStr">
        <is>
          <t>Downer</t>
        </is>
      </c>
      <c r="B309" s="2" t="inlineStr">
        <is>
          <t>_CLOSED_NZ-BP_Wellington_Laby Building Level 2 LAB</t>
        </is>
      </c>
      <c r="C309" s="2" t="inlineStr">
        <is>
          <t>Other</t>
        </is>
      </c>
      <c r="D309" s="2" t="inlineStr">
        <is>
          <t>L9.DNZ.HW0148</t>
        </is>
      </c>
      <c r="E309" s="2" t="n">
        <v>5219</v>
      </c>
      <c r="G309" s="2" t="inlineStr">
        <is>
          <t>Project Site - Building Construction - New location established following purchase of Hawkins 2051 - Victoria University of Wellington</t>
        </is>
      </c>
      <c r="H309" s="2" t="inlineStr">
        <is>
          <t>1-21 Kelburn Parade, Victoria University of Wellington</t>
        </is>
      </c>
      <c r="I309" s="2" t="inlineStr">
        <is>
          <t>Wellington</t>
        </is>
      </c>
      <c r="J309" s="2" t="inlineStr">
        <is>
          <t>Wellington</t>
        </is>
      </c>
      <c r="K309" s="2" t="n">
        <v>6011</v>
      </c>
      <c r="L309" s="2" t="inlineStr">
        <is>
          <t>New Zealand</t>
        </is>
      </c>
      <c r="M309" s="2" t="inlineStr">
        <is>
          <t>Wellington</t>
        </is>
      </c>
      <c r="N309" s="2" t="inlineStr">
        <is>
          <t>New Zealand</t>
        </is>
      </c>
      <c r="P309" s="2" t="inlineStr">
        <is>
          <t>Operational Control</t>
        </is>
      </c>
      <c r="Q309" s="2" t="inlineStr">
        <is>
          <t>Operational Control</t>
        </is>
      </c>
      <c r="R309" s="2" t="inlineStr">
        <is>
          <t>Transport &amp; Infrastructure (T&amp;I)</t>
        </is>
      </c>
      <c r="S309" s="2" t="inlineStr">
        <is>
          <t>Downer</t>
        </is>
      </c>
      <c r="T309" s="2" t="n">
        <v>100</v>
      </c>
      <c r="W309" s="2" t="inlineStr">
        <is>
          <t>Classification</t>
        </is>
      </c>
      <c r="X309" s="2" t="n">
        <v>-41.289319</v>
      </c>
      <c r="Y309" s="2" t="n">
        <v>174.768741</v>
      </c>
      <c r="Z309" s="2" t="n">
        <v>302</v>
      </c>
      <c r="AA309" s="11" t="n">
        <v>42917</v>
      </c>
      <c r="AB309" s="11" t="n">
        <v>42978</v>
      </c>
    </row>
    <row r="310">
      <c r="A310" s="2" t="inlineStr">
        <is>
          <t>Downer</t>
        </is>
      </c>
      <c r="B310" s="2" t="inlineStr">
        <is>
          <t>_CLOSED_NZ-BP_Wellington_Scots College Boarding Ho</t>
        </is>
      </c>
      <c r="C310" s="2" t="inlineStr">
        <is>
          <t>Other</t>
        </is>
      </c>
      <c r="D310" s="2" t="inlineStr">
        <is>
          <t>L9.DNZ.HW0144</t>
        </is>
      </c>
      <c r="E310" s="2" t="n">
        <v>5215</v>
      </c>
      <c r="G310" s="2" t="inlineStr">
        <is>
          <t>Project Site - Building Construction - New location established following purchase of Hawkins 2047 - Scots College Incorporated</t>
        </is>
      </c>
      <c r="H310" s="2" t="inlineStr">
        <is>
          <t>1 Monorgan Road, Strathmore Park</t>
        </is>
      </c>
      <c r="I310" s="2" t="inlineStr">
        <is>
          <t>Wellington</t>
        </is>
      </c>
      <c r="J310" s="2" t="inlineStr">
        <is>
          <t>Wellington</t>
        </is>
      </c>
      <c r="K310" s="2" t="n">
        <v>6012</v>
      </c>
      <c r="L310" s="2" t="inlineStr">
        <is>
          <t>New Zealand</t>
        </is>
      </c>
      <c r="M310" s="2" t="inlineStr">
        <is>
          <t>Brooklyn</t>
        </is>
      </c>
      <c r="N310" s="2" t="inlineStr">
        <is>
          <t>New Zealand</t>
        </is>
      </c>
      <c r="P310" s="2" t="inlineStr">
        <is>
          <t>Operational Control</t>
        </is>
      </c>
      <c r="Q310" s="2" t="inlineStr">
        <is>
          <t>Operational Control</t>
        </is>
      </c>
      <c r="R310" s="2" t="inlineStr">
        <is>
          <t>Transport &amp; Infrastructure (T&amp;I)</t>
        </is>
      </c>
      <c r="S310" s="2" t="inlineStr">
        <is>
          <t>Downer</t>
        </is>
      </c>
      <c r="T310" s="2" t="n">
        <v>100</v>
      </c>
      <c r="W310" s="2" t="inlineStr">
        <is>
          <t>Classification</t>
        </is>
      </c>
      <c r="X310" s="2" t="n">
        <v>-41.328311</v>
      </c>
      <c r="Y310" s="2" t="n">
        <v>174.819293</v>
      </c>
      <c r="Z310" s="2" t="n">
        <v>302</v>
      </c>
      <c r="AA310" s="11" t="n">
        <v>42917</v>
      </c>
      <c r="AB310" s="11" t="n">
        <v>43131</v>
      </c>
    </row>
    <row r="311">
      <c r="A311" s="2" t="inlineStr">
        <is>
          <t>Downer</t>
        </is>
      </c>
      <c r="B311" s="2" t="inlineStr">
        <is>
          <t>_CLOSED_NZ-BP_Wellington_St-Pauls-Square-SHF-Contr</t>
        </is>
      </c>
      <c r="C311" s="2" t="inlineStr">
        <is>
          <t>Other</t>
        </is>
      </c>
      <c r="D311" s="2" t="inlineStr">
        <is>
          <t>L9.DNZ.HW0138</t>
        </is>
      </c>
      <c r="E311" s="2" t="n">
        <v>5214</v>
      </c>
      <c r="G311" s="2" t="inlineStr">
        <is>
          <t>Project Site - Building Construction - New location established following purchase of Hawkins 2046 - Department of Internal Affairs</t>
        </is>
      </c>
      <c r="H311" s="2" t="inlineStr">
        <is>
          <t>45-47 Pipitea Street, Thorndon</t>
        </is>
      </c>
      <c r="I311" s="2" t="inlineStr">
        <is>
          <t>Wellington</t>
        </is>
      </c>
      <c r="J311" s="2" t="inlineStr">
        <is>
          <t>Wellington</t>
        </is>
      </c>
      <c r="K311" s="2" t="n">
        <v>6011</v>
      </c>
      <c r="L311" s="2" t="inlineStr">
        <is>
          <t>New Zealand</t>
        </is>
      </c>
      <c r="M311" s="2" t="inlineStr">
        <is>
          <t>Wellington</t>
        </is>
      </c>
      <c r="N311" s="2" t="inlineStr">
        <is>
          <t>New Zealand</t>
        </is>
      </c>
      <c r="P311" s="2" t="inlineStr">
        <is>
          <t>Operational Control</t>
        </is>
      </c>
      <c r="Q311" s="2" t="inlineStr">
        <is>
          <t>Operational Control</t>
        </is>
      </c>
      <c r="R311" s="2" t="inlineStr">
        <is>
          <t>Transport &amp; Infrastructure (T&amp;I)</t>
        </is>
      </c>
      <c r="S311" s="2" t="inlineStr">
        <is>
          <t>Downer</t>
        </is>
      </c>
      <c r="T311" s="2" t="n">
        <v>100</v>
      </c>
      <c r="W311" s="2" t="inlineStr">
        <is>
          <t>Classification</t>
        </is>
      </c>
      <c r="X311" s="2" t="n">
        <v>-41.276081</v>
      </c>
      <c r="Y311" s="2" t="n">
        <v>174.778726</v>
      </c>
      <c r="Z311" s="2" t="n">
        <v>302</v>
      </c>
      <c r="AA311" s="11" t="n">
        <v>42917</v>
      </c>
      <c r="AB311" s="11" t="n">
        <v>43100</v>
      </c>
    </row>
    <row r="312">
      <c r="A312" s="2" t="inlineStr">
        <is>
          <t>Downer</t>
        </is>
      </c>
      <c r="B312" s="2" t="inlineStr">
        <is>
          <t>_CLOSED_NZ-BP_Wellington_Te Papa Museum Renewal L4</t>
        </is>
      </c>
      <c r="C312" s="2" t="inlineStr">
        <is>
          <t>Other</t>
        </is>
      </c>
      <c r="D312" s="2" t="inlineStr">
        <is>
          <t>L9.DNZ.HW0145</t>
        </is>
      </c>
      <c r="E312" s="2" t="n">
        <v>5216</v>
      </c>
      <c r="G312" s="2" t="inlineStr">
        <is>
          <t>Project Site - Building Construction - New location established following purchase of Hawkins 2048 - Museum of New Zealand</t>
        </is>
      </c>
      <c r="H312" s="2" t="inlineStr">
        <is>
          <t>55 Cable Street, CBD</t>
        </is>
      </c>
      <c r="I312" s="2" t="inlineStr">
        <is>
          <t>Wellington</t>
        </is>
      </c>
      <c r="J312" s="2" t="inlineStr">
        <is>
          <t>Wellington</t>
        </is>
      </c>
      <c r="K312" s="2" t="n">
        <v>6011</v>
      </c>
      <c r="L312" s="2" t="inlineStr">
        <is>
          <t>New Zealand</t>
        </is>
      </c>
      <c r="M312" s="2" t="inlineStr">
        <is>
          <t>Wellington</t>
        </is>
      </c>
      <c r="N312" s="2" t="inlineStr">
        <is>
          <t>New Zealand</t>
        </is>
      </c>
      <c r="P312" s="2" t="inlineStr">
        <is>
          <t>Operational Control</t>
        </is>
      </c>
      <c r="Q312" s="2" t="inlineStr">
        <is>
          <t>Operational Control</t>
        </is>
      </c>
      <c r="R312" s="2" t="inlineStr">
        <is>
          <t>Transport &amp; Infrastructure (T&amp;I)</t>
        </is>
      </c>
      <c r="S312" s="2" t="inlineStr">
        <is>
          <t>Downer</t>
        </is>
      </c>
      <c r="T312" s="2" t="n">
        <v>100</v>
      </c>
      <c r="W312" s="2" t="inlineStr">
        <is>
          <t>Classification</t>
        </is>
      </c>
      <c r="X312" s="2" t="n">
        <v>-41.290502</v>
      </c>
      <c r="Y312" s="2" t="n">
        <v>174.781737</v>
      </c>
      <c r="Z312" s="2" t="n">
        <v>302</v>
      </c>
      <c r="AA312" s="11" t="n">
        <v>42917</v>
      </c>
      <c r="AB312" s="11" t="n">
        <v>43159</v>
      </c>
    </row>
    <row r="313">
      <c r="A313" s="2" t="inlineStr">
        <is>
          <t>Downer</t>
        </is>
      </c>
      <c r="B313" s="2" t="inlineStr">
        <is>
          <t>_CLOSED_NZ-BP_Wellington_TW-487 PN Hospital Substa</t>
        </is>
      </c>
      <c r="C313" s="2" t="inlineStr">
        <is>
          <t>Other</t>
        </is>
      </c>
      <c r="D313" s="2" t="inlineStr">
        <is>
          <t>L9.DNZ.HW0160</t>
        </is>
      </c>
      <c r="E313" s="2" t="n">
        <v>5225</v>
      </c>
      <c r="G313" s="2" t="inlineStr">
        <is>
          <t>Project Site - Building Construction - New location established following purchase of Hawkins 2057 - Downer New Zealand Limited</t>
        </is>
      </c>
      <c r="H313" s="2" t="inlineStr">
        <is>
          <t>Ruahine St, Roslyn, Palmerston North</t>
        </is>
      </c>
      <c r="I313" s="2" t="inlineStr">
        <is>
          <t>Palmerston North</t>
        </is>
      </c>
      <c r="J313" s="2" t="inlineStr">
        <is>
          <t>Manawatu</t>
        </is>
      </c>
      <c r="K313" s="2" t="n">
        <v>8041</v>
      </c>
      <c r="L313" s="2" t="inlineStr">
        <is>
          <t>New Zealand</t>
        </is>
      </c>
      <c r="M313" s="2" t="inlineStr">
        <is>
          <t>Palmerston North</t>
        </is>
      </c>
      <c r="N313" s="2" t="inlineStr">
        <is>
          <t>New Zealand</t>
        </is>
      </c>
      <c r="P313" s="2" t="inlineStr">
        <is>
          <t>Operational Control</t>
        </is>
      </c>
      <c r="Q313" s="2" t="inlineStr">
        <is>
          <t>Operational Control</t>
        </is>
      </c>
      <c r="R313" s="2" t="inlineStr">
        <is>
          <t>Transport &amp; Infrastructure (T&amp;I)</t>
        </is>
      </c>
      <c r="S313" s="2" t="inlineStr">
        <is>
          <t>Downer</t>
        </is>
      </c>
      <c r="T313" s="2" t="n">
        <v>100</v>
      </c>
      <c r="W313" s="2" t="inlineStr">
        <is>
          <t>Classification</t>
        </is>
      </c>
      <c r="X313" s="2" t="n">
        <v>-40.338988</v>
      </c>
      <c r="Y313" s="2" t="n">
        <v>175.619717</v>
      </c>
      <c r="Z313" s="2" t="n">
        <v>302</v>
      </c>
      <c r="AA313" s="11" t="n">
        <v>43166</v>
      </c>
    </row>
    <row r="314">
      <c r="A314" s="2" t="inlineStr">
        <is>
          <t>Downer</t>
        </is>
      </c>
      <c r="B314" s="2" t="inlineStr">
        <is>
          <t>_CLOSED_NZ-BP_Wellington_Victoria Villas</t>
        </is>
      </c>
      <c r="C314" s="2" t="inlineStr">
        <is>
          <t>Other</t>
        </is>
      </c>
      <c r="D314" s="2" t="inlineStr">
        <is>
          <t>L9.DNZ.HW0156</t>
        </is>
      </c>
      <c r="E314" s="2" t="n">
        <v>5222</v>
      </c>
      <c r="G314" s="2" t="inlineStr">
        <is>
          <t>Project Site - Building Construction - New location established following purchase of Hawkins 2054 - Victoria Villas Body Corporate</t>
        </is>
      </c>
      <c r="H314" s="2" t="inlineStr">
        <is>
          <t>35 Pirie Street, Mt. Victoria</t>
        </is>
      </c>
      <c r="I314" s="2" t="inlineStr">
        <is>
          <t>Wellington</t>
        </is>
      </c>
      <c r="J314" s="2" t="inlineStr">
        <is>
          <t>Wellington</t>
        </is>
      </c>
      <c r="K314" s="2" t="n">
        <v>5010</v>
      </c>
      <c r="L314" s="2" t="inlineStr">
        <is>
          <t>New Zealand</t>
        </is>
      </c>
      <c r="M314" s="2" t="inlineStr">
        <is>
          <t>Kelburn</t>
        </is>
      </c>
      <c r="N314" s="2" t="inlineStr">
        <is>
          <t>New Zealand</t>
        </is>
      </c>
      <c r="P314" s="2" t="inlineStr">
        <is>
          <t>Operational Control</t>
        </is>
      </c>
      <c r="Q314" s="2" t="inlineStr">
        <is>
          <t>Operational Control</t>
        </is>
      </c>
      <c r="R314" s="2" t="inlineStr">
        <is>
          <t>Transport &amp; Infrastructure (T&amp;I)</t>
        </is>
      </c>
      <c r="S314" s="2" t="inlineStr">
        <is>
          <t>Downer</t>
        </is>
      </c>
      <c r="T314" s="2" t="n">
        <v>100</v>
      </c>
      <c r="W314" s="2" t="inlineStr">
        <is>
          <t>Classification</t>
        </is>
      </c>
      <c r="X314" s="2" t="n">
        <v>-41.297232</v>
      </c>
      <c r="Y314" s="2" t="n">
        <v>174.783971</v>
      </c>
      <c r="Z314" s="2" t="n">
        <v>301</v>
      </c>
      <c r="AA314" s="11" t="n">
        <v>43006</v>
      </c>
    </row>
    <row r="315">
      <c r="A315" s="2" t="inlineStr">
        <is>
          <t>Downer</t>
        </is>
      </c>
      <c r="B315" s="2" t="inlineStr">
        <is>
          <t>_CLOSED_NZ-Depot_FSU_AESmith_AucklandCBD</t>
        </is>
      </c>
      <c r="C315" s="2" t="inlineStr">
        <is>
          <t>Depot</t>
        </is>
      </c>
      <c r="D315" s="2" t="inlineStr">
        <is>
          <t>L9.DUN.70110</t>
        </is>
      </c>
      <c r="E315" s="2" t="inlineStr">
        <is>
          <t>L9.DUN.70110</t>
        </is>
      </c>
      <c r="M315" s="2" t="inlineStr">
        <is>
          <t>Auckland</t>
        </is>
      </c>
      <c r="N315" s="2" t="inlineStr">
        <is>
          <t>New Zealand</t>
        </is>
      </c>
      <c r="P315" s="2" t="inlineStr">
        <is>
          <t>Operational Control</t>
        </is>
      </c>
      <c r="Q315" s="2" t="inlineStr">
        <is>
          <t>Operational Control</t>
        </is>
      </c>
      <c r="R315" s="2" t="inlineStr">
        <is>
          <t>Energy and Utilities (EU)</t>
        </is>
      </c>
      <c r="S315" s="2" t="inlineStr">
        <is>
          <t>Downer</t>
        </is>
      </c>
      <c r="T315" s="2" t="n">
        <v>100</v>
      </c>
      <c r="W315" s="2" t="inlineStr">
        <is>
          <t>Classification</t>
        </is>
      </c>
    </row>
    <row r="316">
      <c r="A316" s="2" t="inlineStr">
        <is>
          <t>Downer</t>
        </is>
      </c>
      <c r="B316" s="2" t="inlineStr">
        <is>
          <t>_CLOSED_NZ-Depot_FSU_Dunedin</t>
        </is>
      </c>
      <c r="C316" s="2" t="inlineStr">
        <is>
          <t>Depot</t>
        </is>
      </c>
      <c r="D316" s="2" t="inlineStr">
        <is>
          <t>L9.DNZ.810.20162</t>
        </is>
      </c>
      <c r="E316" s="2" t="n">
        <v>5262</v>
      </c>
      <c r="G316" s="2" t="inlineStr">
        <is>
          <t>Support Services for FSU - added in FY19 following integration of Spotless business</t>
        </is>
      </c>
      <c r="M316" s="2" t="inlineStr">
        <is>
          <t>Dunedin</t>
        </is>
      </c>
      <c r="N316" s="2" t="inlineStr">
        <is>
          <t>New Zealand</t>
        </is>
      </c>
      <c r="P316" s="2" t="inlineStr">
        <is>
          <t>Operational Control</t>
        </is>
      </c>
      <c r="Q316" s="2" t="inlineStr">
        <is>
          <t>Operational Control</t>
        </is>
      </c>
      <c r="R316" s="2" t="inlineStr">
        <is>
          <t>Energy and Utilities (EU)</t>
        </is>
      </c>
      <c r="S316" s="2" t="inlineStr">
        <is>
          <t>Downer</t>
        </is>
      </c>
      <c r="T316" s="2" t="n">
        <v>100</v>
      </c>
      <c r="W316" s="2" t="inlineStr">
        <is>
          <t>Classification</t>
        </is>
      </c>
    </row>
    <row r="317">
      <c r="A317" s="2" t="inlineStr">
        <is>
          <t>Downer</t>
        </is>
      </c>
      <c r="B317" s="2" t="inlineStr">
        <is>
          <t>_CLOSED_NZ-Depot_FSU_Hamilton</t>
        </is>
      </c>
      <c r="C317" s="2" t="inlineStr">
        <is>
          <t>Depot</t>
        </is>
      </c>
      <c r="D317" s="2" t="inlineStr">
        <is>
          <t>L9.DNZJ.159370</t>
        </is>
      </c>
      <c r="E317" s="2" t="n">
        <v>5264</v>
      </c>
      <c r="M317" s="2" t="inlineStr">
        <is>
          <t>Hamilton</t>
        </is>
      </c>
      <c r="N317" s="2" t="inlineStr">
        <is>
          <t>New Zealand</t>
        </is>
      </c>
      <c r="P317" s="2" t="inlineStr">
        <is>
          <t>Operational Control</t>
        </is>
      </c>
      <c r="Q317" s="2" t="inlineStr">
        <is>
          <t>Operational Control</t>
        </is>
      </c>
      <c r="R317" s="2" t="inlineStr">
        <is>
          <t>Energy and Utilities (EU)</t>
        </is>
      </c>
      <c r="S317" s="2" t="inlineStr">
        <is>
          <t>Downer</t>
        </is>
      </c>
      <c r="T317" s="2" t="n">
        <v>100</v>
      </c>
      <c r="W317" s="2" t="inlineStr">
        <is>
          <t>Classification</t>
        </is>
      </c>
    </row>
    <row r="318">
      <c r="A318" s="2" t="inlineStr">
        <is>
          <t>Downer</t>
        </is>
      </c>
      <c r="B318" s="2" t="inlineStr">
        <is>
          <t>_CLOSED_NZ-Depot_FSU_New Plymouth</t>
        </is>
      </c>
      <c r="C318" s="2" t="inlineStr">
        <is>
          <t>Depot</t>
        </is>
      </c>
      <c r="D318" s="2" t="inlineStr">
        <is>
          <t>L9.DUN.60210</t>
        </is>
      </c>
      <c r="E318" s="2" t="n">
        <v>5265</v>
      </c>
      <c r="G318" s="2" t="inlineStr">
        <is>
          <t>Support Services for FSU - added in FY19 following integration of Spotless business</t>
        </is>
      </c>
      <c r="M318" s="2" t="inlineStr">
        <is>
          <t>New Plymouth</t>
        </is>
      </c>
      <c r="N318" s="2" t="inlineStr">
        <is>
          <t>New Zealand</t>
        </is>
      </c>
      <c r="P318" s="2" t="inlineStr">
        <is>
          <t>Operational Control</t>
        </is>
      </c>
      <c r="Q318" s="2" t="inlineStr">
        <is>
          <t>Operational Control</t>
        </is>
      </c>
      <c r="R318" s="2" t="inlineStr">
        <is>
          <t>Energy and Utilities (EU)</t>
        </is>
      </c>
      <c r="S318" s="2" t="inlineStr">
        <is>
          <t>Downer</t>
        </is>
      </c>
      <c r="T318" s="2" t="n">
        <v>100</v>
      </c>
      <c r="W318" s="2" t="inlineStr">
        <is>
          <t>Classification</t>
        </is>
      </c>
    </row>
    <row r="319">
      <c r="A319" s="2" t="inlineStr">
        <is>
          <t>Downer</t>
        </is>
      </c>
      <c r="B319" s="2" t="inlineStr">
        <is>
          <t>_CLOSED_NZ-Depot_FSU_Palmerston North</t>
        </is>
      </c>
      <c r="C319" s="2" t="inlineStr">
        <is>
          <t>Depot</t>
        </is>
      </c>
      <c r="D319" s="2" t="inlineStr">
        <is>
          <t>L9.DUN.1522</t>
        </is>
      </c>
      <c r="E319" s="2" t="n">
        <v>5261</v>
      </c>
      <c r="G319" s="2" t="inlineStr">
        <is>
          <t>Support Services for FSU - added in FY19 following integration of Spotless business</t>
        </is>
      </c>
      <c r="M319" s="2" t="inlineStr">
        <is>
          <t>Palmerston North</t>
        </is>
      </c>
      <c r="N319" s="2" t="inlineStr">
        <is>
          <t>New Zealand</t>
        </is>
      </c>
      <c r="P319" s="2" t="inlineStr">
        <is>
          <t>Operational Control</t>
        </is>
      </c>
      <c r="Q319" s="2" t="inlineStr">
        <is>
          <t>Operational Control</t>
        </is>
      </c>
      <c r="R319" s="2" t="inlineStr">
        <is>
          <t>Energy and Utilities (EU)</t>
        </is>
      </c>
      <c r="S319" s="2" t="inlineStr">
        <is>
          <t>Downer</t>
        </is>
      </c>
      <c r="T319" s="2" t="n">
        <v>100</v>
      </c>
      <c r="W319" s="2" t="inlineStr">
        <is>
          <t>Classification</t>
        </is>
      </c>
    </row>
    <row r="320">
      <c r="A320" s="2" t="inlineStr">
        <is>
          <t>Downer</t>
        </is>
      </c>
      <c r="B320" s="2" t="inlineStr">
        <is>
          <t>_CLOSED_NZ-Depot_FSU_Util_P&amp;G_Elec_Coromandel</t>
        </is>
      </c>
      <c r="C320" s="2" t="inlineStr">
        <is>
          <t>Other</t>
        </is>
      </c>
      <c r="D320" s="2" t="inlineStr">
        <is>
          <t>L9.DNZ.810.20935</t>
        </is>
      </c>
      <c r="E320" s="2" t="n">
        <v>5156</v>
      </c>
      <c r="G320" s="2" t="inlineStr">
        <is>
          <t>Support Services for Utilities P&amp;G Business - New facilities established for more granular reporting and to reflect new structure for FY17. See facility named "NZ-Technology Solutions &amp; Corporate Services" for historical data.</t>
        </is>
      </c>
      <c r="H320" s="2" t="inlineStr">
        <is>
          <t>710 Wharf Road</t>
        </is>
      </c>
      <c r="I320" s="2" t="inlineStr">
        <is>
          <t>Coromandel</t>
        </is>
      </c>
      <c r="J320" s="2" t="inlineStr">
        <is>
          <t>Waikato</t>
        </is>
      </c>
      <c r="K320" s="2" t="n">
        <v>4312</v>
      </c>
      <c r="L320" s="2" t="inlineStr">
        <is>
          <t>New Zealand</t>
        </is>
      </c>
      <c r="M320" s="2" t="inlineStr">
        <is>
          <t>Coromandel</t>
        </is>
      </c>
      <c r="N320" s="2" t="inlineStr">
        <is>
          <t>New Zealand</t>
        </is>
      </c>
      <c r="P320" s="2" t="inlineStr">
        <is>
          <t>Operational Control</t>
        </is>
      </c>
      <c r="Q320" s="2" t="inlineStr">
        <is>
          <t>Operational Control</t>
        </is>
      </c>
      <c r="R320" s="2" t="inlineStr">
        <is>
          <t>Energy and Utilities (EU)</t>
        </is>
      </c>
      <c r="S320" s="2" t="inlineStr">
        <is>
          <t>Downer</t>
        </is>
      </c>
      <c r="T320" s="2" t="n">
        <v>100</v>
      </c>
      <c r="W320" s="2" t="inlineStr">
        <is>
          <t>Classification</t>
        </is>
      </c>
      <c r="X320" s="2" t="n">
        <v>-36.7619366</v>
      </c>
      <c r="Y320" s="2" t="n">
        <v>175.4898005</v>
      </c>
      <c r="Z320" s="2" t="n">
        <v>310</v>
      </c>
      <c r="AA320" s="11" t="n">
        <v>42917</v>
      </c>
    </row>
    <row r="321">
      <c r="A321" s="2" t="inlineStr">
        <is>
          <t>Downer</t>
        </is>
      </c>
      <c r="B321" s="2" t="inlineStr">
        <is>
          <t>_CLOSED_NZ-Depot_TS_Gore</t>
        </is>
      </c>
      <c r="C321" s="2" t="inlineStr">
        <is>
          <t>Other</t>
        </is>
      </c>
      <c r="D321" s="2" t="inlineStr">
        <is>
          <t>L9.DNZJ.55672</t>
        </is>
      </c>
      <c r="E321" s="2" t="n">
        <v>5030</v>
      </c>
      <c r="F321" s="2" t="inlineStr">
        <is>
          <t>A</t>
        </is>
      </c>
      <c r="G321" s="2" t="inlineStr">
        <is>
          <t>Support Services for TS - New facilities established for more granular reporting and to reflect new structure for FY17. See facility named "NZ-Infrastructure Services" for historical data.</t>
        </is>
      </c>
      <c r="H321" s="2" t="inlineStr">
        <is>
          <t>12 Oreti Street, East Gore</t>
        </is>
      </c>
      <c r="I321" s="2" t="inlineStr">
        <is>
          <t>Gore</t>
        </is>
      </c>
      <c r="J321" s="2" t="inlineStr">
        <is>
          <t>Southland</t>
        </is>
      </c>
      <c r="K321" s="2" t="n">
        <v>4175</v>
      </c>
      <c r="L321" s="2" t="inlineStr">
        <is>
          <t>New Zealand</t>
        </is>
      </c>
      <c r="M321" s="2" t="inlineStr">
        <is>
          <t>Gore</t>
        </is>
      </c>
      <c r="N321" s="2" t="inlineStr">
        <is>
          <t>New Zealand</t>
        </is>
      </c>
      <c r="P321" s="2" t="inlineStr">
        <is>
          <t>Operational Control</t>
        </is>
      </c>
      <c r="Q321" s="2" t="inlineStr">
        <is>
          <t>Operational Control</t>
        </is>
      </c>
      <c r="R321" s="2" t="inlineStr">
        <is>
          <t>Transport &amp; Infrastructure (T&amp;I)</t>
        </is>
      </c>
      <c r="S321" s="2" t="inlineStr">
        <is>
          <t>Downer</t>
        </is>
      </c>
      <c r="T321" s="2" t="n">
        <v>100</v>
      </c>
      <c r="U321" s="2" t="inlineStr">
        <is>
          <t>1899/12/31</t>
        </is>
      </c>
      <c r="W321" s="2" t="inlineStr">
        <is>
          <t>Classification</t>
        </is>
      </c>
      <c r="X321" s="2" t="n">
        <v>-46.1162293999999</v>
      </c>
      <c r="Y321" s="2" t="n">
        <v>168.927541199999</v>
      </c>
      <c r="Z321" s="2" t="n">
        <v>729</v>
      </c>
      <c r="AA321" s="11" t="n">
        <v>42917</v>
      </c>
    </row>
    <row r="322">
      <c r="A322" s="2" t="inlineStr">
        <is>
          <t>Downer</t>
        </is>
      </c>
      <c r="B322" s="2" t="inlineStr">
        <is>
          <t>_CLOSED_NZ-Depot_TS_Kurow (Excell)</t>
        </is>
      </c>
      <c r="C322" s="2" t="inlineStr">
        <is>
          <t>Other</t>
        </is>
      </c>
      <c r="D322" s="2" t="inlineStr">
        <is>
          <t>L9.DNZJ.55638</t>
        </is>
      </c>
      <c r="E322" s="2" t="n">
        <v>5038</v>
      </c>
      <c r="G322" s="2" t="inlineStr">
        <is>
          <t>Support Services for TS - New facilities established for more granular reporting and to reflect new structure for FY17. See facility named "NZ-Infrastructure Services" for historical data.</t>
        </is>
      </c>
      <c r="H322" s="2" t="inlineStr">
        <is>
          <t>2 Gordon Street</t>
        </is>
      </c>
      <c r="I322" s="2" t="inlineStr">
        <is>
          <t>Kurow</t>
        </is>
      </c>
      <c r="J322" s="2" t="inlineStr">
        <is>
          <t>Otago</t>
        </is>
      </c>
      <c r="K322" s="2" t="n">
        <v>5012</v>
      </c>
      <c r="L322" s="2" t="inlineStr">
        <is>
          <t>New Zealand</t>
        </is>
      </c>
      <c r="M322" s="2" t="inlineStr">
        <is>
          <t>Kurow</t>
        </is>
      </c>
      <c r="N322" s="2" t="inlineStr">
        <is>
          <t>New Zealand</t>
        </is>
      </c>
      <c r="P322" s="2" t="inlineStr">
        <is>
          <t>Operational Control</t>
        </is>
      </c>
      <c r="Q322" s="2" t="inlineStr">
        <is>
          <t>Operational Control</t>
        </is>
      </c>
      <c r="R322" s="2" t="inlineStr">
        <is>
          <t>Transport &amp; Infrastructure (T&amp;I)</t>
        </is>
      </c>
      <c r="S322" s="2" t="inlineStr">
        <is>
          <t>Downer</t>
        </is>
      </c>
      <c r="T322" s="2" t="n">
        <v>100</v>
      </c>
      <c r="U322" s="2" t="inlineStr">
        <is>
          <t>1899/12/31</t>
        </is>
      </c>
      <c r="W322" s="2" t="inlineStr">
        <is>
          <t>Classification</t>
        </is>
      </c>
      <c r="X322" s="2" t="n">
        <v>-44.7369898</v>
      </c>
      <c r="Y322" s="2" t="n">
        <v>170.470681</v>
      </c>
      <c r="Z322" s="2" t="n">
        <v>729</v>
      </c>
      <c r="AA322" s="11" t="n">
        <v>42917</v>
      </c>
    </row>
    <row r="323">
      <c r="A323" s="2" t="inlineStr">
        <is>
          <t>Downer</t>
        </is>
      </c>
      <c r="B323" s="2" t="inlineStr">
        <is>
          <t>_CLOSED_NZ-IP_South_Dundas-St-Bridge-Culvert-Upgra</t>
        </is>
      </c>
      <c r="C323" s="2" t="inlineStr">
        <is>
          <t>Construction Site</t>
        </is>
      </c>
      <c r="D323" s="2" t="inlineStr">
        <is>
          <t>L9.DNZJ.DS2641</t>
        </is>
      </c>
      <c r="E323" s="2" t="n">
        <v>5313</v>
      </c>
      <c r="M323" s="2" t="inlineStr">
        <is>
          <t>Otago</t>
        </is>
      </c>
      <c r="N323" s="2" t="inlineStr">
        <is>
          <t>New Zealand</t>
        </is>
      </c>
      <c r="P323" s="2" t="inlineStr">
        <is>
          <t>Operational Control</t>
        </is>
      </c>
      <c r="Q323" s="2" t="inlineStr">
        <is>
          <t>Operational Control</t>
        </is>
      </c>
      <c r="R323" s="2" t="inlineStr">
        <is>
          <t>Transport &amp; Infrastructure (T&amp;I)</t>
        </is>
      </c>
      <c r="S323" s="2" t="inlineStr">
        <is>
          <t>Downer</t>
        </is>
      </c>
      <c r="T323" s="2" t="n">
        <v>100</v>
      </c>
      <c r="U323" s="2" t="inlineStr">
        <is>
          <t>1899/12/31</t>
        </is>
      </c>
      <c r="W323" s="2" t="inlineStr">
        <is>
          <t>Classification</t>
        </is>
      </c>
    </row>
    <row r="324">
      <c r="A324" s="2" t="inlineStr">
        <is>
          <t>Downer</t>
        </is>
      </c>
      <c r="B324" s="2" t="inlineStr">
        <is>
          <t>_CLOSED_NZ-Office_BP_Central_RSO-Tauranga</t>
        </is>
      </c>
      <c r="C324" s="2" t="inlineStr">
        <is>
          <t>Other</t>
        </is>
      </c>
      <c r="D324" s="2" t="inlineStr">
        <is>
          <t>L9.DUN.1617</t>
        </is>
      </c>
      <c r="E324" s="2" t="n">
        <v>5198</v>
      </c>
      <c r="G324" s="2" t="inlineStr">
        <is>
          <t>Support services for projects located at numerous sites throughout Eastern BOP - New location established following purchase of Hawkins 2030</t>
        </is>
      </c>
      <c r="H324" s="2" t="inlineStr">
        <is>
          <t>Unit 3, 144 Third Avenue</t>
        </is>
      </c>
      <c r="I324" s="2" t="inlineStr">
        <is>
          <t>Tauranga</t>
        </is>
      </c>
      <c r="J324" s="2" t="inlineStr">
        <is>
          <t>Bay of Plenty</t>
        </is>
      </c>
      <c r="K324" s="2" t="n">
        <v>3116</v>
      </c>
      <c r="L324" s="2" t="inlineStr">
        <is>
          <t>New Zealand</t>
        </is>
      </c>
      <c r="M324" s="2" t="inlineStr">
        <is>
          <t>Tauranga</t>
        </is>
      </c>
      <c r="N324" s="2" t="inlineStr">
        <is>
          <t>New Zealand</t>
        </is>
      </c>
      <c r="P324" s="2" t="inlineStr">
        <is>
          <t>Operational Control</t>
        </is>
      </c>
      <c r="Q324" s="2" t="inlineStr">
        <is>
          <t>Operational Control</t>
        </is>
      </c>
      <c r="R324" s="2" t="inlineStr">
        <is>
          <t>Transport &amp; Infrastructure (T&amp;I)</t>
        </is>
      </c>
      <c r="S324" s="2" t="inlineStr">
        <is>
          <t>Downer</t>
        </is>
      </c>
      <c r="T324" s="2" t="n">
        <v>100</v>
      </c>
      <c r="W324" s="2" t="inlineStr">
        <is>
          <t>Classification</t>
        </is>
      </c>
      <c r="X324" s="2" t="n">
        <v>-37.689342</v>
      </c>
      <c r="Y324" s="2" t="n">
        <v>176.160316</v>
      </c>
      <c r="Z324" s="2" t="n">
        <v>301</v>
      </c>
      <c r="AA324" s="11" t="n">
        <v>42917</v>
      </c>
      <c r="AB324" s="11" t="n">
        <v>43069</v>
      </c>
    </row>
    <row r="325">
      <c r="A325" s="2" t="inlineStr">
        <is>
          <t>Downer</t>
        </is>
      </c>
      <c r="B325" s="2" t="inlineStr">
        <is>
          <t>_CLOSED_NZ-Samoa</t>
        </is>
      </c>
      <c r="C325" s="2" t="inlineStr">
        <is>
          <t>Office</t>
        </is>
      </c>
      <c r="D325" s="2" t="inlineStr">
        <is>
          <t>L9.DNZJ.300203</t>
        </is>
      </c>
      <c r="E325" s="2" t="n">
        <v>5260</v>
      </c>
      <c r="G325" s="2" t="inlineStr">
        <is>
          <t>Project Site - Infrastructure Projects - New location established in FY19</t>
        </is>
      </c>
      <c r="M325" s="2" t="inlineStr">
        <is>
          <t>Fa‘asaleleaga</t>
        </is>
      </c>
      <c r="N325" s="2" t="inlineStr">
        <is>
          <t>Samoa</t>
        </is>
      </c>
      <c r="P325" s="2" t="inlineStr">
        <is>
          <t>Operational Control</t>
        </is>
      </c>
      <c r="Q325" s="2" t="inlineStr">
        <is>
          <t>Operational Control</t>
        </is>
      </c>
      <c r="R325" s="2" t="inlineStr">
        <is>
          <t>Transport &amp; Infrastructure (T&amp;I)</t>
        </is>
      </c>
      <c r="S325" s="2" t="inlineStr">
        <is>
          <t>Downer</t>
        </is>
      </c>
      <c r="T325" s="2" t="n">
        <v>100</v>
      </c>
      <c r="U325" s="2" t="inlineStr">
        <is>
          <t>1899/12/31</t>
        </is>
      </c>
      <c r="W325" s="2" t="inlineStr">
        <is>
          <t>Classification</t>
        </is>
      </c>
    </row>
    <row r="326">
      <c r="A326" s="2" t="inlineStr">
        <is>
          <t>Downer</t>
        </is>
      </c>
      <c r="B326" s="2" t="inlineStr">
        <is>
          <t>_CLOSED_NZ-Support_BP_Recharges</t>
        </is>
      </c>
      <c r="C326" s="2" t="inlineStr">
        <is>
          <t>Office</t>
        </is>
      </c>
      <c r="D326" s="2" t="inlineStr">
        <is>
          <t>L9.DNZJ.149080</t>
        </is>
      </c>
      <c r="E326" s="2" t="n">
        <v>5304</v>
      </c>
      <c r="F326" s="2" t="n">
        <v>5304</v>
      </c>
      <c r="M326" s="2" t="inlineStr">
        <is>
          <t>Auckland</t>
        </is>
      </c>
      <c r="N326" s="2" t="inlineStr">
        <is>
          <t>New Zealand</t>
        </is>
      </c>
      <c r="P326" s="2" t="inlineStr">
        <is>
          <t>Operational Control</t>
        </is>
      </c>
      <c r="Q326" s="2" t="inlineStr">
        <is>
          <t>Operational Control</t>
        </is>
      </c>
      <c r="R326" s="2" t="inlineStr">
        <is>
          <t>Transport &amp; Infrastructure (T&amp;I)</t>
        </is>
      </c>
      <c r="S326" s="2" t="inlineStr">
        <is>
          <t>Downer</t>
        </is>
      </c>
      <c r="T326" s="2" t="n">
        <v>100</v>
      </c>
      <c r="W326" s="2" t="inlineStr">
        <is>
          <t>Classification</t>
        </is>
      </c>
    </row>
    <row r="327">
      <c r="A327" s="2" t="inlineStr">
        <is>
          <t>Downer</t>
        </is>
      </c>
      <c r="B327" s="2" t="inlineStr">
        <is>
          <t>_CLOSED_Office_Amelia Earhart</t>
        </is>
      </c>
      <c r="C327" s="2" t="inlineStr">
        <is>
          <t>Other</t>
        </is>
      </c>
      <c r="D327" s="2" t="inlineStr">
        <is>
          <t>L9.DNZJ.91140</t>
        </is>
      </c>
      <c r="E327" s="2" t="n">
        <v>5006</v>
      </c>
      <c r="G327" s="2" t="inlineStr">
        <is>
          <t>Sub Let Site - New facilities established for more granular reporting and to reflect new structure for FY17. See facility named "NZ-Central Services (IT/NSC)" for historical data.</t>
        </is>
      </c>
      <c r="H327" s="2" t="inlineStr">
        <is>
          <t>14 Amelia Earhart Avenue, Airport Oaks</t>
        </is>
      </c>
      <c r="I327" s="2" t="inlineStr">
        <is>
          <t>Mangere</t>
        </is>
      </c>
      <c r="J327" s="2" t="inlineStr">
        <is>
          <t>Auckland</t>
        </is>
      </c>
      <c r="K327" s="2" t="n">
        <v>2104</v>
      </c>
      <c r="L327" s="2" t="inlineStr">
        <is>
          <t>New Zealand</t>
        </is>
      </c>
      <c r="M327" s="2" t="inlineStr">
        <is>
          <t>Mangere</t>
        </is>
      </c>
      <c r="N327" s="2" t="inlineStr">
        <is>
          <t>New Zealand</t>
        </is>
      </c>
      <c r="P327" s="2" t="inlineStr">
        <is>
          <t>Operational Control</t>
        </is>
      </c>
      <c r="Q327" s="2" t="inlineStr">
        <is>
          <t>Operational Control</t>
        </is>
      </c>
      <c r="R327" s="2" t="inlineStr">
        <is>
          <t>Corporate</t>
        </is>
      </c>
      <c r="S327" s="2" t="inlineStr">
        <is>
          <t>Downer</t>
        </is>
      </c>
      <c r="T327" s="2" t="n">
        <v>100</v>
      </c>
      <c r="W327" s="2" t="inlineStr">
        <is>
          <t>Classification</t>
        </is>
      </c>
      <c r="X327" s="2" t="n">
        <v>-36.978962</v>
      </c>
      <c r="Y327" s="2" t="n">
        <v>174.785367</v>
      </c>
      <c r="Z327" s="2" t="n">
        <v>729</v>
      </c>
      <c r="AA327" s="11" t="n">
        <v>42917</v>
      </c>
    </row>
    <row r="328">
      <c r="A328" s="2" t="inlineStr">
        <is>
          <t>Downer</t>
        </is>
      </c>
      <c r="B328" s="2" t="inlineStr">
        <is>
          <t>_CLOSED_Office_BP_Auckland_HO-Auckland</t>
        </is>
      </c>
      <c r="C328" s="2" t="inlineStr">
        <is>
          <t>Other</t>
        </is>
      </c>
      <c r="D328" s="2" t="inlineStr">
        <is>
          <t>L9.DNZ.AKL</t>
        </is>
      </c>
      <c r="E328" s="2" t="n">
        <v>5185</v>
      </c>
      <c r="G328" s="2" t="inlineStr">
        <is>
          <t>Support services for projects located at numerous sites throughout NZ - New location established following purchase of Hawkins 2017</t>
        </is>
      </c>
      <c r="H328" s="2" t="inlineStr">
        <is>
          <t>60 Stanley Street, Parnell</t>
        </is>
      </c>
      <c r="I328" s="2" t="inlineStr">
        <is>
          <t>Auckland</t>
        </is>
      </c>
      <c r="J328" s="2" t="inlineStr">
        <is>
          <t>Auckland</t>
        </is>
      </c>
      <c r="K328" s="2" t="n">
        <v>1010</v>
      </c>
      <c r="L328" s="2" t="inlineStr">
        <is>
          <t>New Zealand</t>
        </is>
      </c>
      <c r="M328" s="2" t="inlineStr">
        <is>
          <t>Auckland</t>
        </is>
      </c>
      <c r="N328" s="2" t="inlineStr">
        <is>
          <t>New Zealand</t>
        </is>
      </c>
      <c r="P328" s="2" t="inlineStr">
        <is>
          <t>Operational Control</t>
        </is>
      </c>
      <c r="Q328" s="2" t="inlineStr">
        <is>
          <t>Operational Control</t>
        </is>
      </c>
      <c r="R328" s="2" t="inlineStr">
        <is>
          <t>Transport &amp; Infrastructure (T&amp;I)</t>
        </is>
      </c>
      <c r="S328" s="2" t="inlineStr">
        <is>
          <t>Downer</t>
        </is>
      </c>
      <c r="T328" s="2" t="n">
        <v>100</v>
      </c>
      <c r="W328" s="2" t="inlineStr">
        <is>
          <t>Classification</t>
        </is>
      </c>
      <c r="X328" s="2" t="n">
        <v>-36.853218</v>
      </c>
      <c r="Y328" s="2" t="n">
        <v>174.773841</v>
      </c>
      <c r="Z328" s="2" t="n">
        <v>301</v>
      </c>
      <c r="AA328" s="11" t="n">
        <v>42917</v>
      </c>
    </row>
    <row r="329">
      <c r="A329" s="2" t="inlineStr">
        <is>
          <t>Downer</t>
        </is>
      </c>
      <c r="B329" s="2" t="inlineStr">
        <is>
          <t>_CLOSED_Office_Kerrs Road</t>
        </is>
      </c>
      <c r="C329" s="2" t="inlineStr">
        <is>
          <t>Other</t>
        </is>
      </c>
      <c r="D329" s="2" t="inlineStr">
        <is>
          <t>L9.DNZJ.9016</t>
        </is>
      </c>
      <c r="E329" s="2" t="n">
        <v>5005</v>
      </c>
      <c r="G329" s="2" t="inlineStr">
        <is>
          <t>Corporate Central Support Services / Shared Services - New facilities established for more granular reporting and to reflect new structure for FY17. See facility named "NZ-Central Services (IT/NSC)" for historical data.</t>
        </is>
      </c>
      <c r="H329" s="2" t="inlineStr">
        <is>
          <t>130 Kerrs Rd</t>
        </is>
      </c>
      <c r="I329" s="2" t="inlineStr">
        <is>
          <t>Wiri</t>
        </is>
      </c>
      <c r="J329" s="2" t="inlineStr">
        <is>
          <t>Auckland</t>
        </is>
      </c>
      <c r="K329" s="2" t="n">
        <v>2104</v>
      </c>
      <c r="L329" s="2" t="inlineStr">
        <is>
          <t>New Zealand</t>
        </is>
      </c>
      <c r="M329" s="2" t="inlineStr">
        <is>
          <t>Manurewa</t>
        </is>
      </c>
      <c r="N329" s="2" t="inlineStr">
        <is>
          <t>New Zealand</t>
        </is>
      </c>
      <c r="P329" s="2" t="inlineStr">
        <is>
          <t>Operational Control</t>
        </is>
      </c>
      <c r="Q329" s="2" t="inlineStr">
        <is>
          <t>Operational Control</t>
        </is>
      </c>
      <c r="R329" s="2" t="inlineStr">
        <is>
          <t>Corporate</t>
        </is>
      </c>
      <c r="S329" s="2" t="inlineStr">
        <is>
          <t>Downer</t>
        </is>
      </c>
      <c r="T329" s="2" t="n">
        <v>100</v>
      </c>
      <c r="W329" s="2" t="inlineStr">
        <is>
          <t>Classification</t>
        </is>
      </c>
      <c r="X329" s="2" t="n">
        <v>-37.008338</v>
      </c>
      <c r="Y329" s="2" t="n">
        <v>174.870574</v>
      </c>
      <c r="Z329" s="2" t="n">
        <v>729</v>
      </c>
      <c r="AA329" s="11" t="n">
        <v>42917</v>
      </c>
    </row>
    <row r="330">
      <c r="A330" s="2" t="inlineStr">
        <is>
          <t>Downer</t>
        </is>
      </c>
      <c r="B330" s="2" t="inlineStr">
        <is>
          <t>_CLOSED_Office_Masterton</t>
        </is>
      </c>
      <c r="C330" s="2" t="inlineStr">
        <is>
          <t>Other</t>
        </is>
      </c>
      <c r="D330" s="2" t="inlineStr">
        <is>
          <t>L9.DNZJ.91001</t>
        </is>
      </c>
      <c r="E330" s="2" t="inlineStr">
        <is>
          <t>L9.DNZJ.91001</t>
        </is>
      </c>
      <c r="F330" s="2" t="inlineStr">
        <is>
          <t>L9.DNZJ.91001</t>
        </is>
      </c>
      <c r="M330" s="2" t="inlineStr">
        <is>
          <t>Masterton</t>
        </is>
      </c>
      <c r="N330" s="2" t="inlineStr">
        <is>
          <t>New Zealand</t>
        </is>
      </c>
      <c r="P330" s="2" t="inlineStr">
        <is>
          <t>Operational Control</t>
        </is>
      </c>
      <c r="Q330" s="2" t="inlineStr">
        <is>
          <t>Operational Control</t>
        </is>
      </c>
      <c r="R330" s="2" t="inlineStr">
        <is>
          <t>Corporate</t>
        </is>
      </c>
      <c r="S330" s="2" t="inlineStr">
        <is>
          <t>Downer</t>
        </is>
      </c>
      <c r="T330" s="2" t="n">
        <v>100</v>
      </c>
      <c r="W330" s="2" t="inlineStr">
        <is>
          <t>Classification</t>
        </is>
      </c>
    </row>
    <row r="331">
      <c r="A331" s="2" t="inlineStr">
        <is>
          <t>Downer</t>
        </is>
      </c>
      <c r="B331" s="2" t="inlineStr">
        <is>
          <t>_CLOSED_Office_T_Christchurch</t>
        </is>
      </c>
      <c r="C331" s="2" t="inlineStr">
        <is>
          <t>Depot</t>
        </is>
      </c>
      <c r="D331" s="2" t="inlineStr">
        <is>
          <t>L9.DNZJ.1992</t>
        </is>
      </c>
      <c r="E331" s="2" t="n">
        <v>5268</v>
      </c>
      <c r="G331" s="2" t="inlineStr">
        <is>
          <t>Support Services for FSU - added in FY19 following integration of Spotless business</t>
        </is>
      </c>
      <c r="M331" s="2" t="inlineStr">
        <is>
          <t>Christchurch</t>
        </is>
      </c>
      <c r="N331" s="2" t="inlineStr">
        <is>
          <t>New Zealand</t>
        </is>
      </c>
      <c r="P331" s="2" t="inlineStr">
        <is>
          <t>Operational Control</t>
        </is>
      </c>
      <c r="Q331" s="2" t="inlineStr">
        <is>
          <t>Operational Control</t>
        </is>
      </c>
      <c r="R331" s="2" t="inlineStr">
        <is>
          <t>Transport &amp; Infrastructure (T&amp;I)</t>
        </is>
      </c>
      <c r="S331" s="2" t="inlineStr">
        <is>
          <t>Downer</t>
        </is>
      </c>
      <c r="T331" s="2" t="n">
        <v>100</v>
      </c>
      <c r="U331" s="2" t="inlineStr">
        <is>
          <t>1899/12/31</t>
        </is>
      </c>
      <c r="W331" s="2" t="inlineStr">
        <is>
          <t>Classification</t>
        </is>
      </c>
    </row>
    <row r="332">
      <c r="A332" s="2" t="inlineStr">
        <is>
          <t>Downer</t>
        </is>
      </c>
      <c r="B332" s="2" t="inlineStr">
        <is>
          <t>_CLOSED_O'Herns Rd</t>
        </is>
      </c>
      <c r="C332" s="2" t="inlineStr">
        <is>
          <t>Construction Site</t>
        </is>
      </c>
      <c r="D332" s="2" t="inlineStr">
        <is>
          <t>L9.J.20042031</t>
        </is>
      </c>
      <c r="E332" s="2" t="n">
        <v>6015</v>
      </c>
      <c r="G332" s="2" t="inlineStr">
        <is>
          <t>Cheryl Ward is main contact.</t>
        </is>
      </c>
      <c r="H332" s="2" t="inlineStr">
        <is>
          <t>O'Herns Rd</t>
        </is>
      </c>
      <c r="I332" s="2" t="inlineStr">
        <is>
          <t>Epping</t>
        </is>
      </c>
      <c r="J332" s="2" t="inlineStr">
        <is>
          <t>Victoria</t>
        </is>
      </c>
      <c r="K332" s="2" t="n">
        <v>3076</v>
      </c>
      <c r="L332" s="2" t="inlineStr">
        <is>
          <t>Australia</t>
        </is>
      </c>
      <c r="M332" s="2" t="inlineStr">
        <is>
          <t>Victoria</t>
        </is>
      </c>
      <c r="N332" s="2" t="inlineStr">
        <is>
          <t>Australia</t>
        </is>
      </c>
      <c r="P332" s="2" t="inlineStr">
        <is>
          <t>Operational Control</t>
        </is>
      </c>
      <c r="Q332" s="2" t="inlineStr">
        <is>
          <t>Operational Control</t>
        </is>
      </c>
      <c r="R332" s="2" t="inlineStr">
        <is>
          <t>DT Infrastructure (pre Sept 23 divestment)</t>
        </is>
      </c>
      <c r="S332" s="2" t="inlineStr">
        <is>
          <t>Downer</t>
        </is>
      </c>
      <c r="T332" s="2" t="n">
        <v>100</v>
      </c>
      <c r="V332" s="11" t="n">
        <v>45199</v>
      </c>
      <c r="W332" s="2" t="inlineStr">
        <is>
          <t>Classification</t>
        </is>
      </c>
      <c r="Z332" s="2" t="n">
        <v>310</v>
      </c>
    </row>
    <row r="333">
      <c r="A333" s="2" t="inlineStr">
        <is>
          <t>Downer</t>
        </is>
      </c>
      <c r="B333" s="2" t="inlineStr">
        <is>
          <t>_CLOSED_Orbost</t>
        </is>
      </c>
      <c r="C333" s="2" t="inlineStr">
        <is>
          <t>Other</t>
        </is>
      </c>
      <c r="D333" s="2" t="inlineStr">
        <is>
          <t>L9.J.37110047</t>
        </is>
      </c>
      <c r="E333" s="2" t="inlineStr">
        <is>
          <t>IP-37110047</t>
        </is>
      </c>
      <c r="H333" s="2" t="inlineStr">
        <is>
          <t>73 Ewings Marsh Road</t>
        </is>
      </c>
      <c r="I333" s="2" t="inlineStr">
        <is>
          <t>Corringle</t>
        </is>
      </c>
      <c r="J333" s="2" t="inlineStr">
        <is>
          <t>VIC</t>
        </is>
      </c>
      <c r="K333" s="2" t="n">
        <v>3888</v>
      </c>
      <c r="L333" s="2" t="inlineStr">
        <is>
          <t>Australia</t>
        </is>
      </c>
      <c r="M333" s="2" t="inlineStr">
        <is>
          <t>Victoria</t>
        </is>
      </c>
      <c r="N333" s="2" t="inlineStr">
        <is>
          <t>Australia</t>
        </is>
      </c>
      <c r="P333" s="2" t="inlineStr">
        <is>
          <t>Operational Control</t>
        </is>
      </c>
      <c r="Q333" s="2" t="inlineStr">
        <is>
          <t>Operational Control</t>
        </is>
      </c>
      <c r="R333" s="2" t="inlineStr">
        <is>
          <t>Energy and Utilities (EU)</t>
        </is>
      </c>
      <c r="S333" s="2" t="inlineStr">
        <is>
          <t>Downer</t>
        </is>
      </c>
      <c r="T333" s="2" t="n">
        <v>100</v>
      </c>
      <c r="W333" s="2" t="inlineStr">
        <is>
          <t>Classification</t>
        </is>
      </c>
      <c r="X333" s="2" t="n">
        <v>-37.782918</v>
      </c>
      <c r="Y333" s="2" t="n">
        <v>148.435136</v>
      </c>
      <c r="Z333" s="2" t="n">
        <v>310</v>
      </c>
    </row>
    <row r="334">
      <c r="A334" s="2" t="inlineStr">
        <is>
          <t>Downer</t>
        </is>
      </c>
      <c r="B334" s="2" t="inlineStr">
        <is>
          <t>_CLOSED_OSM_Auckland</t>
        </is>
      </c>
      <c r="C334" s="2" t="inlineStr">
        <is>
          <t>Other</t>
        </is>
      </c>
      <c r="D334" s="2" t="inlineStr">
        <is>
          <t>L9.DNZJ.55877</t>
        </is>
      </c>
      <c r="E334" s="2" t="n">
        <v>5079</v>
      </c>
      <c r="G334" s="2" t="inlineStr">
        <is>
          <t>Outside Space Management (Gardening) - New facilities established for more granular reporting and to reflect new structure for FY17. See facility named "NZ-Infrastructure Services" for historical data.</t>
        </is>
      </c>
      <c r="H334" s="2" t="inlineStr">
        <is>
          <t>130 Kerrs Rd</t>
        </is>
      </c>
      <c r="I334" s="2" t="inlineStr">
        <is>
          <t>Wiri</t>
        </is>
      </c>
      <c r="J334" s="2" t="inlineStr">
        <is>
          <t>Auckland</t>
        </is>
      </c>
      <c r="K334" s="2" t="n">
        <v>4010</v>
      </c>
      <c r="L334" s="2" t="inlineStr">
        <is>
          <t>New Zealand</t>
        </is>
      </c>
      <c r="M334" s="2" t="inlineStr">
        <is>
          <t>Manurewa</t>
        </is>
      </c>
      <c r="N334" s="2" t="inlineStr">
        <is>
          <t>New Zealand</t>
        </is>
      </c>
      <c r="P334" s="2" t="inlineStr">
        <is>
          <t>Operational Control</t>
        </is>
      </c>
      <c r="Q334" s="2" t="inlineStr">
        <is>
          <t>Operational Control</t>
        </is>
      </c>
      <c r="R334" s="2" t="inlineStr">
        <is>
          <t>Transport &amp; Infrastructure (T&amp;I)</t>
        </is>
      </c>
      <c r="S334" s="2" t="inlineStr">
        <is>
          <t>Downer</t>
        </is>
      </c>
      <c r="T334" s="2" t="n">
        <v>100</v>
      </c>
      <c r="W334" s="2" t="inlineStr">
        <is>
          <t>Classification</t>
        </is>
      </c>
      <c r="X334" s="2" t="n">
        <v>-37.008338</v>
      </c>
      <c r="Y334" s="2" t="n">
        <v>174.870574</v>
      </c>
      <c r="Z334" s="2" t="n">
        <v>731</v>
      </c>
      <c r="AA334" s="11" t="n">
        <v>42917</v>
      </c>
    </row>
    <row r="335">
      <c r="A335" s="2" t="inlineStr">
        <is>
          <t>Downer</t>
        </is>
      </c>
      <c r="B335" s="2" t="inlineStr">
        <is>
          <t>_CLOSED_OSM_Blenheim</t>
        </is>
      </c>
      <c r="C335" s="2" t="inlineStr">
        <is>
          <t>Other</t>
        </is>
      </c>
      <c r="D335" s="2" t="inlineStr">
        <is>
          <t>L9.DNZJ.55875</t>
        </is>
      </c>
      <c r="E335" s="2" t="n">
        <v>5080</v>
      </c>
      <c r="G335" s="2" t="inlineStr">
        <is>
          <t>Outside Space Management (Gardening) - New facilities established for more granular reporting and to reflect new structure for FY17. See facility named "NZ-Infrastructure Services" for historical data.</t>
        </is>
      </c>
      <c r="H335" s="2" t="inlineStr">
        <is>
          <t>7 Freswick Street</t>
        </is>
      </c>
      <c r="I335" s="2" t="inlineStr">
        <is>
          <t>Blenheim</t>
        </is>
      </c>
      <c r="J335" s="2" t="inlineStr">
        <is>
          <t>Marlborough</t>
        </is>
      </c>
      <c r="K335" s="2" t="n">
        <v>310</v>
      </c>
      <c r="L335" s="2" t="inlineStr">
        <is>
          <t>New Zealand</t>
        </is>
      </c>
      <c r="M335" s="2" t="inlineStr">
        <is>
          <t>Blenheim</t>
        </is>
      </c>
      <c r="N335" s="2" t="inlineStr">
        <is>
          <t>New Zealand</t>
        </is>
      </c>
      <c r="P335" s="2" t="inlineStr">
        <is>
          <t>Operational Control</t>
        </is>
      </c>
      <c r="Q335" s="2" t="inlineStr">
        <is>
          <t>Operational Control</t>
        </is>
      </c>
      <c r="R335" s="2" t="inlineStr">
        <is>
          <t>Transport &amp; Infrastructure (T&amp;I)</t>
        </is>
      </c>
      <c r="S335" s="2" t="inlineStr">
        <is>
          <t>Downer</t>
        </is>
      </c>
      <c r="T335" s="2" t="n">
        <v>100</v>
      </c>
      <c r="W335" s="2" t="inlineStr">
        <is>
          <t>Classification</t>
        </is>
      </c>
      <c r="X335" s="2" t="n">
        <v>-41.5145322</v>
      </c>
      <c r="Y335" s="2" t="n">
        <v>173.9619327</v>
      </c>
      <c r="Z335" s="2" t="n">
        <v>731</v>
      </c>
      <c r="AA335" s="11" t="n">
        <v>42917</v>
      </c>
    </row>
    <row r="336">
      <c r="A336" s="2" t="inlineStr">
        <is>
          <t>Downer</t>
        </is>
      </c>
      <c r="B336" s="2" t="inlineStr">
        <is>
          <t>_CLOSED_OSM_Canterbury</t>
        </is>
      </c>
      <c r="C336" s="2" t="inlineStr">
        <is>
          <t>Operations Center</t>
        </is>
      </c>
      <c r="D336" s="2" t="inlineStr">
        <is>
          <t>L9.DNZJ.55835</t>
        </is>
      </c>
      <c r="E336" s="2" t="n">
        <v>5290</v>
      </c>
      <c r="G336" s="2" t="inlineStr">
        <is>
          <t>Support Services for OSM Waitaki contract</t>
        </is>
      </c>
      <c r="M336" s="2" t="inlineStr">
        <is>
          <t>Oamaru</t>
        </is>
      </c>
      <c r="N336" s="2" t="inlineStr">
        <is>
          <t>New Zealand</t>
        </is>
      </c>
      <c r="P336" s="2" t="inlineStr">
        <is>
          <t>Operational Control</t>
        </is>
      </c>
      <c r="Q336" s="2" t="inlineStr">
        <is>
          <t>Operational Control</t>
        </is>
      </c>
      <c r="R336" s="2" t="inlineStr">
        <is>
          <t>Transport &amp; Infrastructure (T&amp;I)</t>
        </is>
      </c>
      <c r="S336" s="2" t="inlineStr">
        <is>
          <t>Downer</t>
        </is>
      </c>
      <c r="T336" s="2" t="n">
        <v>100</v>
      </c>
      <c r="W336" s="2" t="inlineStr">
        <is>
          <t>Classification</t>
        </is>
      </c>
    </row>
    <row r="337">
      <c r="A337" s="2" t="inlineStr">
        <is>
          <t>Downer</t>
        </is>
      </c>
      <c r="B337" s="2" t="inlineStr">
        <is>
          <t>_CLOSED_OSM_Kaipara</t>
        </is>
      </c>
      <c r="C337" s="2" t="inlineStr">
        <is>
          <t>Other</t>
        </is>
      </c>
      <c r="D337" s="2" t="inlineStr">
        <is>
          <t>L9.DNZJ.55264</t>
        </is>
      </c>
      <c r="E337" s="2" t="n">
        <v>5082</v>
      </c>
      <c r="G337" s="2" t="inlineStr">
        <is>
          <t>Outside Space Management (Gardening) - New facilities established for more granular reporting and to reflect new structure for FY17. See facility named "NZ-Infrastructure Services" for historical data.</t>
        </is>
      </c>
      <c r="H337" s="2" t="inlineStr">
        <is>
          <t>Dargaville</t>
        </is>
      </c>
      <c r="I337" s="2" t="inlineStr">
        <is>
          <t>Kaipara</t>
        </is>
      </c>
      <c r="J337" s="2" t="inlineStr">
        <is>
          <t>Northland</t>
        </is>
      </c>
      <c r="K337" s="2" t="n">
        <v>3920</v>
      </c>
      <c r="L337" s="2" t="inlineStr">
        <is>
          <t>New Zealand</t>
        </is>
      </c>
      <c r="M337" s="2" t="inlineStr">
        <is>
          <t>Dargaville</t>
        </is>
      </c>
      <c r="N337" s="2" t="inlineStr">
        <is>
          <t>New Zealand</t>
        </is>
      </c>
      <c r="P337" s="2" t="inlineStr">
        <is>
          <t>Operational Control</t>
        </is>
      </c>
      <c r="Q337" s="2" t="inlineStr">
        <is>
          <t>Operational Control</t>
        </is>
      </c>
      <c r="R337" s="2" t="inlineStr">
        <is>
          <t>Transport &amp; Infrastructure (T&amp;I)</t>
        </is>
      </c>
      <c r="S337" s="2" t="inlineStr">
        <is>
          <t>Downer</t>
        </is>
      </c>
      <c r="T337" s="2" t="n">
        <v>100</v>
      </c>
      <c r="W337" s="2" t="inlineStr">
        <is>
          <t>Classification</t>
        </is>
      </c>
      <c r="X337" s="2" t="n">
        <v>-35.94</v>
      </c>
      <c r="Y337" s="2" t="n">
        <v>173.87</v>
      </c>
      <c r="Z337" s="2" t="n">
        <v>731</v>
      </c>
      <c r="AA337" s="11" t="n">
        <v>42917</v>
      </c>
    </row>
    <row r="338">
      <c r="A338" s="2" t="inlineStr">
        <is>
          <t>Downer</t>
        </is>
      </c>
      <c r="B338" s="2" t="inlineStr">
        <is>
          <t>_CLOSED_OSM_Marlborough</t>
        </is>
      </c>
      <c r="C338" s="2" t="inlineStr">
        <is>
          <t>Other</t>
        </is>
      </c>
      <c r="D338" s="2" t="inlineStr">
        <is>
          <t>L9.DNZJ.55411</t>
        </is>
      </c>
      <c r="E338" s="2" t="inlineStr">
        <is>
          <t>L9.DNZJ.55411</t>
        </is>
      </c>
      <c r="M338" s="2" t="inlineStr">
        <is>
          <t>Marlborough</t>
        </is>
      </c>
      <c r="N338" s="2" t="inlineStr">
        <is>
          <t>New Zealand</t>
        </is>
      </c>
      <c r="P338" s="2" t="inlineStr">
        <is>
          <t>Operational Control</t>
        </is>
      </c>
      <c r="Q338" s="2" t="inlineStr">
        <is>
          <t>Operational Control</t>
        </is>
      </c>
      <c r="R338" s="2" t="inlineStr">
        <is>
          <t>Transport &amp; Infrastructure (T&amp;I)</t>
        </is>
      </c>
      <c r="S338" s="2" t="inlineStr">
        <is>
          <t>Downer</t>
        </is>
      </c>
      <c r="T338" s="2" t="n">
        <v>100</v>
      </c>
      <c r="W338" s="2" t="inlineStr">
        <is>
          <t>Classification</t>
        </is>
      </c>
    </row>
    <row r="339">
      <c r="A339" s="2" t="inlineStr">
        <is>
          <t>Downer</t>
        </is>
      </c>
      <c r="B339" s="2" t="inlineStr">
        <is>
          <t>_CLOSED_OSM_Ruapehu</t>
        </is>
      </c>
      <c r="C339" s="2" t="inlineStr">
        <is>
          <t>Other</t>
        </is>
      </c>
      <c r="D339" s="2" t="inlineStr">
        <is>
          <t>L9.DNZJ.55414</t>
        </is>
      </c>
      <c r="E339" s="2" t="n">
        <v>5084</v>
      </c>
      <c r="G339" s="2" t="inlineStr">
        <is>
          <t>Outside Space Management (Gardening) - New facilities established for more granular reporting and to reflect new structure for FY17. See facility named "NZ-Infrastructure Services" for historical data.</t>
        </is>
      </c>
      <c r="H339" s="2" t="inlineStr">
        <is>
          <t>58 Kururau Road</t>
        </is>
      </c>
      <c r="I339" s="2" t="inlineStr">
        <is>
          <t>Taumarunui</t>
        </is>
      </c>
      <c r="J339" s="2" t="inlineStr">
        <is>
          <t>Manawatu-Wanganui</t>
        </is>
      </c>
      <c r="K339" s="2" t="n">
        <v>3171</v>
      </c>
      <c r="L339" s="2" t="inlineStr">
        <is>
          <t>New Zealand</t>
        </is>
      </c>
      <c r="M339" s="2" t="inlineStr">
        <is>
          <t>Taumarunui</t>
        </is>
      </c>
      <c r="N339" s="2" t="inlineStr">
        <is>
          <t>New Zealand</t>
        </is>
      </c>
      <c r="P339" s="2" t="inlineStr">
        <is>
          <t>Operational Control</t>
        </is>
      </c>
      <c r="Q339" s="2" t="inlineStr">
        <is>
          <t>Operational Control</t>
        </is>
      </c>
      <c r="R339" s="2" t="inlineStr">
        <is>
          <t>Transport &amp; Infrastructure (T&amp;I)</t>
        </is>
      </c>
      <c r="S339" s="2" t="inlineStr">
        <is>
          <t>Downer</t>
        </is>
      </c>
      <c r="T339" s="2" t="n">
        <v>100</v>
      </c>
      <c r="W339" s="2" t="inlineStr">
        <is>
          <t>Classification</t>
        </is>
      </c>
      <c r="X339" s="2" t="n">
        <v>-38.8897055</v>
      </c>
      <c r="Y339" s="2" t="n">
        <v>175.246212499999</v>
      </c>
      <c r="Z339" s="2" t="n">
        <v>731</v>
      </c>
      <c r="AA339" s="11" t="n">
        <v>42917</v>
      </c>
    </row>
    <row r="340">
      <c r="A340" s="2" t="inlineStr">
        <is>
          <t>Downer</t>
        </is>
      </c>
      <c r="B340" s="2" t="inlineStr">
        <is>
          <t>_CLOSED_OSM_Stratford</t>
        </is>
      </c>
      <c r="C340" s="2" t="inlineStr">
        <is>
          <t>Other</t>
        </is>
      </c>
      <c r="D340" s="2" t="inlineStr">
        <is>
          <t>L9.DNZJ.55408</t>
        </is>
      </c>
      <c r="E340" s="2" t="inlineStr">
        <is>
          <t>L9.DNZJ.55408</t>
        </is>
      </c>
      <c r="F340" s="2" t="inlineStr">
        <is>
          <t>L9.DNZJ.55408</t>
        </is>
      </c>
      <c r="G340" s="2" t="inlineStr">
        <is>
          <t>Outside Space Management (Gardening) - New facilities established for more granular reporting and to reflect new structure for FY17. See facility named "NZ-Infrastructure Services" for historical data.</t>
        </is>
      </c>
      <c r="H340" s="2" t="inlineStr">
        <is>
          <t>134-136 Orlando Street</t>
        </is>
      </c>
      <c r="I340" s="2" t="inlineStr">
        <is>
          <t>Stratford</t>
        </is>
      </c>
      <c r="J340" s="2" t="inlineStr">
        <is>
          <t>Taranaki</t>
        </is>
      </c>
      <c r="K340" s="2" t="n">
        <v>3171</v>
      </c>
      <c r="L340" s="2" t="inlineStr">
        <is>
          <t>New Zealand</t>
        </is>
      </c>
      <c r="M340" s="2" t="inlineStr">
        <is>
          <t>Eltham</t>
        </is>
      </c>
      <c r="N340" s="2" t="inlineStr">
        <is>
          <t>New Zealand</t>
        </is>
      </c>
      <c r="P340" s="2" t="inlineStr">
        <is>
          <t>Operational Control</t>
        </is>
      </c>
      <c r="Q340" s="2" t="inlineStr">
        <is>
          <t>Operational Control</t>
        </is>
      </c>
      <c r="R340" s="2" t="inlineStr">
        <is>
          <t>Transport &amp; Infrastructure (T&amp;I)</t>
        </is>
      </c>
      <c r="S340" s="2" t="inlineStr">
        <is>
          <t>Downer</t>
        </is>
      </c>
      <c r="T340" s="2" t="n">
        <v>100</v>
      </c>
      <c r="W340" s="2" t="inlineStr">
        <is>
          <t>Classification</t>
        </is>
      </c>
      <c r="X340" s="2" t="n">
        <v>-39.3492798</v>
      </c>
      <c r="Y340" s="2" t="n">
        <v>174.2919713</v>
      </c>
      <c r="Z340" s="2" t="n">
        <v>731</v>
      </c>
      <c r="AA340" s="11" t="n">
        <v>42917</v>
      </c>
    </row>
    <row r="341">
      <c r="A341" s="2" t="inlineStr">
        <is>
          <t>Downer</t>
        </is>
      </c>
      <c r="B341" s="2" t="inlineStr">
        <is>
          <t>_CLOSED_OSM_Waikato/BOP</t>
        </is>
      </c>
      <c r="C341" s="2" t="inlineStr">
        <is>
          <t>Other</t>
        </is>
      </c>
      <c r="D341" s="2" t="inlineStr">
        <is>
          <t>L9.DNZJ.66106</t>
        </is>
      </c>
      <c r="E341" s="2" t="n">
        <v>5087</v>
      </c>
      <c r="G341" s="2" t="inlineStr">
        <is>
          <t>Outside Space Management (Gardening) - New facilities established for more granular reporting and to reflect new structure for FY17. See facility named "NZ-Infrastructure Services" for historical data.</t>
        </is>
      </c>
      <c r="H341" s="2" t="inlineStr">
        <is>
          <t>58 Taurikura Drive, Tauriko</t>
        </is>
      </c>
      <c r="I341" s="2" t="inlineStr">
        <is>
          <t>Tauranga</t>
        </is>
      </c>
      <c r="J341" s="2" t="inlineStr">
        <is>
          <t>Bay of Plenty</t>
        </is>
      </c>
      <c r="K341" s="2" t="n">
        <v>5022</v>
      </c>
      <c r="L341" s="2" t="inlineStr">
        <is>
          <t>New Zealand</t>
        </is>
      </c>
      <c r="M341" s="2" t="inlineStr">
        <is>
          <t>Tauranga</t>
        </is>
      </c>
      <c r="N341" s="2" t="inlineStr">
        <is>
          <t>New Zealand</t>
        </is>
      </c>
      <c r="P341" s="2" t="inlineStr">
        <is>
          <t>Operational Control</t>
        </is>
      </c>
      <c r="Q341" s="2" t="inlineStr">
        <is>
          <t>Operational Control</t>
        </is>
      </c>
      <c r="R341" s="2" t="inlineStr">
        <is>
          <t>Transport &amp; Infrastructure (T&amp;I)</t>
        </is>
      </c>
      <c r="S341" s="2" t="inlineStr">
        <is>
          <t>Downer</t>
        </is>
      </c>
      <c r="T341" s="2" t="n">
        <v>100</v>
      </c>
      <c r="W341" s="2" t="inlineStr">
        <is>
          <t>Classification</t>
        </is>
      </c>
      <c r="X341" s="2" t="n">
        <v>-37.7421669999999</v>
      </c>
      <c r="Y341" s="2" t="n">
        <v>176.101698899999</v>
      </c>
      <c r="Z341" s="2" t="n">
        <v>731</v>
      </c>
      <c r="AA341" s="11" t="n">
        <v>42917</v>
      </c>
    </row>
    <row r="342">
      <c r="A342" s="2" t="inlineStr">
        <is>
          <t>Downer</t>
        </is>
      </c>
      <c r="B342" s="2" t="inlineStr">
        <is>
          <t>_CLOSED_OSM_Wellington</t>
        </is>
      </c>
      <c r="C342" s="2" t="inlineStr">
        <is>
          <t>Other</t>
        </is>
      </c>
      <c r="D342" s="2" t="inlineStr">
        <is>
          <t>L9.DNZJ.55874</t>
        </is>
      </c>
      <c r="E342" s="2" t="n">
        <v>5089</v>
      </c>
      <c r="G342" s="2" t="inlineStr">
        <is>
          <t>Outside Space Management (Gardening) - New facilities established for more granular reporting and to reflect new structure for FY17. See facility named "NZ-Infrastructure Services" for historical data.</t>
        </is>
      </c>
      <c r="H342" s="2" t="inlineStr">
        <is>
          <t>14-16 Makaro Street</t>
        </is>
      </c>
      <c r="I342" s="2" t="inlineStr">
        <is>
          <t>Porirua</t>
        </is>
      </c>
      <c r="J342" s="2" t="inlineStr">
        <is>
          <t>Wellington</t>
        </is>
      </c>
      <c r="K342" s="2" t="n">
        <v>2104</v>
      </c>
      <c r="L342" s="2" t="inlineStr">
        <is>
          <t>New Zealand</t>
        </is>
      </c>
      <c r="M342" s="2" t="inlineStr">
        <is>
          <t>Porirua</t>
        </is>
      </c>
      <c r="N342" s="2" t="inlineStr">
        <is>
          <t>New Zealand</t>
        </is>
      </c>
      <c r="P342" s="2" t="inlineStr">
        <is>
          <t>Operational Control</t>
        </is>
      </c>
      <c r="Q342" s="2" t="inlineStr">
        <is>
          <t>Operational Control</t>
        </is>
      </c>
      <c r="R342" s="2" t="inlineStr">
        <is>
          <t>Transport &amp; Infrastructure (T&amp;I)</t>
        </is>
      </c>
      <c r="S342" s="2" t="inlineStr">
        <is>
          <t>Downer</t>
        </is>
      </c>
      <c r="T342" s="2" t="n">
        <v>100</v>
      </c>
      <c r="W342" s="2" t="inlineStr">
        <is>
          <t>Classification</t>
        </is>
      </c>
      <c r="X342" s="2" t="n">
        <v>-41.1375906</v>
      </c>
      <c r="Y342" s="2" t="n">
        <v>174.831221499999</v>
      </c>
      <c r="Z342" s="2" t="n">
        <v>731</v>
      </c>
      <c r="AA342" s="11" t="n">
        <v>42917</v>
      </c>
    </row>
    <row r="343">
      <c r="A343" s="2" t="inlineStr">
        <is>
          <t>Downer</t>
        </is>
      </c>
      <c r="B343" s="2" t="inlineStr">
        <is>
          <t>_CLOSED_P31258 - Maribyrnong Main Sewer Augmentation</t>
        </is>
      </c>
      <c r="C343" s="2" t="inlineStr">
        <is>
          <t>Site</t>
        </is>
      </c>
      <c r="D343" s="2" t="inlineStr">
        <is>
          <t>L9.J.25820015</t>
        </is>
      </c>
      <c r="E343" s="2" t="inlineStr">
        <is>
          <t>UTIL-25820015</t>
        </is>
      </c>
      <c r="G343" s="2" t="inlineStr">
        <is>
          <t>SFP Maribyrnong Main Sewer Augmentation</t>
        </is>
      </c>
      <c r="M343" s="2" t="inlineStr">
        <is>
          <t>Victoria</t>
        </is>
      </c>
      <c r="N343" s="2" t="inlineStr">
        <is>
          <t>Australia</t>
        </is>
      </c>
      <c r="P343" s="2" t="inlineStr">
        <is>
          <t>Operational Control</t>
        </is>
      </c>
      <c r="Q343" s="2" t="inlineStr">
        <is>
          <t>Operational Control</t>
        </is>
      </c>
      <c r="R343" s="2" t="inlineStr">
        <is>
          <t>Energy and Utilities (EU)</t>
        </is>
      </c>
      <c r="S343" s="2" t="inlineStr">
        <is>
          <t>Downer</t>
        </is>
      </c>
      <c r="T343" s="2" t="n">
        <v>100</v>
      </c>
      <c r="W343" s="2" t="inlineStr">
        <is>
          <t>Classification</t>
        </is>
      </c>
      <c r="AB343" s="11" t="n">
        <v>45880</v>
      </c>
    </row>
    <row r="344">
      <c r="A344" s="2" t="inlineStr">
        <is>
          <t>Downer</t>
        </is>
      </c>
      <c r="B344" s="2" t="inlineStr">
        <is>
          <t>_CLOSED_PL - City West Water</t>
        </is>
      </c>
      <c r="C344" s="2" t="inlineStr">
        <is>
          <t>Depot</t>
        </is>
      </c>
      <c r="D344" s="2" t="inlineStr">
        <is>
          <t>L9.DUA.105524</t>
        </is>
      </c>
      <c r="E344" s="2" t="n">
        <v>42</v>
      </c>
      <c r="H344" s="2" t="inlineStr">
        <is>
          <t>638 St Kilda Road</t>
        </is>
      </c>
      <c r="I344" s="2" t="inlineStr">
        <is>
          <t>Melbourne</t>
        </is>
      </c>
      <c r="J344" s="2" t="inlineStr">
        <is>
          <t>VIC</t>
        </is>
      </c>
      <c r="K344" s="2" t="n">
        <v>3004</v>
      </c>
      <c r="L344" s="2" t="inlineStr">
        <is>
          <t>Australia</t>
        </is>
      </c>
      <c r="M344" s="2" t="inlineStr">
        <is>
          <t>Victoria</t>
        </is>
      </c>
      <c r="N344" s="2" t="inlineStr">
        <is>
          <t>Australia</t>
        </is>
      </c>
      <c r="P344" s="2" t="inlineStr">
        <is>
          <t>Operational Control</t>
        </is>
      </c>
      <c r="Q344" s="2" t="inlineStr">
        <is>
          <t>Operational Control</t>
        </is>
      </c>
      <c r="R344" s="2" t="inlineStr">
        <is>
          <t>Energy and Utilities (EU)</t>
        </is>
      </c>
      <c r="S344" s="2" t="inlineStr">
        <is>
          <t>Downer</t>
        </is>
      </c>
      <c r="T344" s="2" t="n">
        <v>100</v>
      </c>
      <c r="W344" s="2" t="inlineStr">
        <is>
          <t>Classification</t>
        </is>
      </c>
      <c r="X344" s="2" t="n">
        <v>-37.836927</v>
      </c>
      <c r="Y344" s="2" t="n">
        <v>144.975583</v>
      </c>
      <c r="Z344" s="2" t="n">
        <v>310</v>
      </c>
    </row>
    <row r="345">
      <c r="A345" s="2" t="inlineStr">
        <is>
          <t>Downer</t>
        </is>
      </c>
      <c r="B345" s="2" t="inlineStr">
        <is>
          <t>_CLOSED_Plant_Cranes</t>
        </is>
      </c>
      <c r="C345" s="2" t="inlineStr">
        <is>
          <t>Other</t>
        </is>
      </c>
      <c r="D345" s="2" t="inlineStr">
        <is>
          <t>L9.DNZJ.1925</t>
        </is>
      </c>
      <c r="E345" s="2" t="n">
        <v>5090</v>
      </c>
      <c r="G345" s="2" t="inlineStr">
        <is>
          <t>Organisation and provision of Plant to operations - New facilities established for more granular reporting and to reflect new structure for FY17. See facility named "NZ-Infrastructure Services" for historical data.</t>
        </is>
      </c>
      <c r="H345" s="2" t="inlineStr">
        <is>
          <t>NZ Wide - Head Office - 130 Kerrs Rd</t>
        </is>
      </c>
      <c r="I345" s="2" t="inlineStr">
        <is>
          <t>Wiri</t>
        </is>
      </c>
      <c r="J345" s="2" t="inlineStr">
        <is>
          <t>Auckland</t>
        </is>
      </c>
      <c r="K345" s="2" t="n">
        <v>2104</v>
      </c>
      <c r="L345" s="2" t="inlineStr">
        <is>
          <t>New Zealand</t>
        </is>
      </c>
      <c r="M345" s="2" t="inlineStr">
        <is>
          <t>Manurewa</t>
        </is>
      </c>
      <c r="N345" s="2" t="inlineStr">
        <is>
          <t>New Zealand</t>
        </is>
      </c>
      <c r="P345" s="2" t="inlineStr">
        <is>
          <t>Operational Control</t>
        </is>
      </c>
      <c r="Q345" s="2" t="inlineStr">
        <is>
          <t>Operational Control</t>
        </is>
      </c>
      <c r="R345" s="2" t="inlineStr">
        <is>
          <t>Transport &amp; Infrastructure (T&amp;I)</t>
        </is>
      </c>
      <c r="S345" s="2" t="inlineStr">
        <is>
          <t>Downer</t>
        </is>
      </c>
      <c r="T345" s="2" t="n">
        <v>100</v>
      </c>
      <c r="U345" s="2" t="inlineStr">
        <is>
          <t>1899/12/31</t>
        </is>
      </c>
      <c r="W345" s="2" t="inlineStr">
        <is>
          <t>Classification</t>
        </is>
      </c>
      <c r="X345" s="2" t="n">
        <v>-37.008338</v>
      </c>
      <c r="Y345" s="2" t="n">
        <v>174.870574</v>
      </c>
      <c r="Z345" s="2" t="n">
        <v>729</v>
      </c>
      <c r="AA345" s="11" t="n">
        <v>42917</v>
      </c>
    </row>
    <row r="346">
      <c r="A346" s="2" t="inlineStr">
        <is>
          <t>Downer</t>
        </is>
      </c>
      <c r="B346" s="2" t="inlineStr">
        <is>
          <t>_CLOSED_Plant_Provisioning</t>
        </is>
      </c>
      <c r="C346" s="2" t="inlineStr">
        <is>
          <t>Other</t>
        </is>
      </c>
      <c r="D346" s="2" t="inlineStr">
        <is>
          <t>L9.DNZJ.1911</t>
        </is>
      </c>
      <c r="E346" s="2" t="n">
        <v>5091</v>
      </c>
      <c r="G346" s="2" t="inlineStr">
        <is>
          <t>Organisation and provision of Plant to operations - New facilities established for more granular reporting and to reflect new structure for FY17. See facility named "NZ-Infrastructure Services" for historical data.</t>
        </is>
      </c>
      <c r="H346" s="2" t="inlineStr">
        <is>
          <t>NZ Wide - Head Office - 130 Kerrs Rd</t>
        </is>
      </c>
      <c r="I346" s="2" t="inlineStr">
        <is>
          <t>Wiri</t>
        </is>
      </c>
      <c r="J346" s="2" t="inlineStr">
        <is>
          <t>Auckland</t>
        </is>
      </c>
      <c r="K346" s="2" t="n">
        <v>7801</v>
      </c>
      <c r="L346" s="2" t="inlineStr">
        <is>
          <t>New Zealand</t>
        </is>
      </c>
      <c r="M346" s="2" t="inlineStr">
        <is>
          <t>Manurewa</t>
        </is>
      </c>
      <c r="N346" s="2" t="inlineStr">
        <is>
          <t>New Zealand</t>
        </is>
      </c>
      <c r="P346" s="2" t="inlineStr">
        <is>
          <t>Operational Control</t>
        </is>
      </c>
      <c r="Q346" s="2" t="inlineStr">
        <is>
          <t>Operational Control</t>
        </is>
      </c>
      <c r="R346" s="2" t="inlineStr">
        <is>
          <t>Transport &amp; Infrastructure (T&amp;I)</t>
        </is>
      </c>
      <c r="S346" s="2" t="inlineStr">
        <is>
          <t>Downer</t>
        </is>
      </c>
      <c r="T346" s="2" t="n">
        <v>100</v>
      </c>
      <c r="U346" s="2" t="inlineStr">
        <is>
          <t>1899/12/31</t>
        </is>
      </c>
      <c r="W346" s="2" t="inlineStr">
        <is>
          <t>Classification</t>
        </is>
      </c>
      <c r="X346" s="2" t="n">
        <v>-37.008338</v>
      </c>
      <c r="Y346" s="2" t="n">
        <v>174.870574</v>
      </c>
      <c r="Z346" s="2" t="n">
        <v>729</v>
      </c>
      <c r="AA346" s="11" t="n">
        <v>42917</v>
      </c>
    </row>
    <row r="347">
      <c r="A347" s="2" t="inlineStr">
        <is>
          <t>Downer</t>
        </is>
      </c>
      <c r="B347" s="2" t="inlineStr">
        <is>
          <t>_CLOSED_Plant_T_ UFB</t>
        </is>
      </c>
      <c r="C347" s="2" t="inlineStr">
        <is>
          <t>Other</t>
        </is>
      </c>
      <c r="D347" s="2" t="inlineStr">
        <is>
          <t>L9.DNZJ.1924</t>
        </is>
      </c>
      <c r="E347" s="2" t="n">
        <v>5092</v>
      </c>
      <c r="G347" s="2" t="inlineStr">
        <is>
          <t>Organisation and provision of Plant to operations - New facilities established for more granular reporting and to reflect new structure for FY17. See facility named "NZ-Infrastructure Services" for historical data.</t>
        </is>
      </c>
      <c r="H347" s="2" t="inlineStr">
        <is>
          <t>NZ Wide - Head Office - 130 Kerrs Rd</t>
        </is>
      </c>
      <c r="I347" s="2" t="inlineStr">
        <is>
          <t>Wiri</t>
        </is>
      </c>
      <c r="J347" s="2" t="inlineStr">
        <is>
          <t>Auckland</t>
        </is>
      </c>
      <c r="K347" s="2" t="n">
        <v>7011</v>
      </c>
      <c r="L347" s="2" t="inlineStr">
        <is>
          <t>New Zealand</t>
        </is>
      </c>
      <c r="M347" s="2" t="inlineStr">
        <is>
          <t>Manurewa</t>
        </is>
      </c>
      <c r="N347" s="2" t="inlineStr">
        <is>
          <t>New Zealand</t>
        </is>
      </c>
      <c r="P347" s="2" t="inlineStr">
        <is>
          <t>Operational Control</t>
        </is>
      </c>
      <c r="Q347" s="2" t="inlineStr">
        <is>
          <t>Operational Control</t>
        </is>
      </c>
      <c r="R347" s="2" t="inlineStr">
        <is>
          <t>Transport &amp; Infrastructure (T&amp;I)</t>
        </is>
      </c>
      <c r="S347" s="2" t="inlineStr">
        <is>
          <t>Downer</t>
        </is>
      </c>
      <c r="T347" s="2" t="n">
        <v>100</v>
      </c>
      <c r="U347" s="2" t="inlineStr">
        <is>
          <t>1899/12/31</t>
        </is>
      </c>
      <c r="W347" s="2" t="inlineStr">
        <is>
          <t>Classification</t>
        </is>
      </c>
      <c r="X347" s="2" t="n">
        <v>-37.008338</v>
      </c>
      <c r="Y347" s="2" t="n">
        <v>174.870574</v>
      </c>
      <c r="Z347" s="2" t="n">
        <v>729</v>
      </c>
      <c r="AA347" s="11" t="n">
        <v>42917</v>
      </c>
    </row>
    <row r="348">
      <c r="A348" s="2" t="inlineStr">
        <is>
          <t>Downer</t>
        </is>
      </c>
      <c r="B348" s="2" t="inlineStr">
        <is>
          <t>_CLOSED_Port Augusta Rail Depot</t>
        </is>
      </c>
      <c r="C348" s="2" t="inlineStr">
        <is>
          <t>Other</t>
        </is>
      </c>
      <c r="D348" s="2" t="inlineStr">
        <is>
          <t>L9.J.20043033</t>
        </is>
      </c>
      <c r="E348" s="2" t="n">
        <v>228</v>
      </c>
      <c r="H348" s="2" t="inlineStr">
        <is>
          <t>Unit 4, Flinders View (cnr National Hwy One &amp; Power Station Rd)</t>
        </is>
      </c>
      <c r="I348" s="2" t="inlineStr">
        <is>
          <t>Port Augusta</t>
        </is>
      </c>
      <c r="J348" s="2" t="inlineStr">
        <is>
          <t>SA</t>
        </is>
      </c>
      <c r="K348" s="2" t="n">
        <v>5700</v>
      </c>
      <c r="L348" s="2" t="inlineStr">
        <is>
          <t>Australia</t>
        </is>
      </c>
      <c r="M348" s="2" t="inlineStr">
        <is>
          <t>South Australia</t>
        </is>
      </c>
      <c r="N348" s="2" t="inlineStr">
        <is>
          <t>Australia</t>
        </is>
      </c>
      <c r="P348" s="2" t="inlineStr">
        <is>
          <t>Operational Control</t>
        </is>
      </c>
      <c r="Q348" s="2" t="inlineStr">
        <is>
          <t>Operational Control</t>
        </is>
      </c>
      <c r="R348" s="2" t="inlineStr">
        <is>
          <t>DT Infrastructure (pre Sept 23 divestment)</t>
        </is>
      </c>
      <c r="S348" s="2" t="inlineStr">
        <is>
          <t>Downer</t>
        </is>
      </c>
      <c r="T348" s="2" t="n">
        <v>100</v>
      </c>
      <c r="V348" s="11" t="n">
        <v>45199</v>
      </c>
      <c r="W348" s="2" t="inlineStr">
        <is>
          <t>Classification</t>
        </is>
      </c>
      <c r="X348" s="2" t="n">
        <v>-32.51</v>
      </c>
      <c r="Y348" s="2" t="n">
        <v>137.786</v>
      </c>
      <c r="Z348" s="2" t="n">
        <v>310</v>
      </c>
      <c r="AB348" s="11" t="n">
        <v>42916</v>
      </c>
    </row>
    <row r="349">
      <c r="A349" s="2" t="inlineStr">
        <is>
          <t>Downer</t>
        </is>
      </c>
      <c r="B349" s="2" t="inlineStr">
        <is>
          <t>_CLOSED_Port Augusta-Rail</t>
        </is>
      </c>
      <c r="C349" s="2" t="inlineStr">
        <is>
          <t>Other</t>
        </is>
      </c>
      <c r="D349" s="2" t="inlineStr">
        <is>
          <t>L9.J.709004</t>
        </is>
      </c>
      <c r="E349" s="2" t="inlineStr">
        <is>
          <t>L9.J.709004</t>
        </is>
      </c>
      <c r="F349" s="2" t="n">
        <v>229</v>
      </c>
      <c r="H349" s="2" t="inlineStr">
        <is>
          <t>Carlton Parade</t>
        </is>
      </c>
      <c r="I349" s="2" t="inlineStr">
        <is>
          <t>Port Augusta</t>
        </is>
      </c>
      <c r="J349" s="2" t="inlineStr">
        <is>
          <t>South Australia</t>
        </is>
      </c>
      <c r="K349" s="2" t="n">
        <v>5700</v>
      </c>
      <c r="L349" s="2" t="inlineStr">
        <is>
          <t>Australia</t>
        </is>
      </c>
      <c r="M349" s="2" t="inlineStr">
        <is>
          <t>South Australia</t>
        </is>
      </c>
      <c r="N349" s="2" t="inlineStr">
        <is>
          <t>Australia</t>
        </is>
      </c>
      <c r="P349" s="2" t="inlineStr">
        <is>
          <t>Operational Control</t>
        </is>
      </c>
      <c r="Q349" s="2" t="inlineStr">
        <is>
          <t>Operational Control</t>
        </is>
      </c>
      <c r="R349" s="2" t="inlineStr">
        <is>
          <t>Rail &amp; Transit Systems (RTS)</t>
        </is>
      </c>
      <c r="S349" s="2" t="inlineStr">
        <is>
          <t>Downer</t>
        </is>
      </c>
      <c r="T349" s="2" t="n">
        <v>100</v>
      </c>
      <c r="W349" s="2" t="inlineStr">
        <is>
          <t>Classification</t>
        </is>
      </c>
      <c r="X349" s="2" t="n">
        <v>-32.488</v>
      </c>
      <c r="Y349" s="2" t="n">
        <v>137.78</v>
      </c>
      <c r="Z349" s="2" t="n">
        <v>239</v>
      </c>
      <c r="AB349" s="11" t="n">
        <v>43281</v>
      </c>
    </row>
    <row r="350">
      <c r="A350" s="2" t="inlineStr">
        <is>
          <t>Downer</t>
        </is>
      </c>
      <c r="B350" s="2" t="inlineStr">
        <is>
          <t>_Closed_Port Macquarie - Jindalee Rd</t>
        </is>
      </c>
      <c r="C350" s="2" t="inlineStr">
        <is>
          <t>Branch Office</t>
        </is>
      </c>
      <c r="D350" s="2" t="inlineStr">
        <is>
          <t>L9.J.23900027</t>
        </is>
      </c>
      <c r="E350" s="2" t="n">
        <v>9120</v>
      </c>
      <c r="H350" s="2" t="inlineStr">
        <is>
          <t>1/37 Jindalee Road</t>
        </is>
      </c>
      <c r="I350" s="2" t="inlineStr">
        <is>
          <t>Port Macquarie</t>
        </is>
      </c>
      <c r="J350" s="2" t="inlineStr">
        <is>
          <t>NSW</t>
        </is>
      </c>
      <c r="K350" s="2" t="n">
        <v>2444</v>
      </c>
      <c r="M350" s="2" t="inlineStr">
        <is>
          <t>New South Wales</t>
        </is>
      </c>
      <c r="N350" s="2" t="inlineStr">
        <is>
          <t>Australia</t>
        </is>
      </c>
      <c r="P350" s="2" t="inlineStr">
        <is>
          <t>Operational Control</t>
        </is>
      </c>
      <c r="Q350" s="2" t="inlineStr">
        <is>
          <t>Operational Control</t>
        </is>
      </c>
      <c r="R350" s="2" t="inlineStr">
        <is>
          <t>Energy and Utilities (EU)</t>
        </is>
      </c>
      <c r="S350" s="2" t="inlineStr">
        <is>
          <t>Downer</t>
        </is>
      </c>
      <c r="T350" s="2" t="n">
        <v>100</v>
      </c>
      <c r="W350" s="2" t="inlineStr">
        <is>
          <t>Classification</t>
        </is>
      </c>
      <c r="X350" s="2" t="n">
        <v>-31.452044</v>
      </c>
      <c r="Y350" s="2" t="n">
        <v>152.884119</v>
      </c>
      <c r="Z350" s="2" t="n">
        <v>692</v>
      </c>
      <c r="AB350" s="11" t="n">
        <v>44951</v>
      </c>
    </row>
    <row r="351">
      <c r="A351" s="2" t="inlineStr">
        <is>
          <t>Downer</t>
        </is>
      </c>
      <c r="B351" s="2" t="inlineStr">
        <is>
          <t>_CLOSED_Port Melbourne-EC&amp;M</t>
        </is>
      </c>
      <c r="C351" s="2" t="inlineStr">
        <is>
          <t>Other</t>
        </is>
      </c>
      <c r="D351" s="2" t="inlineStr">
        <is>
          <t>L9.S.16015072</t>
        </is>
      </c>
      <c r="E351" s="2" t="inlineStr">
        <is>
          <t>L9.S.16015072</t>
        </is>
      </c>
      <c r="F351" s="2" t="n">
        <v>519</v>
      </c>
      <c r="G351" s="2" t="inlineStr">
        <is>
          <t>This facility established January 2016 to allow for separate reporting for IS &amp; EC&amp;M - data previously reported through "Port Melbourne" which has been renamed as "Port Melbourne-Infrastructure Services" Facility #350.
Site closed - replaced by Collins Street, Collins Street electricity should be captured by T&amp;I.</t>
        </is>
      </c>
      <c r="H351" s="2" t="inlineStr">
        <is>
          <t>Level 2 650 Lorimer St</t>
        </is>
      </c>
      <c r="I351" s="2" t="inlineStr">
        <is>
          <t>Port Melbourne</t>
        </is>
      </c>
      <c r="J351" s="2" t="inlineStr">
        <is>
          <t>VIC</t>
        </is>
      </c>
      <c r="K351" s="2" t="n">
        <v>3207</v>
      </c>
      <c r="L351" s="2" t="inlineStr">
        <is>
          <t>Australia</t>
        </is>
      </c>
      <c r="M351" s="2" t="inlineStr">
        <is>
          <t>Victoria</t>
        </is>
      </c>
      <c r="N351" s="2" t="inlineStr">
        <is>
          <t>Australia</t>
        </is>
      </c>
      <c r="P351" s="2" t="inlineStr">
        <is>
          <t>Operational Control</t>
        </is>
      </c>
      <c r="Q351" s="2" t="inlineStr">
        <is>
          <t>Operational Control</t>
        </is>
      </c>
      <c r="R351" s="2" t="inlineStr">
        <is>
          <t>Asset &amp; Development Services (Baseline)</t>
        </is>
      </c>
      <c r="S351" s="2" t="inlineStr">
        <is>
          <t>Downer</t>
        </is>
      </c>
      <c r="T351" s="2" t="n">
        <v>100</v>
      </c>
      <c r="V351" s="11" t="n">
        <v>45107</v>
      </c>
      <c r="W351" s="2" t="inlineStr">
        <is>
          <t>Classification</t>
        </is>
      </c>
      <c r="X351" s="2" t="n">
        <v>-37.821</v>
      </c>
      <c r="Y351" s="2" t="n">
        <v>144.92</v>
      </c>
      <c r="Z351" s="2" t="n">
        <v>310</v>
      </c>
    </row>
    <row r="352">
      <c r="A352" s="2" t="inlineStr">
        <is>
          <t>Downer</t>
        </is>
      </c>
      <c r="B352" s="2" t="inlineStr">
        <is>
          <t>_CLOSED_Power - ElectraNet SA</t>
        </is>
      </c>
      <c r="C352" s="2" t="inlineStr">
        <is>
          <t>Other</t>
        </is>
      </c>
      <c r="D352" s="2" t="inlineStr">
        <is>
          <t>L9.J.37740078</t>
        </is>
      </c>
      <c r="E352" s="2" t="inlineStr">
        <is>
          <t>IP-37740078</t>
        </is>
      </c>
      <c r="G352" s="2" t="inlineStr">
        <is>
          <t>DO_Regency Park (Adelaide)</t>
        </is>
      </c>
      <c r="H352" s="2" t="inlineStr">
        <is>
          <t>24 Taminga Street</t>
        </is>
      </c>
      <c r="I352" s="2" t="inlineStr">
        <is>
          <t>Regency Park</t>
        </is>
      </c>
      <c r="J352" s="2" t="inlineStr">
        <is>
          <t>SA</t>
        </is>
      </c>
      <c r="K352" s="2" t="n">
        <v>5010</v>
      </c>
      <c r="L352" s="2" t="inlineStr">
        <is>
          <t>Australia</t>
        </is>
      </c>
      <c r="M352" s="2" t="inlineStr">
        <is>
          <t>South Australia</t>
        </is>
      </c>
      <c r="N352" s="2" t="inlineStr">
        <is>
          <t>Australia</t>
        </is>
      </c>
      <c r="P352" s="2" t="inlineStr">
        <is>
          <t>Operational Control</t>
        </is>
      </c>
      <c r="Q352" s="2" t="inlineStr">
        <is>
          <t>Operational Control</t>
        </is>
      </c>
      <c r="R352" s="2" t="inlineStr">
        <is>
          <t>Energy and Utilities (EU)</t>
        </is>
      </c>
      <c r="S352" s="2" t="inlineStr">
        <is>
          <t>Downer</t>
        </is>
      </c>
      <c r="T352" s="2" t="n">
        <v>100</v>
      </c>
      <c r="W352" s="2" t="inlineStr">
        <is>
          <t>Classification</t>
        </is>
      </c>
      <c r="X352" s="2" t="n">
        <v>-34.860023</v>
      </c>
      <c r="Y352" s="2" t="n">
        <v>138.572964</v>
      </c>
      <c r="Z352" s="2" t="n">
        <v>310</v>
      </c>
      <c r="AB352" s="11" t="n">
        <v>44012</v>
      </c>
    </row>
    <row r="353">
      <c r="A353" s="2" t="inlineStr">
        <is>
          <t>Downer</t>
        </is>
      </c>
      <c r="B353" s="2" t="inlineStr">
        <is>
          <t>_CLOSED_Power - Substations VIC</t>
        </is>
      </c>
      <c r="C353" s="2" t="inlineStr">
        <is>
          <t>Other</t>
        </is>
      </c>
      <c r="D353" s="2" t="inlineStr">
        <is>
          <t>L9.J.37740074</t>
        </is>
      </c>
      <c r="E353" s="2" t="n">
        <v>7034</v>
      </c>
      <c r="H353" s="2" t="inlineStr">
        <is>
          <t>567 Collins Street</t>
        </is>
      </c>
      <c r="I353" s="2" t="inlineStr">
        <is>
          <t>Melbourne</t>
        </is>
      </c>
      <c r="J353" s="2" t="inlineStr">
        <is>
          <t>VIC</t>
        </is>
      </c>
      <c r="K353" s="2" t="n">
        <v>3000</v>
      </c>
      <c r="L353" s="2" t="inlineStr">
        <is>
          <t>Australia</t>
        </is>
      </c>
      <c r="M353" s="2" t="inlineStr">
        <is>
          <t>Victoria</t>
        </is>
      </c>
      <c r="N353" s="2" t="inlineStr">
        <is>
          <t>Australia</t>
        </is>
      </c>
      <c r="P353" s="2" t="inlineStr">
        <is>
          <t>Operational Control</t>
        </is>
      </c>
      <c r="Q353" s="2" t="inlineStr">
        <is>
          <t>Operational Control</t>
        </is>
      </c>
      <c r="R353" s="2" t="inlineStr">
        <is>
          <t>Energy and Utilities (EU)</t>
        </is>
      </c>
      <c r="S353" s="2" t="inlineStr">
        <is>
          <t>Downer</t>
        </is>
      </c>
      <c r="T353" s="2" t="n">
        <v>100</v>
      </c>
      <c r="W353" s="2" t="inlineStr">
        <is>
          <t>Classification</t>
        </is>
      </c>
      <c r="X353" s="2" t="n">
        <v>-37.819015</v>
      </c>
      <c r="Y353" s="2" t="n">
        <v>144.955762</v>
      </c>
      <c r="Z353" s="2" t="n">
        <v>310</v>
      </c>
      <c r="AB353" s="11" t="n">
        <v>44377</v>
      </c>
    </row>
    <row r="354">
      <c r="A354" s="2" t="inlineStr">
        <is>
          <t>Downer</t>
        </is>
      </c>
      <c r="B354" s="2" t="inlineStr">
        <is>
          <t>_CLOSED_Printing</t>
        </is>
      </c>
      <c r="C354" s="2" t="inlineStr">
        <is>
          <t>Office</t>
        </is>
      </c>
      <c r="D354" s="2" t="inlineStr">
        <is>
          <t>L9.J.104</t>
        </is>
      </c>
      <c r="E354" s="2" t="n">
        <v>1015</v>
      </c>
      <c r="M354" s="2" t="inlineStr">
        <is>
          <t>New South Wales</t>
        </is>
      </c>
      <c r="N354" s="2" t="inlineStr">
        <is>
          <t>Australia</t>
        </is>
      </c>
      <c r="P354" s="2" t="inlineStr">
        <is>
          <t>Operational Control</t>
        </is>
      </c>
      <c r="Q354" s="2" t="inlineStr">
        <is>
          <t>Operational Control</t>
        </is>
      </c>
      <c r="R354" s="2" t="inlineStr">
        <is>
          <t>Corporate</t>
        </is>
      </c>
      <c r="S354" s="2" t="inlineStr">
        <is>
          <t>Downer</t>
        </is>
      </c>
      <c r="T354" s="2" t="n">
        <v>100</v>
      </c>
      <c r="W354" s="2" t="inlineStr">
        <is>
          <t>Classification</t>
        </is>
      </c>
      <c r="Z354" s="2" t="n">
        <v>729</v>
      </c>
    </row>
    <row r="355">
      <c r="A355" s="2" t="inlineStr">
        <is>
          <t>Downer</t>
        </is>
      </c>
      <c r="B355" s="2" t="inlineStr">
        <is>
          <t>_CLOSED_Pymble Underpass Upgrade</t>
        </is>
      </c>
      <c r="C355" s="2" t="inlineStr">
        <is>
          <t>Public Amenity</t>
        </is>
      </c>
      <c r="D355" s="2" t="inlineStr">
        <is>
          <t>L9.J.30130044</t>
        </is>
      </c>
      <c r="E355" s="2" t="n">
        <v>9209</v>
      </c>
      <c r="M355" s="2" t="inlineStr">
        <is>
          <t>New South Wales</t>
        </is>
      </c>
      <c r="N355" s="2" t="inlineStr">
        <is>
          <t>Australia</t>
        </is>
      </c>
      <c r="P355" s="2" t="inlineStr">
        <is>
          <t>Operational Control</t>
        </is>
      </c>
      <c r="Q355" s="2" t="inlineStr">
        <is>
          <t>Operational Control</t>
        </is>
      </c>
      <c r="R355" s="2" t="inlineStr">
        <is>
          <t>Asset &amp; Development Services (Baseline)</t>
        </is>
      </c>
      <c r="S355" s="2" t="inlineStr">
        <is>
          <t>Downer</t>
        </is>
      </c>
      <c r="T355" s="2" t="n">
        <v>100</v>
      </c>
      <c r="V355" s="11" t="n">
        <v>45107</v>
      </c>
      <c r="W355" s="2" t="inlineStr">
        <is>
          <t>Classification</t>
        </is>
      </c>
      <c r="Z355" s="2" t="n">
        <v>3232</v>
      </c>
    </row>
    <row r="356">
      <c r="A356" s="2" t="inlineStr">
        <is>
          <t>Downer</t>
        </is>
      </c>
      <c r="B356" s="2" t="inlineStr">
        <is>
          <t>_CLOSED_Q02707 - M76 Pipeline Renewal</t>
        </is>
      </c>
      <c r="C356" s="2" t="inlineStr">
        <is>
          <t>Construction Site</t>
        </is>
      </c>
      <c r="D356" s="2" t="inlineStr">
        <is>
          <t>L9.J.25820026</t>
        </is>
      </c>
      <c r="F356" s="2" t="inlineStr">
        <is>
          <t>UT-25820026 - M76 Water Main Renewal</t>
        </is>
      </c>
      <c r="M356" s="2" t="inlineStr">
        <is>
          <t>Victoria</t>
        </is>
      </c>
      <c r="N356" s="2" t="inlineStr">
        <is>
          <t>Australia</t>
        </is>
      </c>
      <c r="P356" s="2" t="inlineStr">
        <is>
          <t>Operational Control</t>
        </is>
      </c>
      <c r="Q356" s="2" t="inlineStr">
        <is>
          <t>Operational Control</t>
        </is>
      </c>
      <c r="R356" s="2" t="inlineStr">
        <is>
          <t>Energy and Utilities (EU)</t>
        </is>
      </c>
      <c r="S356" s="2" t="inlineStr">
        <is>
          <t>Downer</t>
        </is>
      </c>
      <c r="T356" s="2" t="n">
        <v>100</v>
      </c>
      <c r="W356" s="2" t="inlineStr">
        <is>
          <t>Classification</t>
        </is>
      </c>
      <c r="AA356" s="11" t="n">
        <v>45170</v>
      </c>
      <c r="AB356" s="11" t="n">
        <v>45838</v>
      </c>
    </row>
    <row r="357">
      <c r="A357" s="2" t="inlineStr">
        <is>
          <t>Downer</t>
        </is>
      </c>
      <c r="B357" s="2" t="inlineStr">
        <is>
          <t>_CLOSED_Q04385 - Yan Yean WTP Upgrade</t>
        </is>
      </c>
      <c r="C357" s="2" t="inlineStr">
        <is>
          <t>Site</t>
        </is>
      </c>
      <c r="D357" s="2" t="inlineStr">
        <is>
          <t>L9.J.25860002</t>
        </is>
      </c>
      <c r="E357" s="2" t="inlineStr">
        <is>
          <t>UTIL-25860002</t>
        </is>
      </c>
      <c r="G357" s="2" t="inlineStr">
        <is>
          <t>SFP Yan Yean WTP Upgrade</t>
        </is>
      </c>
      <c r="M357" s="2" t="inlineStr">
        <is>
          <t>Victoria</t>
        </is>
      </c>
      <c r="N357" s="2" t="inlineStr">
        <is>
          <t>Australia</t>
        </is>
      </c>
      <c r="P357" s="2" t="inlineStr">
        <is>
          <t>Operational Control</t>
        </is>
      </c>
      <c r="Q357" s="2" t="inlineStr">
        <is>
          <t>Operational Control</t>
        </is>
      </c>
      <c r="R357" s="2" t="inlineStr">
        <is>
          <t>Energy and Utilities (EU)</t>
        </is>
      </c>
      <c r="S357" s="2" t="inlineStr">
        <is>
          <t>Downer</t>
        </is>
      </c>
      <c r="T357" s="2" t="n">
        <v>100</v>
      </c>
      <c r="W357" s="2" t="inlineStr">
        <is>
          <t>Classification</t>
        </is>
      </c>
      <c r="AB357" s="11" t="n">
        <v>45626</v>
      </c>
    </row>
    <row r="358">
      <c r="A358" s="2" t="inlineStr">
        <is>
          <t>Downer</t>
        </is>
      </c>
      <c r="B358" s="2" t="inlineStr">
        <is>
          <t>_CLOSED_Q05102 - ETP WAS Capacity Upgrade Project</t>
        </is>
      </c>
      <c r="C358" s="2" t="inlineStr">
        <is>
          <t>Site</t>
        </is>
      </c>
      <c r="D358" s="2" t="inlineStr">
        <is>
          <t>L9.J.25820011</t>
        </is>
      </c>
      <c r="E358" s="2" t="inlineStr">
        <is>
          <t>UTIL-25820011</t>
        </is>
      </c>
      <c r="G358" s="2" t="inlineStr">
        <is>
          <t>SFP ETP WAS Capacity Upgrade Project</t>
        </is>
      </c>
      <c r="M358" s="2" t="inlineStr">
        <is>
          <t>Victoria</t>
        </is>
      </c>
      <c r="N358" s="2" t="inlineStr">
        <is>
          <t>Australia</t>
        </is>
      </c>
      <c r="P358" s="2" t="inlineStr">
        <is>
          <t>Operational Control</t>
        </is>
      </c>
      <c r="Q358" s="2" t="inlineStr">
        <is>
          <t>Operational Control</t>
        </is>
      </c>
      <c r="R358" s="2" t="inlineStr">
        <is>
          <t>Energy and Utilities (EU)</t>
        </is>
      </c>
      <c r="S358" s="2" t="inlineStr">
        <is>
          <t>Downer</t>
        </is>
      </c>
      <c r="T358" s="2" t="n">
        <v>100</v>
      </c>
      <c r="W358" s="2" t="inlineStr">
        <is>
          <t>Classification</t>
        </is>
      </c>
      <c r="AB358" s="11" t="n">
        <v>45657</v>
      </c>
    </row>
    <row r="359">
      <c r="A359" s="2" t="inlineStr">
        <is>
          <t>Downer</t>
        </is>
      </c>
      <c r="B359" s="2" t="inlineStr">
        <is>
          <t>_CLOSED_Q05322 - Yan Yean Pump Station</t>
        </is>
      </c>
      <c r="C359" s="2" t="inlineStr">
        <is>
          <t>Site</t>
        </is>
      </c>
      <c r="D359" s="2" t="inlineStr">
        <is>
          <t>L9.J.25820020</t>
        </is>
      </c>
      <c r="E359" s="2" t="inlineStr">
        <is>
          <t>UTIL-25820020 - Yan Yean Pumping Station</t>
        </is>
      </c>
      <c r="M359" s="2" t="inlineStr">
        <is>
          <t>Victoria</t>
        </is>
      </c>
      <c r="N359" s="2" t="inlineStr">
        <is>
          <t>Australia</t>
        </is>
      </c>
      <c r="P359" s="2" t="inlineStr">
        <is>
          <t>Operational Control</t>
        </is>
      </c>
      <c r="Q359" s="2" t="inlineStr">
        <is>
          <t>Operational Control</t>
        </is>
      </c>
      <c r="R359" s="2" t="inlineStr">
        <is>
          <t>Energy and Utilities (EU)</t>
        </is>
      </c>
      <c r="S359" s="2" t="inlineStr">
        <is>
          <t>Downer</t>
        </is>
      </c>
      <c r="T359" s="2" t="n">
        <v>100</v>
      </c>
      <c r="W359" s="2" t="inlineStr">
        <is>
          <t>Classification</t>
        </is>
      </c>
      <c r="AB359" s="11" t="n">
        <v>45657</v>
      </c>
    </row>
    <row r="360">
      <c r="A360" s="2" t="inlineStr">
        <is>
          <t>Downer</t>
        </is>
      </c>
      <c r="B360" s="2" t="inlineStr">
        <is>
          <t>_CLOSED_Q05333 - Yan Yean Bald Hill Pipeline</t>
        </is>
      </c>
      <c r="C360" s="2" t="inlineStr">
        <is>
          <t>Site</t>
        </is>
      </c>
      <c r="D360" s="2" t="inlineStr">
        <is>
          <t>L9.J.25820021</t>
        </is>
      </c>
      <c r="E360" s="2" t="inlineStr">
        <is>
          <t>L9.J.25820021</t>
        </is>
      </c>
      <c r="M360" s="2" t="inlineStr">
        <is>
          <t>Victoria</t>
        </is>
      </c>
      <c r="N360" s="2" t="inlineStr">
        <is>
          <t>Australia</t>
        </is>
      </c>
      <c r="P360" s="2" t="inlineStr">
        <is>
          <t>Operational Control</t>
        </is>
      </c>
      <c r="Q360" s="2" t="inlineStr">
        <is>
          <t>Operational Control</t>
        </is>
      </c>
      <c r="R360" s="2" t="inlineStr">
        <is>
          <t>Energy and Utilities (EU)</t>
        </is>
      </c>
      <c r="S360" s="2" t="inlineStr">
        <is>
          <t>Downer</t>
        </is>
      </c>
      <c r="T360" s="2" t="n">
        <v>100</v>
      </c>
      <c r="W360" s="2" t="inlineStr">
        <is>
          <t>Classification</t>
        </is>
      </c>
      <c r="AB360" s="11" t="n">
        <v>45622</v>
      </c>
    </row>
    <row r="361">
      <c r="A361" s="2" t="inlineStr">
        <is>
          <t>Downer</t>
        </is>
      </c>
      <c r="B361" s="2" t="inlineStr">
        <is>
          <t>_CLOSED_QLD (DMJV)</t>
        </is>
      </c>
      <c r="C361" s="2" t="inlineStr">
        <is>
          <t>Depot</t>
        </is>
      </c>
      <c r="D361" s="2" t="inlineStr">
        <is>
          <t>L9.J.17020953</t>
        </is>
      </c>
      <c r="E361" s="2" t="n">
        <v>385</v>
      </c>
      <c r="G361" s="2" t="inlineStr">
        <is>
          <t>Multiple Depots:
Nov 2019: 28 ENTERPRISE ST KUNDA PARK QLD 4556</t>
        </is>
      </c>
      <c r="H361" s="2" t="inlineStr">
        <is>
          <t>21 Lear Jet Drive</t>
        </is>
      </c>
      <c r="I361" s="2" t="inlineStr">
        <is>
          <t>Caboolture</t>
        </is>
      </c>
      <c r="J361" s="2" t="inlineStr">
        <is>
          <t>QLD</t>
        </is>
      </c>
      <c r="K361" s="2" t="n">
        <v>4510</v>
      </c>
      <c r="L361" s="2" t="inlineStr">
        <is>
          <t>Australia</t>
        </is>
      </c>
      <c r="M361" s="2" t="inlineStr">
        <is>
          <t>Queensland</t>
        </is>
      </c>
      <c r="N361" s="2" t="inlineStr">
        <is>
          <t>Australia</t>
        </is>
      </c>
      <c r="P361" s="2" t="inlineStr">
        <is>
          <t>Operational Control</t>
        </is>
      </c>
      <c r="Q361" s="2" t="inlineStr">
        <is>
          <t>Operational Control</t>
        </is>
      </c>
      <c r="R361" s="2" t="inlineStr">
        <is>
          <t>Transport &amp; Infrastructure (T&amp;I)</t>
        </is>
      </c>
      <c r="S361" s="2" t="inlineStr">
        <is>
          <t>Downer</t>
        </is>
      </c>
      <c r="T361" s="2" t="n">
        <v>100</v>
      </c>
      <c r="W361" s="2" t="inlineStr">
        <is>
          <t>Classification</t>
        </is>
      </c>
      <c r="X361" s="2" t="n">
        <v>-27.0795</v>
      </c>
      <c r="Y361" s="2" t="n">
        <v>152.9782</v>
      </c>
      <c r="Z361" s="2" t="n">
        <v>310</v>
      </c>
    </row>
    <row r="362">
      <c r="A362" s="2" t="inlineStr">
        <is>
          <t>Downer</t>
        </is>
      </c>
      <c r="B362" s="2" t="inlineStr">
        <is>
          <t>_CLOSED_Quarry_Bartletts</t>
        </is>
      </c>
      <c r="C362" s="2" t="inlineStr">
        <is>
          <t>Other</t>
        </is>
      </c>
      <c r="D362" s="2" t="inlineStr">
        <is>
          <t>L9.DNZJ.55330</t>
        </is>
      </c>
      <c r="E362" s="2" t="n">
        <v>5093</v>
      </c>
      <c r="G362" s="2" t="inlineStr">
        <is>
          <t>Quarrying of construction materials - New facilities established for more granular reporting and to reflect new structure for FY17. See facility named "NZ-Infrastructure Services" for historical data.</t>
        </is>
      </c>
      <c r="H362" s="2" t="inlineStr">
        <is>
          <t>272 Bartlett Road</t>
        </is>
      </c>
      <c r="I362" s="2" t="inlineStr">
        <is>
          <t>Appleby</t>
        </is>
      </c>
      <c r="J362" s="2" t="inlineStr">
        <is>
          <t>Tasman</t>
        </is>
      </c>
      <c r="K362" s="2" t="n">
        <v>4072</v>
      </c>
      <c r="L362" s="2" t="inlineStr">
        <is>
          <t>New Zealand</t>
        </is>
      </c>
      <c r="M362" s="2" t="inlineStr">
        <is>
          <t>Brightwater</t>
        </is>
      </c>
      <c r="N362" s="2" t="inlineStr">
        <is>
          <t>New Zealand</t>
        </is>
      </c>
      <c r="P362" s="2" t="inlineStr">
        <is>
          <t>Operational Control</t>
        </is>
      </c>
      <c r="Q362" s="2" t="inlineStr">
        <is>
          <t>Operational Control</t>
        </is>
      </c>
      <c r="R362" s="2" t="inlineStr">
        <is>
          <t>Transport &amp; Infrastructure (T&amp;I)</t>
        </is>
      </c>
      <c r="S362" s="2" t="inlineStr">
        <is>
          <t>Downer</t>
        </is>
      </c>
      <c r="T362" s="2" t="n">
        <v>100</v>
      </c>
      <c r="U362" s="2" t="inlineStr">
        <is>
          <t>1899/12/31</t>
        </is>
      </c>
      <c r="W362" s="2" t="inlineStr">
        <is>
          <t>Classification</t>
        </is>
      </c>
      <c r="X362" s="2" t="n">
        <v>-41.3417226</v>
      </c>
      <c r="Y362" s="2" t="n">
        <v>173.120736999999</v>
      </c>
      <c r="Z362" s="2" t="inlineStr">
        <is>
          <t>091</t>
        </is>
      </c>
      <c r="AA362" s="11" t="n">
        <v>42917</v>
      </c>
    </row>
    <row r="363">
      <c r="A363" s="2" t="inlineStr">
        <is>
          <t>Downer</t>
        </is>
      </c>
      <c r="B363" s="2" t="inlineStr">
        <is>
          <t>_CLOSED_Quarry_Marsden</t>
        </is>
      </c>
      <c r="C363" s="2" t="inlineStr">
        <is>
          <t>Other</t>
        </is>
      </c>
      <c r="D363" s="2" t="inlineStr">
        <is>
          <t>L9.DNZJ.55331</t>
        </is>
      </c>
      <c r="E363" s="2" t="n">
        <v>5094</v>
      </c>
      <c r="G363" s="2" t="inlineStr">
        <is>
          <t>Quarrying of construction materials - New facilities established for more granular reporting and to reflect new structure for FY17. See facility named "NZ-Infrastructure Services" for historical data.</t>
        </is>
      </c>
      <c r="H363" s="2" t="inlineStr">
        <is>
          <t>265 Marsden Valley Road, Stoke</t>
        </is>
      </c>
      <c r="I363" s="2" t="inlineStr">
        <is>
          <t>Nelson</t>
        </is>
      </c>
      <c r="J363" s="2" t="inlineStr">
        <is>
          <t>Nelson</t>
        </is>
      </c>
      <c r="K363" s="2" t="n">
        <v>2104</v>
      </c>
      <c r="L363" s="2" t="inlineStr">
        <is>
          <t>New Zealand</t>
        </is>
      </c>
      <c r="M363" s="2" t="inlineStr">
        <is>
          <t>Nelson</t>
        </is>
      </c>
      <c r="N363" s="2" t="inlineStr">
        <is>
          <t>New Zealand</t>
        </is>
      </c>
      <c r="P363" s="2" t="inlineStr">
        <is>
          <t>Operational Control</t>
        </is>
      </c>
      <c r="Q363" s="2" t="inlineStr">
        <is>
          <t>Operational Control</t>
        </is>
      </c>
      <c r="R363" s="2" t="inlineStr">
        <is>
          <t>Transport &amp; Infrastructure (T&amp;I)</t>
        </is>
      </c>
      <c r="S363" s="2" t="inlineStr">
        <is>
          <t>Downer</t>
        </is>
      </c>
      <c r="T363" s="2" t="n">
        <v>100</v>
      </c>
      <c r="U363" s="2" t="inlineStr">
        <is>
          <t>1899/12/31</t>
        </is>
      </c>
      <c r="W363" s="2" t="inlineStr">
        <is>
          <t>Classification</t>
        </is>
      </c>
      <c r="X363" s="2" t="n">
        <v>-41.3259455</v>
      </c>
      <c r="Y363" s="2" t="n">
        <v>173.261836099999</v>
      </c>
      <c r="Z363" s="2" t="inlineStr">
        <is>
          <t>091</t>
        </is>
      </c>
      <c r="AA363" s="11" t="n">
        <v>42917</v>
      </c>
    </row>
    <row r="364">
      <c r="A364" s="2" t="inlineStr">
        <is>
          <t>Downer</t>
        </is>
      </c>
      <c r="B364" s="2" t="inlineStr">
        <is>
          <t>_CLOSED_Quarry_WOK</t>
        </is>
      </c>
      <c r="C364" s="2" t="inlineStr">
        <is>
          <t>Other</t>
        </is>
      </c>
      <c r="D364" s="2" t="inlineStr">
        <is>
          <t>L9.DNZJ.55192</t>
        </is>
      </c>
      <c r="E364" s="2" t="n">
        <v>5095</v>
      </c>
      <c r="G364" s="2" t="inlineStr">
        <is>
          <t>Quarrying of construction materials - New facilities established for more granular reporting and to reflect new structure for FY17. See facility named "NZ-Infrastructure Services" for historical data.</t>
        </is>
      </c>
      <c r="H364" s="2" t="inlineStr">
        <is>
          <t>Tiniroto Rd (Warenga-O-Kuri (WOK) Quarry), Tiniroto</t>
        </is>
      </c>
      <c r="I364" s="2" t="inlineStr">
        <is>
          <t>Gisborne</t>
        </is>
      </c>
      <c r="J364" s="2" t="inlineStr">
        <is>
          <t>Gisborne</t>
        </is>
      </c>
      <c r="K364" s="2" t="n">
        <v>3116</v>
      </c>
      <c r="L364" s="2" t="inlineStr">
        <is>
          <t>New Zealand</t>
        </is>
      </c>
      <c r="M364" s="2" t="inlineStr">
        <is>
          <t>Manutuke</t>
        </is>
      </c>
      <c r="N364" s="2" t="inlineStr">
        <is>
          <t>New Zealand</t>
        </is>
      </c>
      <c r="P364" s="2" t="inlineStr">
        <is>
          <t>Operational Control</t>
        </is>
      </c>
      <c r="Q364" s="2" t="inlineStr">
        <is>
          <t>Operational Control</t>
        </is>
      </c>
      <c r="R364" s="2" t="inlineStr">
        <is>
          <t>Transport &amp; Infrastructure (T&amp;I)</t>
        </is>
      </c>
      <c r="S364" s="2" t="inlineStr">
        <is>
          <t>Downer</t>
        </is>
      </c>
      <c r="T364" s="2" t="n">
        <v>100</v>
      </c>
      <c r="U364" s="2" t="inlineStr">
        <is>
          <t>1899/12/31</t>
        </is>
      </c>
      <c r="W364" s="2" t="inlineStr">
        <is>
          <t>Classification</t>
        </is>
      </c>
      <c r="X364" s="2" t="n">
        <v>-38.7566135</v>
      </c>
      <c r="Y364" s="2" t="n">
        <v>177.5963337</v>
      </c>
      <c r="Z364" s="2" t="inlineStr">
        <is>
          <t>091</t>
        </is>
      </c>
      <c r="AA364" s="11" t="n">
        <v>42917</v>
      </c>
    </row>
    <row r="365">
      <c r="A365" s="2" t="inlineStr">
        <is>
          <t>Downer</t>
        </is>
      </c>
      <c r="B365" s="2" t="inlineStr">
        <is>
          <t>_CLOSED_Recharges_BP</t>
        </is>
      </c>
      <c r="C365" s="2" t="inlineStr">
        <is>
          <t>Other</t>
        </is>
      </c>
      <c r="D365" s="2" t="inlineStr">
        <is>
          <t>L9.J.17031978</t>
        </is>
      </c>
      <c r="E365" s="2" t="inlineStr">
        <is>
          <t>L9.J.17031978</t>
        </is>
      </c>
      <c r="G365" s="2" t="inlineStr">
        <is>
          <t>Corporate Central Support Services / Shared Services - New facilities established for more granular reporting and to reflect new structure for FY17. See facility named "NZ-Central Services (IT/NSC)" for historical data.</t>
        </is>
      </c>
      <c r="H365" s="2" t="inlineStr">
        <is>
          <t>130 Kerrs Rd</t>
        </is>
      </c>
      <c r="I365" s="2" t="inlineStr">
        <is>
          <t>Wiri</t>
        </is>
      </c>
      <c r="J365" s="2" t="inlineStr">
        <is>
          <t>Auckland</t>
        </is>
      </c>
      <c r="K365" s="2" t="n">
        <v>2104</v>
      </c>
      <c r="L365" s="2" t="inlineStr">
        <is>
          <t>New Zealand</t>
        </is>
      </c>
      <c r="M365" s="2" t="inlineStr">
        <is>
          <t>Manurewa</t>
        </is>
      </c>
      <c r="N365" s="2" t="inlineStr">
        <is>
          <t>New Zealand</t>
        </is>
      </c>
      <c r="P365" s="2" t="inlineStr">
        <is>
          <t>Operational Control</t>
        </is>
      </c>
      <c r="Q365" s="2" t="inlineStr">
        <is>
          <t>Operational Control</t>
        </is>
      </c>
      <c r="R365" s="2" t="inlineStr">
        <is>
          <t>Transport &amp; Infrastructure (T&amp;I)</t>
        </is>
      </c>
      <c r="S365" s="2" t="inlineStr">
        <is>
          <t>Downer</t>
        </is>
      </c>
      <c r="T365" s="2" t="n">
        <v>100</v>
      </c>
      <c r="W365" s="2" t="inlineStr">
        <is>
          <t>Classification</t>
        </is>
      </c>
      <c r="X365" s="2" t="n">
        <v>-37.008338</v>
      </c>
      <c r="Y365" s="2" t="n">
        <v>174.870574</v>
      </c>
      <c r="Z365" s="2" t="n">
        <v>729</v>
      </c>
      <c r="AA365" s="11" t="n">
        <v>42917</v>
      </c>
    </row>
    <row r="366">
      <c r="A366" s="2" t="inlineStr">
        <is>
          <t>Downer</t>
        </is>
      </c>
      <c r="B366" s="2" t="inlineStr">
        <is>
          <t>_CLOSED_Recharges_HO_P&amp;G</t>
        </is>
      </c>
      <c r="C366" s="2" t="inlineStr">
        <is>
          <t>Other</t>
        </is>
      </c>
      <c r="D366" s="2" t="inlineStr">
        <is>
          <t>L9.DNZJ.9009</t>
        </is>
      </c>
      <c r="E366" s="2" t="n">
        <v>5002</v>
      </c>
      <c r="G366" s="2" t="inlineStr">
        <is>
          <t>Corporate Central Support Services / Shared Services - New facilities established for more granular reporting and to reflect new structure for FY17. See facility named "NZ-Central Services (IT/NSC)" for historical data.</t>
        </is>
      </c>
      <c r="H366" s="2" t="inlineStr">
        <is>
          <t>130 Kerrs Rd</t>
        </is>
      </c>
      <c r="I366" s="2" t="inlineStr">
        <is>
          <t>Wiri</t>
        </is>
      </c>
      <c r="J366" s="2" t="inlineStr">
        <is>
          <t>Auckland</t>
        </is>
      </c>
      <c r="K366" s="2" t="n">
        <v>2104</v>
      </c>
      <c r="L366" s="2" t="inlineStr">
        <is>
          <t>New Zealand</t>
        </is>
      </c>
      <c r="M366" s="2" t="inlineStr">
        <is>
          <t>Manurewa</t>
        </is>
      </c>
      <c r="N366" s="2" t="inlineStr">
        <is>
          <t>New Zealand</t>
        </is>
      </c>
      <c r="P366" s="2" t="inlineStr">
        <is>
          <t>Operational Control</t>
        </is>
      </c>
      <c r="Q366" s="2" t="inlineStr">
        <is>
          <t>Operational Control</t>
        </is>
      </c>
      <c r="R366" s="2" t="inlineStr">
        <is>
          <t>Corporate</t>
        </is>
      </c>
      <c r="S366" s="2" t="inlineStr">
        <is>
          <t>Downer</t>
        </is>
      </c>
      <c r="T366" s="2" t="n">
        <v>100</v>
      </c>
      <c r="W366" s="2" t="inlineStr">
        <is>
          <t>Classification</t>
        </is>
      </c>
      <c r="X366" s="2" t="n">
        <v>-37.008338</v>
      </c>
      <c r="Y366" s="2" t="n">
        <v>174.870574</v>
      </c>
      <c r="Z366" s="2" t="n">
        <v>729</v>
      </c>
      <c r="AA366" s="11" t="n">
        <v>42917</v>
      </c>
    </row>
    <row r="367">
      <c r="A367" s="2" t="inlineStr">
        <is>
          <t>Downer</t>
        </is>
      </c>
      <c r="B367" s="2" t="inlineStr">
        <is>
          <t>_CLOSED_Recharges_U_Telco</t>
        </is>
      </c>
      <c r="C367" s="2" t="inlineStr">
        <is>
          <t>Other</t>
        </is>
      </c>
      <c r="D367" s="2" t="inlineStr">
        <is>
          <t>L9.DNZJ.9012</t>
        </is>
      </c>
      <c r="E367" s="2" t="n">
        <v>5004</v>
      </c>
      <c r="G367" s="2" t="inlineStr">
        <is>
          <t>Corporate Central Support Services / Shared Services - New facilities established for more granular reporting and to reflect new structure for FY17. See facility named "NZ-Central Services (IT/NSC)" for historical data.</t>
        </is>
      </c>
      <c r="H367" s="2" t="inlineStr">
        <is>
          <t>130 Kerrs Rd</t>
        </is>
      </c>
      <c r="I367" s="2" t="inlineStr">
        <is>
          <t>Wiri</t>
        </is>
      </c>
      <c r="J367" s="2" t="inlineStr">
        <is>
          <t>Auckland</t>
        </is>
      </c>
      <c r="K367" s="2" t="n">
        <v>2022</v>
      </c>
      <c r="L367" s="2" t="inlineStr">
        <is>
          <t>New Zealand</t>
        </is>
      </c>
      <c r="M367" s="2" t="inlineStr">
        <is>
          <t>Manurewa</t>
        </is>
      </c>
      <c r="N367" s="2" t="inlineStr">
        <is>
          <t>New Zealand</t>
        </is>
      </c>
      <c r="P367" s="2" t="inlineStr">
        <is>
          <t>Operational Control</t>
        </is>
      </c>
      <c r="Q367" s="2" t="inlineStr">
        <is>
          <t>Operational Control</t>
        </is>
      </c>
      <c r="R367" s="2" t="inlineStr">
        <is>
          <t>Corporate</t>
        </is>
      </c>
      <c r="S367" s="2" t="inlineStr">
        <is>
          <t>Downer</t>
        </is>
      </c>
      <c r="T367" s="2" t="n">
        <v>100</v>
      </c>
      <c r="W367" s="2" t="inlineStr">
        <is>
          <t>Classification</t>
        </is>
      </c>
      <c r="X367" s="2" t="n">
        <v>-37.008338</v>
      </c>
      <c r="Y367" s="2" t="n">
        <v>174.870574</v>
      </c>
      <c r="Z367" s="2" t="n">
        <v>729</v>
      </c>
      <c r="AA367" s="11" t="n">
        <v>42917</v>
      </c>
    </row>
    <row r="368">
      <c r="A368" s="2" t="inlineStr">
        <is>
          <t>Downer</t>
        </is>
      </c>
      <c r="B368" s="2" t="inlineStr">
        <is>
          <t>_CLOSED_Reconomy GreenVision</t>
        </is>
      </c>
      <c r="C368" s="2" t="inlineStr">
        <is>
          <t>Depot</t>
        </is>
      </c>
      <c r="D368" s="2" t="inlineStr">
        <is>
          <t>L9.J.170722</t>
        </is>
      </c>
      <c r="E368" s="2" t="n">
        <v>8021</v>
      </c>
      <c r="F368" s="2" t="n">
        <v>8021</v>
      </c>
      <c r="H368" s="2" t="inlineStr">
        <is>
          <t>460 Cooper Street</t>
        </is>
      </c>
      <c r="I368" s="2" t="inlineStr">
        <is>
          <t>Epping</t>
        </is>
      </c>
      <c r="J368" s="2" t="inlineStr">
        <is>
          <t>VIC</t>
        </is>
      </c>
      <c r="K368" s="2" t="n">
        <v>3076</v>
      </c>
      <c r="L368" s="2" t="inlineStr">
        <is>
          <t>Australia</t>
        </is>
      </c>
      <c r="M368" s="2" t="inlineStr">
        <is>
          <t>Epping</t>
        </is>
      </c>
      <c r="N368" s="2" t="inlineStr">
        <is>
          <t>Australia</t>
        </is>
      </c>
      <c r="P368" s="2" t="inlineStr">
        <is>
          <t>Operational Control</t>
        </is>
      </c>
      <c r="Q368" s="2" t="inlineStr">
        <is>
          <t>Operational Control</t>
        </is>
      </c>
      <c r="R368" s="2" t="inlineStr">
        <is>
          <t>Transport &amp; Infrastructure (T&amp;I)</t>
        </is>
      </c>
      <c r="S368" s="2" t="inlineStr">
        <is>
          <t>Downer</t>
        </is>
      </c>
      <c r="T368" s="2" t="n">
        <v>100</v>
      </c>
      <c r="W368" s="2" t="inlineStr">
        <is>
          <t>Classification</t>
        </is>
      </c>
      <c r="X368" s="2" t="n">
        <v>-37.646279</v>
      </c>
      <c r="Y368" s="2" t="n">
        <v>144.980432</v>
      </c>
      <c r="Z368" s="2" t="n">
        <v>292</v>
      </c>
      <c r="AB368" s="11" t="n">
        <v>44012</v>
      </c>
    </row>
    <row r="369">
      <c r="A369" s="2" t="inlineStr">
        <is>
          <t>Downer</t>
        </is>
      </c>
      <c r="B369" s="2" t="inlineStr">
        <is>
          <t>_CLOSED_Reconomy Rosehill</t>
        </is>
      </c>
      <c r="C369" s="2" t="inlineStr">
        <is>
          <t>Depot</t>
        </is>
      </c>
      <c r="D369" s="2" t="inlineStr">
        <is>
          <t>L9.J.17072014</t>
        </is>
      </c>
      <c r="E369" s="2" t="n">
        <v>8015</v>
      </c>
      <c r="G369" s="2" t="inlineStr">
        <is>
          <t>Handed back in the end of June 2022.</t>
        </is>
      </c>
      <c r="H369" s="2" t="inlineStr">
        <is>
          <t>1 Unwin Street</t>
        </is>
      </c>
      <c r="I369" s="2" t="inlineStr">
        <is>
          <t>Rosehill</t>
        </is>
      </c>
      <c r="J369" s="2" t="inlineStr">
        <is>
          <t>NSW</t>
        </is>
      </c>
      <c r="K369" s="2" t="n">
        <v>2142</v>
      </c>
      <c r="L369" s="2" t="inlineStr">
        <is>
          <t>Australia</t>
        </is>
      </c>
      <c r="M369" s="2" t="inlineStr">
        <is>
          <t>New South Wales</t>
        </is>
      </c>
      <c r="N369" s="2" t="inlineStr">
        <is>
          <t>Australia</t>
        </is>
      </c>
      <c r="P369" s="2" t="inlineStr">
        <is>
          <t>Operational Control</t>
        </is>
      </c>
      <c r="Q369" s="2" t="inlineStr">
        <is>
          <t>Operational Control</t>
        </is>
      </c>
      <c r="R369" s="2" t="inlineStr">
        <is>
          <t>Transport &amp; Infrastructure (T&amp;I)</t>
        </is>
      </c>
      <c r="S369" s="2" t="inlineStr">
        <is>
          <t>Downer</t>
        </is>
      </c>
      <c r="T369" s="2" t="n">
        <v>100</v>
      </c>
      <c r="W369" s="2" t="inlineStr">
        <is>
          <t>Classification</t>
        </is>
      </c>
      <c r="X369" s="2" t="n">
        <v>-33.829059</v>
      </c>
      <c r="Y369" s="2" t="n">
        <v>151.022737</v>
      </c>
      <c r="Z369" s="2" t="n">
        <v>292</v>
      </c>
      <c r="AB369" s="11" t="n">
        <v>44742</v>
      </c>
    </row>
    <row r="370">
      <c r="A370" s="2" t="inlineStr">
        <is>
          <t>Downer</t>
        </is>
      </c>
      <c r="B370" s="2" t="inlineStr">
        <is>
          <t>_CLOSED_REV_AGIS Group Pty Limited</t>
        </is>
      </c>
      <c r="C370" s="2" t="inlineStr">
        <is>
          <t>Branch</t>
        </is>
      </c>
      <c r="D370" s="2" t="inlineStr">
        <is>
          <t>L9.J.362020</t>
        </is>
      </c>
      <c r="E370" s="2" t="inlineStr">
        <is>
          <t>R31</t>
        </is>
      </c>
      <c r="M370" s="2" t="inlineStr">
        <is>
          <t>North Ryde</t>
        </is>
      </c>
      <c r="N370" s="2" t="inlineStr">
        <is>
          <t>Australia</t>
        </is>
      </c>
      <c r="P370" s="2" t="inlineStr">
        <is>
          <t>Operational Control</t>
        </is>
      </c>
      <c r="Q370" s="2" t="inlineStr">
        <is>
          <t>Operational Control</t>
        </is>
      </c>
      <c r="R370" s="2" t="inlineStr">
        <is>
          <t>Corporate</t>
        </is>
      </c>
      <c r="S370" s="2" t="inlineStr">
        <is>
          <t>Downer</t>
        </is>
      </c>
      <c r="T370" s="2" t="n">
        <v>100</v>
      </c>
      <c r="W370" s="2" t="inlineStr">
        <is>
          <t>Classification</t>
        </is>
      </c>
    </row>
    <row r="371">
      <c r="A371" s="2" t="inlineStr">
        <is>
          <t>Downer</t>
        </is>
      </c>
      <c r="B371" s="2" t="inlineStr">
        <is>
          <t>_CLOSED_REV_Allied Asphalt</t>
        </is>
      </c>
      <c r="C371" s="2" t="inlineStr">
        <is>
          <t>Branch</t>
        </is>
      </c>
      <c r="D371" s="2" t="inlineStr">
        <is>
          <t>L9.J.17060556</t>
        </is>
      </c>
      <c r="E371" s="2" t="inlineStr">
        <is>
          <t>AASPHT</t>
        </is>
      </c>
      <c r="M371" s="2" t="inlineStr">
        <is>
          <t>Sydney</t>
        </is>
      </c>
      <c r="N371" s="2" t="inlineStr">
        <is>
          <t>Australia</t>
        </is>
      </c>
      <c r="P371" s="2" t="inlineStr">
        <is>
          <t>Operational Control</t>
        </is>
      </c>
      <c r="Q371" s="2" t="inlineStr">
        <is>
          <t>Operational Control</t>
        </is>
      </c>
      <c r="R371" s="2" t="inlineStr">
        <is>
          <t>Transport &amp; Infrastructure (T&amp;I)</t>
        </is>
      </c>
      <c r="S371" s="2" t="inlineStr">
        <is>
          <t>Downer</t>
        </is>
      </c>
      <c r="T371" s="2" t="n">
        <v>100</v>
      </c>
      <c r="W371" s="2" t="inlineStr">
        <is>
          <t>Classification</t>
        </is>
      </c>
    </row>
    <row r="372">
      <c r="A372" s="2" t="inlineStr">
        <is>
          <t>Downer</t>
        </is>
      </c>
      <c r="B372" s="2" t="inlineStr">
        <is>
          <t>_CLOSED_REV_Asia</t>
        </is>
      </c>
      <c r="C372" s="2" t="inlineStr">
        <is>
          <t>Branch</t>
        </is>
      </c>
      <c r="D372" s="2" t="inlineStr">
        <is>
          <t>L9.WAU.000891</t>
        </is>
      </c>
      <c r="E372" s="2" t="inlineStr">
        <is>
          <t>L9.WAU.000891</t>
        </is>
      </c>
      <c r="M372" s="2" t="inlineStr">
        <is>
          <t>North Ryde</t>
        </is>
      </c>
      <c r="N372" s="2" t="inlineStr">
        <is>
          <t>Australia</t>
        </is>
      </c>
      <c r="P372" s="2" t="inlineStr">
        <is>
          <t>Operational Control</t>
        </is>
      </c>
      <c r="Q372" s="2" t="inlineStr">
        <is>
          <t>Operational Control</t>
        </is>
      </c>
      <c r="R372" s="2" t="inlineStr">
        <is>
          <t>Corporate</t>
        </is>
      </c>
      <c r="S372" s="2" t="inlineStr">
        <is>
          <t>Downer</t>
        </is>
      </c>
      <c r="T372" s="2" t="n">
        <v>100</v>
      </c>
      <c r="W372" s="2" t="inlineStr">
        <is>
          <t>Classification</t>
        </is>
      </c>
    </row>
    <row r="373">
      <c r="A373" s="2" t="inlineStr">
        <is>
          <t>Downer</t>
        </is>
      </c>
      <c r="B373" s="2" t="inlineStr">
        <is>
          <t>_CLOSED_REV_Asset &amp; Development Services</t>
        </is>
      </c>
      <c r="C373" s="2" t="inlineStr">
        <is>
          <t>Branch</t>
        </is>
      </c>
      <c r="D373" s="2" t="inlineStr">
        <is>
          <t>L9.S.13000752</t>
        </is>
      </c>
      <c r="E373" s="2" t="inlineStr">
        <is>
          <t>FAS3197</t>
        </is>
      </c>
      <c r="M373" s="2" t="inlineStr">
        <is>
          <t>New South Wales</t>
        </is>
      </c>
      <c r="N373" s="2" t="inlineStr">
        <is>
          <t>Australia</t>
        </is>
      </c>
      <c r="P373" s="2" t="inlineStr">
        <is>
          <t>Operational Control</t>
        </is>
      </c>
      <c r="Q373" s="2" t="inlineStr">
        <is>
          <t>Operational Control</t>
        </is>
      </c>
      <c r="R373" s="2" t="inlineStr">
        <is>
          <t>Asset &amp; Development Services (Baseline)</t>
        </is>
      </c>
      <c r="S373" s="2" t="inlineStr">
        <is>
          <t>Downer</t>
        </is>
      </c>
      <c r="T373" s="2" t="n">
        <v>100</v>
      </c>
      <c r="V373" s="11" t="n">
        <v>45107</v>
      </c>
      <c r="W373" s="2" t="inlineStr">
        <is>
          <t>Classification</t>
        </is>
      </c>
    </row>
    <row r="374">
      <c r="A374" s="2" t="inlineStr">
        <is>
          <t>Downer</t>
        </is>
      </c>
      <c r="B374" s="2" t="inlineStr">
        <is>
          <t>_CLOSED_REV_Asset &amp; Development Services (SAP)</t>
        </is>
      </c>
      <c r="C374" s="2" t="inlineStr">
        <is>
          <t>Other</t>
        </is>
      </c>
      <c r="D374" s="2" t="inlineStr">
        <is>
          <t>L9.S.13000757</t>
        </is>
      </c>
      <c r="E374" s="2" t="inlineStr">
        <is>
          <t>L9.S.13000757</t>
        </is>
      </c>
      <c r="M374" s="2" t="inlineStr">
        <is>
          <t>North Ryde</t>
        </is>
      </c>
      <c r="N374" s="2" t="inlineStr">
        <is>
          <t>Australia</t>
        </is>
      </c>
      <c r="P374" s="2" t="inlineStr">
        <is>
          <t>Operational Control</t>
        </is>
      </c>
      <c r="Q374" s="2" t="inlineStr">
        <is>
          <t>Operational Control</t>
        </is>
      </c>
      <c r="R374" s="2" t="inlineStr">
        <is>
          <t>Asset &amp; Development Services (Baseline)</t>
        </is>
      </c>
      <c r="S374" s="2" t="inlineStr">
        <is>
          <t>Downer</t>
        </is>
      </c>
      <c r="T374" s="2" t="n">
        <v>100</v>
      </c>
      <c r="V374" s="11" t="n">
        <v>45107</v>
      </c>
      <c r="W374" s="2" t="inlineStr">
        <is>
          <t>Classification</t>
        </is>
      </c>
    </row>
    <row r="375">
      <c r="A375" s="2" t="inlineStr">
        <is>
          <t>Downer</t>
        </is>
      </c>
      <c r="B375" s="2" t="inlineStr">
        <is>
          <t>_CLOSED_REV_Base &amp; Estate Management</t>
        </is>
      </c>
      <c r="C375" s="2" t="inlineStr">
        <is>
          <t>Branch</t>
        </is>
      </c>
      <c r="D375" s="2" t="inlineStr">
        <is>
          <t>L9.S.16016104</t>
        </is>
      </c>
      <c r="E375" s="2" t="inlineStr">
        <is>
          <t>BEM</t>
        </is>
      </c>
      <c r="M375" s="2" t="inlineStr">
        <is>
          <t>Australian Capital Territory</t>
        </is>
      </c>
      <c r="N375" s="2" t="inlineStr">
        <is>
          <t>Australia</t>
        </is>
      </c>
      <c r="P375" s="2" t="inlineStr">
        <is>
          <t>Operational Control</t>
        </is>
      </c>
      <c r="Q375" s="2" t="inlineStr">
        <is>
          <t>Operational Control</t>
        </is>
      </c>
      <c r="R375" s="2" t="inlineStr">
        <is>
          <t>Social Infra &amp; Citizen Serv (SICS)</t>
        </is>
      </c>
      <c r="S375" s="2" t="inlineStr">
        <is>
          <t>Downer</t>
        </is>
      </c>
      <c r="T375" s="2" t="n">
        <v>100</v>
      </c>
      <c r="W375" s="2" t="inlineStr">
        <is>
          <t>Classification</t>
        </is>
      </c>
    </row>
    <row r="376">
      <c r="A376" s="2" t="inlineStr">
        <is>
          <t>Downer</t>
        </is>
      </c>
      <c r="B376" s="2" t="inlineStr">
        <is>
          <t>_CLOSED_REV_BD &amp; Growth</t>
        </is>
      </c>
      <c r="C376" s="2" t="inlineStr">
        <is>
          <t>Branch</t>
        </is>
      </c>
      <c r="D376" s="2" t="inlineStr">
        <is>
          <t>L9.J.24130028</t>
        </is>
      </c>
      <c r="E376" s="2" t="inlineStr">
        <is>
          <t>MPTEP</t>
        </is>
      </c>
      <c r="M376" s="2" t="inlineStr">
        <is>
          <t>New South Wales</t>
        </is>
      </c>
      <c r="N376" s="2" t="inlineStr">
        <is>
          <t>Australia</t>
        </is>
      </c>
      <c r="P376" s="2" t="inlineStr">
        <is>
          <t>Operational Control</t>
        </is>
      </c>
      <c r="Q376" s="2" t="inlineStr">
        <is>
          <t>Operational Control</t>
        </is>
      </c>
      <c r="R376" s="2" t="inlineStr">
        <is>
          <t>Energy and Utilities (EU)</t>
        </is>
      </c>
      <c r="S376" s="2" t="inlineStr">
        <is>
          <t>Downer</t>
        </is>
      </c>
      <c r="T376" s="2" t="n">
        <v>100</v>
      </c>
      <c r="W376" s="2" t="inlineStr">
        <is>
          <t>Classification</t>
        </is>
      </c>
    </row>
    <row r="377">
      <c r="A377" s="2" t="inlineStr">
        <is>
          <t>Downer</t>
        </is>
      </c>
      <c r="B377" s="2" t="inlineStr">
        <is>
          <t>_CLOSED_REV_BIA</t>
        </is>
      </c>
      <c r="C377" s="2" t="inlineStr">
        <is>
          <t>Branch</t>
        </is>
      </c>
      <c r="D377" s="2" t="inlineStr">
        <is>
          <t>L9.J.170938</t>
        </is>
      </c>
      <c r="E377" s="2" t="inlineStr">
        <is>
          <t>RSV175-1</t>
        </is>
      </c>
      <c r="M377" s="2" t="inlineStr">
        <is>
          <t>New South Wales</t>
        </is>
      </c>
      <c r="N377" s="2" t="inlineStr">
        <is>
          <t>Australia</t>
        </is>
      </c>
      <c r="P377" s="2" t="inlineStr">
        <is>
          <t>Operational Control</t>
        </is>
      </c>
      <c r="Q377" s="2" t="inlineStr">
        <is>
          <t>Operational Control</t>
        </is>
      </c>
      <c r="R377" s="2" t="inlineStr">
        <is>
          <t>Transport &amp; Infrastructure (T&amp;I)</t>
        </is>
      </c>
      <c r="S377" s="2" t="inlineStr">
        <is>
          <t>Downer</t>
        </is>
      </c>
      <c r="T377" s="2" t="n">
        <v>100</v>
      </c>
      <c r="W377" s="2" t="inlineStr">
        <is>
          <t>Classification</t>
        </is>
      </c>
    </row>
    <row r="378">
      <c r="A378" s="2" t="inlineStr">
        <is>
          <t>Downer</t>
        </is>
      </c>
      <c r="B378" s="2" t="inlineStr">
        <is>
          <t>_CLOSED_REV_Binders and Circular Technology</t>
        </is>
      </c>
      <c r="C378" s="2" t="inlineStr">
        <is>
          <t>Branch</t>
        </is>
      </c>
      <c r="D378" s="2" t="inlineStr">
        <is>
          <t>L9.J.170944</t>
        </is>
      </c>
      <c r="E378" s="2" t="inlineStr">
        <is>
          <t>BCT</t>
        </is>
      </c>
      <c r="F378" s="2" t="inlineStr">
        <is>
          <t>BCT</t>
        </is>
      </c>
      <c r="M378" s="2" t="inlineStr">
        <is>
          <t>Victoria</t>
        </is>
      </c>
      <c r="N378" s="2" t="inlineStr">
        <is>
          <t>Australia</t>
        </is>
      </c>
      <c r="P378" s="2" t="inlineStr">
        <is>
          <t>Operational Control</t>
        </is>
      </c>
      <c r="Q378" s="2" t="inlineStr">
        <is>
          <t>Operational Control</t>
        </is>
      </c>
      <c r="R378" s="2" t="inlineStr">
        <is>
          <t>Transport &amp; Infrastructure (T&amp;I)</t>
        </is>
      </c>
      <c r="S378" s="2" t="inlineStr">
        <is>
          <t>Downer</t>
        </is>
      </c>
      <c r="T378" s="2" t="n">
        <v>100</v>
      </c>
      <c r="W378" s="2" t="inlineStr">
        <is>
          <t>Classification</t>
        </is>
      </c>
    </row>
    <row r="379">
      <c r="A379" s="2" t="inlineStr">
        <is>
          <t>Downer</t>
        </is>
      </c>
      <c r="B379" s="2" t="inlineStr">
        <is>
          <t>_CLOSED_REV_Commercial Electrical</t>
        </is>
      </c>
      <c r="C379" s="2" t="inlineStr">
        <is>
          <t>Branch</t>
        </is>
      </c>
      <c r="D379" s="2" t="inlineStr">
        <is>
          <t>L9.S.30001</t>
        </is>
      </c>
      <c r="E379" s="2" t="inlineStr">
        <is>
          <t>COMELC</t>
        </is>
      </c>
      <c r="M379" s="2" t="inlineStr">
        <is>
          <t>New South Wales</t>
        </is>
      </c>
      <c r="N379" s="2" t="inlineStr">
        <is>
          <t>Australia</t>
        </is>
      </c>
      <c r="P379" s="2" t="inlineStr">
        <is>
          <t>Operational Control</t>
        </is>
      </c>
      <c r="Q379" s="2" t="inlineStr">
        <is>
          <t>Operational Control</t>
        </is>
      </c>
      <c r="R379" s="2" t="inlineStr">
        <is>
          <t>Asset &amp; Development Services (Baseline)</t>
        </is>
      </c>
      <c r="S379" s="2" t="inlineStr">
        <is>
          <t>Downer</t>
        </is>
      </c>
      <c r="T379" s="2" t="n">
        <v>100</v>
      </c>
      <c r="V379" s="11" t="n">
        <v>45107</v>
      </c>
      <c r="W379" s="2" t="inlineStr">
        <is>
          <t>Classification</t>
        </is>
      </c>
    </row>
    <row r="380">
      <c r="A380" s="2" t="inlineStr">
        <is>
          <t>Downer</t>
        </is>
      </c>
      <c r="B380" s="2" t="inlineStr">
        <is>
          <t>_CLOSED_REV_Commerical Electrical</t>
        </is>
      </c>
      <c r="C380" s="2" t="inlineStr">
        <is>
          <t>Other</t>
        </is>
      </c>
      <c r="D380" s="2" t="inlineStr">
        <is>
          <t>L9.S.13000756</t>
        </is>
      </c>
      <c r="E380" s="2" t="inlineStr">
        <is>
          <t>L9.S.13000756</t>
        </is>
      </c>
      <c r="M380" s="2" t="inlineStr">
        <is>
          <t>North Ryde</t>
        </is>
      </c>
      <c r="N380" s="2" t="inlineStr">
        <is>
          <t>Australia</t>
        </is>
      </c>
      <c r="P380" s="2" t="inlineStr">
        <is>
          <t>Operational Control</t>
        </is>
      </c>
      <c r="Q380" s="2" t="inlineStr">
        <is>
          <t>Operational Control</t>
        </is>
      </c>
      <c r="R380" s="2" t="inlineStr">
        <is>
          <t>Asset &amp; Development Services (Baseline)</t>
        </is>
      </c>
      <c r="S380" s="2" t="inlineStr">
        <is>
          <t>Downer</t>
        </is>
      </c>
      <c r="T380" s="2" t="n">
        <v>100</v>
      </c>
      <c r="V380" s="11" t="n">
        <v>45107</v>
      </c>
      <c r="W380" s="2" t="inlineStr">
        <is>
          <t>Classification</t>
        </is>
      </c>
    </row>
    <row r="381">
      <c r="A381" s="2" t="inlineStr">
        <is>
          <t>Downer</t>
        </is>
      </c>
      <c r="B381" s="2" t="inlineStr">
        <is>
          <t>_CLOSED_REV_Confluence Water</t>
        </is>
      </c>
      <c r="C381" s="2" t="inlineStr">
        <is>
          <t>Branch</t>
        </is>
      </c>
      <c r="D381" s="2" t="inlineStr">
        <is>
          <t>L9.J.241606</t>
        </is>
      </c>
      <c r="E381" s="2" t="inlineStr">
        <is>
          <t>UTIL700</t>
        </is>
      </c>
      <c r="G381" s="2" t="inlineStr">
        <is>
          <t>In April 2023, Confluence Water revenue merged with Water Services Programs and Water Services Projects NSW/VIC to become Water Services.</t>
        </is>
      </c>
      <c r="M381" s="2" t="inlineStr">
        <is>
          <t>New South Wales</t>
        </is>
      </c>
      <c r="N381" s="2" t="inlineStr">
        <is>
          <t>Australia</t>
        </is>
      </c>
      <c r="P381" s="2" t="inlineStr">
        <is>
          <t>Operational Control</t>
        </is>
      </c>
      <c r="Q381" s="2" t="inlineStr">
        <is>
          <t>Operational Control</t>
        </is>
      </c>
      <c r="R381" s="2" t="inlineStr">
        <is>
          <t>Energy and Utilities (EU)</t>
        </is>
      </c>
      <c r="S381" s="2" t="inlineStr">
        <is>
          <t>Downer</t>
        </is>
      </c>
      <c r="T381" s="2" t="n">
        <v>100</v>
      </c>
      <c r="W381" s="2" t="inlineStr">
        <is>
          <t>Classification</t>
        </is>
      </c>
      <c r="AB381" s="11" t="n">
        <v>44742</v>
      </c>
    </row>
    <row r="382">
      <c r="A382" s="2" t="inlineStr">
        <is>
          <t>Downer</t>
        </is>
      </c>
      <c r="B382" s="2" t="inlineStr">
        <is>
          <t>_CLOSED_REV_Corporate Office</t>
        </is>
      </c>
      <c r="C382" s="2" t="inlineStr">
        <is>
          <t>Branch</t>
        </is>
      </c>
      <c r="D382" s="2" t="inlineStr">
        <is>
          <t>L9.J.362001</t>
        </is>
      </c>
      <c r="E382" s="2" t="inlineStr">
        <is>
          <t>R64</t>
        </is>
      </c>
      <c r="M382" s="2" t="inlineStr">
        <is>
          <t>North Ryde</t>
        </is>
      </c>
      <c r="N382" s="2" t="inlineStr">
        <is>
          <t>Australia</t>
        </is>
      </c>
      <c r="P382" s="2" t="inlineStr">
        <is>
          <t>Operational Control</t>
        </is>
      </c>
      <c r="Q382" s="2" t="inlineStr">
        <is>
          <t>Operational Control</t>
        </is>
      </c>
      <c r="R382" s="2" t="inlineStr">
        <is>
          <t>Corporate</t>
        </is>
      </c>
      <c r="S382" s="2" t="inlineStr">
        <is>
          <t>Downer</t>
        </is>
      </c>
      <c r="T382" s="2" t="n">
        <v>100</v>
      </c>
      <c r="W382" s="2" t="inlineStr">
        <is>
          <t>Classification</t>
        </is>
      </c>
    </row>
    <row r="383">
      <c r="A383" s="2" t="inlineStr">
        <is>
          <t>Downer</t>
        </is>
      </c>
      <c r="B383" s="2" t="inlineStr">
        <is>
          <t>_CLOSED_REV_Defence</t>
        </is>
      </c>
      <c r="C383" s="2" t="inlineStr">
        <is>
          <t>Branch</t>
        </is>
      </c>
      <c r="D383" s="2" t="inlineStr">
        <is>
          <t>L9.S.16013945</t>
        </is>
      </c>
      <c r="E383" s="2" t="inlineStr">
        <is>
          <t>R56</t>
        </is>
      </c>
      <c r="M383" s="2" t="inlineStr">
        <is>
          <t>North Ryde</t>
        </is>
      </c>
      <c r="N383" s="2" t="inlineStr">
        <is>
          <t>Australia</t>
        </is>
      </c>
      <c r="P383" s="2" t="inlineStr">
        <is>
          <t>Operational Control</t>
        </is>
      </c>
      <c r="Q383" s="2" t="inlineStr">
        <is>
          <t>Operational Control</t>
        </is>
      </c>
      <c r="R383" s="2" t="inlineStr">
        <is>
          <t>Social Infra &amp; Citizen Serv (SICS)</t>
        </is>
      </c>
      <c r="S383" s="2" t="inlineStr">
        <is>
          <t>Downer</t>
        </is>
      </c>
      <c r="T383" s="2" t="n">
        <v>100</v>
      </c>
      <c r="W383" s="2" t="inlineStr">
        <is>
          <t>Classification</t>
        </is>
      </c>
    </row>
    <row r="384">
      <c r="A384" s="2" t="inlineStr">
        <is>
          <t>Downer</t>
        </is>
      </c>
      <c r="B384" s="2" t="inlineStr">
        <is>
          <t>_CLOSED_REV_Defence Overhead</t>
        </is>
      </c>
      <c r="C384" s="2" t="inlineStr">
        <is>
          <t>Branch</t>
        </is>
      </c>
      <c r="D384" s="2" t="inlineStr">
        <is>
          <t>L9.J.500002</t>
        </is>
      </c>
      <c r="E384" s="2" t="inlineStr">
        <is>
          <t>DO</t>
        </is>
      </c>
      <c r="M384" s="2" t="inlineStr">
        <is>
          <t>Canberra</t>
        </is>
      </c>
      <c r="N384" s="2" t="inlineStr">
        <is>
          <t>Australia</t>
        </is>
      </c>
      <c r="P384" s="2" t="inlineStr">
        <is>
          <t>Operational Control</t>
        </is>
      </c>
      <c r="Q384" s="2" t="inlineStr">
        <is>
          <t>Operational Control</t>
        </is>
      </c>
      <c r="R384" s="2" t="inlineStr">
        <is>
          <t>Social Infra &amp; Citizen Serv (SICS)</t>
        </is>
      </c>
      <c r="S384" s="2" t="inlineStr">
        <is>
          <t>Downer</t>
        </is>
      </c>
      <c r="T384" s="2" t="n">
        <v>100</v>
      </c>
      <c r="W384" s="2" t="inlineStr">
        <is>
          <t>Classification</t>
        </is>
      </c>
    </row>
    <row r="385">
      <c r="A385" s="2" t="inlineStr">
        <is>
          <t>Downer</t>
        </is>
      </c>
      <c r="B385" s="2" t="inlineStr">
        <is>
          <t>_CLOSED_REV_DEP Ops &amp; Delivery</t>
        </is>
      </c>
      <c r="C385" s="2" t="inlineStr">
        <is>
          <t>Branch</t>
        </is>
      </c>
      <c r="D385" s="2" t="inlineStr">
        <is>
          <t>L9.J.362005</t>
        </is>
      </c>
      <c r="E385" s="2" t="inlineStr">
        <is>
          <t>R34</t>
        </is>
      </c>
      <c r="M385" s="2" t="inlineStr">
        <is>
          <t>North Ryde</t>
        </is>
      </c>
      <c r="N385" s="2" t="inlineStr">
        <is>
          <t>Australia</t>
        </is>
      </c>
      <c r="P385" s="2" t="inlineStr">
        <is>
          <t>Operational Control</t>
        </is>
      </c>
      <c r="Q385" s="2" t="inlineStr">
        <is>
          <t>Operational Control</t>
        </is>
      </c>
      <c r="R385" s="2" t="inlineStr">
        <is>
          <t>Corporate</t>
        </is>
      </c>
      <c r="S385" s="2" t="inlineStr">
        <is>
          <t>Downer</t>
        </is>
      </c>
      <c r="T385" s="2" t="n">
        <v>100</v>
      </c>
      <c r="W385" s="2" t="inlineStr">
        <is>
          <t>Classification</t>
        </is>
      </c>
    </row>
    <row r="386">
      <c r="A386" s="2" t="inlineStr">
        <is>
          <t>Downer</t>
        </is>
      </c>
      <c r="B386" s="2" t="inlineStr">
        <is>
          <t>_CLOSED_REV_DM Roads</t>
        </is>
      </c>
      <c r="C386" s="2" t="inlineStr">
        <is>
          <t>Branch</t>
        </is>
      </c>
      <c r="D386" s="2" t="inlineStr">
        <is>
          <t>L9.J.170273</t>
        </is>
      </c>
      <c r="E386" s="2" t="inlineStr">
        <is>
          <t>R3</t>
        </is>
      </c>
      <c r="M386" s="2" t="inlineStr">
        <is>
          <t>North Ryde</t>
        </is>
      </c>
      <c r="N386" s="2" t="inlineStr">
        <is>
          <t>Australia</t>
        </is>
      </c>
      <c r="P386" s="2" t="inlineStr">
        <is>
          <t>Operational Control</t>
        </is>
      </c>
      <c r="Q386" s="2" t="inlineStr">
        <is>
          <t>Operational Control</t>
        </is>
      </c>
      <c r="R386" s="2" t="inlineStr">
        <is>
          <t>Transport &amp; Infrastructure (T&amp;I)</t>
        </is>
      </c>
      <c r="S386" s="2" t="inlineStr">
        <is>
          <t>Downer</t>
        </is>
      </c>
      <c r="T386" s="2" t="n">
        <v>100</v>
      </c>
      <c r="W386" s="2" t="inlineStr">
        <is>
          <t>Classification</t>
        </is>
      </c>
    </row>
    <row r="387">
      <c r="A387" s="2" t="inlineStr">
        <is>
          <t>Downer</t>
        </is>
      </c>
      <c r="B387" s="2" t="inlineStr">
        <is>
          <t>_CLOSED_REV_Downer Professional Services</t>
        </is>
      </c>
      <c r="C387" s="2" t="inlineStr">
        <is>
          <t>Branch</t>
        </is>
      </c>
      <c r="D387" s="2" t="inlineStr">
        <is>
          <t>L9.J.504002</t>
        </is>
      </c>
      <c r="E387" s="2" t="inlineStr">
        <is>
          <t>DPS</t>
        </is>
      </c>
      <c r="M387" s="2" t="inlineStr">
        <is>
          <t>Australian Capital Territory</t>
        </is>
      </c>
      <c r="N387" s="2" t="inlineStr">
        <is>
          <t>Australia</t>
        </is>
      </c>
      <c r="P387" s="2" t="inlineStr">
        <is>
          <t>Operational Control</t>
        </is>
      </c>
      <c r="Q387" s="2" t="inlineStr">
        <is>
          <t>Operational Control</t>
        </is>
      </c>
      <c r="R387" s="2" t="inlineStr">
        <is>
          <t>Social Infra &amp; Citizen Serv (SICS)</t>
        </is>
      </c>
      <c r="S387" s="2" t="inlineStr">
        <is>
          <t>Downer</t>
        </is>
      </c>
      <c r="T387" s="2" t="n">
        <v>100</v>
      </c>
      <c r="W387" s="2" t="inlineStr">
        <is>
          <t>Classification</t>
        </is>
      </c>
    </row>
    <row r="388">
      <c r="A388" s="2" t="inlineStr">
        <is>
          <t>Downer</t>
        </is>
      </c>
      <c r="B388" s="2" t="inlineStr">
        <is>
          <t>_CLOSED_REV_E&amp;C HO</t>
        </is>
      </c>
      <c r="C388" s="2" t="inlineStr">
        <is>
          <t>Branch</t>
        </is>
      </c>
      <c r="D388" s="2" t="inlineStr">
        <is>
          <t>L9.J.372011</t>
        </is>
      </c>
      <c r="E388" s="2" t="inlineStr">
        <is>
          <t>R27</t>
        </is>
      </c>
      <c r="M388" s="2" t="inlineStr">
        <is>
          <t>North Ryde</t>
        </is>
      </c>
      <c r="N388" s="2" t="inlineStr">
        <is>
          <t>Australia</t>
        </is>
      </c>
      <c r="P388" s="2" t="inlineStr">
        <is>
          <t>Operational Control</t>
        </is>
      </c>
      <c r="Q388" s="2" t="inlineStr">
        <is>
          <t>Operational Control</t>
        </is>
      </c>
      <c r="R388" s="2" t="inlineStr">
        <is>
          <t>Energy and Utilities (EU)</t>
        </is>
      </c>
      <c r="S388" s="2" t="inlineStr">
        <is>
          <t>Downer</t>
        </is>
      </c>
      <c r="T388" s="2" t="n">
        <v>100</v>
      </c>
      <c r="W388" s="2" t="inlineStr">
        <is>
          <t>Classification</t>
        </is>
      </c>
    </row>
    <row r="389">
      <c r="A389" s="2" t="inlineStr">
        <is>
          <t>Downer</t>
        </is>
      </c>
      <c r="B389" s="2" t="inlineStr">
        <is>
          <t>_CLOSED_REV_EC&amp;M Head Office &amp; Management</t>
        </is>
      </c>
      <c r="C389" s="2" t="inlineStr">
        <is>
          <t>Branch</t>
        </is>
      </c>
      <c r="D389" s="2" t="inlineStr">
        <is>
          <t>L9.WAU.000812</t>
        </is>
      </c>
      <c r="E389" s="2" t="inlineStr">
        <is>
          <t>L9.WAU.000812</t>
        </is>
      </c>
      <c r="M389" s="2" t="inlineStr">
        <is>
          <t>North Ryde</t>
        </is>
      </c>
      <c r="N389" s="2" t="inlineStr">
        <is>
          <t>Australia</t>
        </is>
      </c>
      <c r="P389" s="2" t="inlineStr">
        <is>
          <t>Operational Control</t>
        </is>
      </c>
      <c r="Q389" s="2" t="inlineStr">
        <is>
          <t>Operational Control</t>
        </is>
      </c>
      <c r="R389" s="2" t="inlineStr">
        <is>
          <t>Corporate</t>
        </is>
      </c>
      <c r="S389" s="2" t="inlineStr">
        <is>
          <t>Downer</t>
        </is>
      </c>
      <c r="T389" s="2" t="n">
        <v>100</v>
      </c>
      <c r="W389" s="2" t="inlineStr">
        <is>
          <t>Classification</t>
        </is>
      </c>
    </row>
    <row r="390">
      <c r="A390" s="2" t="inlineStr">
        <is>
          <t>Downer</t>
        </is>
      </c>
      <c r="B390" s="2" t="inlineStr">
        <is>
          <t>_CLOSED_REV_Eden Park Catering</t>
        </is>
      </c>
      <c r="C390" s="2" t="inlineStr">
        <is>
          <t>Branch</t>
        </is>
      </c>
      <c r="D390" s="2" t="inlineStr">
        <is>
          <t>L9.S.24000164</t>
        </is>
      </c>
      <c r="E390" s="2" t="inlineStr">
        <is>
          <t>L9.S.26017124</t>
        </is>
      </c>
      <c r="F390" s="2" t="inlineStr">
        <is>
          <t>L9.S.26017124</t>
        </is>
      </c>
      <c r="M390" s="2" t="inlineStr">
        <is>
          <t>Waikato</t>
        </is>
      </c>
      <c r="N390" s="2" t="inlineStr">
        <is>
          <t>New Zealand</t>
        </is>
      </c>
      <c r="P390" s="2" t="inlineStr">
        <is>
          <t>Operational Control</t>
        </is>
      </c>
      <c r="Q390" s="2" t="inlineStr">
        <is>
          <t>Operational Control</t>
        </is>
      </c>
      <c r="R390" s="2" t="inlineStr">
        <is>
          <t>Social Infra &amp; Citizen Serv (SICS)</t>
        </is>
      </c>
      <c r="S390" s="2" t="inlineStr">
        <is>
          <t>Downer</t>
        </is>
      </c>
      <c r="T390" s="2" t="n">
        <v>100</v>
      </c>
      <c r="W390" s="2" t="inlineStr">
        <is>
          <t>Classification</t>
        </is>
      </c>
    </row>
    <row r="391">
      <c r="A391" s="2" t="inlineStr">
        <is>
          <t>Downer</t>
        </is>
      </c>
      <c r="B391" s="2" t="inlineStr">
        <is>
          <t>_CLOSED_REV_EDI Rail- Bombardier Transportation</t>
        </is>
      </c>
      <c r="C391" s="2" t="inlineStr">
        <is>
          <t>Branch</t>
        </is>
      </c>
      <c r="D391" s="2" t="inlineStr">
        <is>
          <t>L9.S.16008024</t>
        </is>
      </c>
      <c r="E391" s="2" t="inlineStr">
        <is>
          <t>ERBT</t>
        </is>
      </c>
      <c r="M391" s="2" t="inlineStr">
        <is>
          <t>Sydney</t>
        </is>
      </c>
      <c r="N391" s="2" t="inlineStr">
        <is>
          <t>Australia</t>
        </is>
      </c>
      <c r="P391" s="2" t="inlineStr">
        <is>
          <t>Operational Control</t>
        </is>
      </c>
      <c r="Q391" s="2" t="inlineStr">
        <is>
          <t>Operational Control</t>
        </is>
      </c>
      <c r="R391" s="2" t="inlineStr">
        <is>
          <t>Social Infra &amp; Citizen Serv (SICS)</t>
        </is>
      </c>
      <c r="S391" s="2" t="inlineStr">
        <is>
          <t>Downer</t>
        </is>
      </c>
      <c r="T391" s="2" t="n">
        <v>100</v>
      </c>
      <c r="W391" s="2" t="inlineStr">
        <is>
          <t>Classification</t>
        </is>
      </c>
    </row>
    <row r="392">
      <c r="A392" s="2" t="inlineStr">
        <is>
          <t>Downer</t>
        </is>
      </c>
      <c r="B392" s="2" t="inlineStr">
        <is>
          <t>_CLOSED_REV_Emulco</t>
        </is>
      </c>
      <c r="C392" s="2" t="inlineStr">
        <is>
          <t>Branch</t>
        </is>
      </c>
      <c r="D392" s="2" t="inlineStr">
        <is>
          <t>L9.DNZJ.3099</t>
        </is>
      </c>
      <c r="E392" s="2" t="inlineStr">
        <is>
          <t>EMU</t>
        </is>
      </c>
      <c r="M392" s="2" t="inlineStr">
        <is>
          <t>Sydney</t>
        </is>
      </c>
      <c r="N392" s="2" t="inlineStr">
        <is>
          <t>Australia</t>
        </is>
      </c>
      <c r="P392" s="2" t="inlineStr">
        <is>
          <t>Operational Control</t>
        </is>
      </c>
      <c r="Q392" s="2" t="inlineStr">
        <is>
          <t>Operational Control</t>
        </is>
      </c>
      <c r="R392" s="2" t="inlineStr">
        <is>
          <t>Transport &amp; Infrastructure (T&amp;I)</t>
        </is>
      </c>
      <c r="S392" s="2" t="inlineStr">
        <is>
          <t>Downer</t>
        </is>
      </c>
      <c r="T392" s="2" t="n">
        <v>100</v>
      </c>
      <c r="W392" s="2" t="inlineStr">
        <is>
          <t>Classification</t>
        </is>
      </c>
    </row>
    <row r="393">
      <c r="A393" s="2" t="inlineStr">
        <is>
          <t>Downer</t>
        </is>
      </c>
      <c r="B393" s="2" t="inlineStr">
        <is>
          <t>_CLOSED_REV_Energy</t>
        </is>
      </c>
      <c r="C393" s="2" t="inlineStr">
        <is>
          <t>Branch</t>
        </is>
      </c>
      <c r="D393" s="2" t="inlineStr">
        <is>
          <t>L9.J.230500</t>
        </is>
      </c>
      <c r="E393" s="2" t="inlineStr">
        <is>
          <t>L9.J.230500</t>
        </is>
      </c>
      <c r="M393" s="2" t="inlineStr">
        <is>
          <t>North Ryde</t>
        </is>
      </c>
      <c r="N393" s="2" t="inlineStr">
        <is>
          <t>Australia</t>
        </is>
      </c>
      <c r="P393" s="2" t="inlineStr">
        <is>
          <t>Operational Control</t>
        </is>
      </c>
      <c r="Q393" s="2" t="inlineStr">
        <is>
          <t>Operational Control</t>
        </is>
      </c>
      <c r="R393" s="2" t="inlineStr">
        <is>
          <t>Energy and Utilities (EU)</t>
        </is>
      </c>
      <c r="S393" s="2" t="inlineStr">
        <is>
          <t>Downer</t>
        </is>
      </c>
      <c r="T393" s="2" t="n">
        <v>100</v>
      </c>
      <c r="W393" s="2" t="inlineStr">
        <is>
          <t>Classification</t>
        </is>
      </c>
    </row>
    <row r="394">
      <c r="A394" s="2" t="inlineStr">
        <is>
          <t>Downer</t>
        </is>
      </c>
      <c r="B394" s="2" t="inlineStr">
        <is>
          <t>_CLOSED_REV_Engineering</t>
        </is>
      </c>
      <c r="C394" s="2" t="inlineStr">
        <is>
          <t>Branch</t>
        </is>
      </c>
      <c r="D394" s="2" t="inlineStr">
        <is>
          <t>L9.J.39210066</t>
        </is>
      </c>
      <c r="E394" s="2" t="inlineStr">
        <is>
          <t>UTIL-359</t>
        </is>
      </c>
      <c r="M394" s="2" t="inlineStr">
        <is>
          <t>New South Wales</t>
        </is>
      </c>
      <c r="N394" s="2" t="inlineStr">
        <is>
          <t>Australia</t>
        </is>
      </c>
      <c r="P394" s="2" t="inlineStr">
        <is>
          <t>Operational Control</t>
        </is>
      </c>
      <c r="Q394" s="2" t="inlineStr">
        <is>
          <t>Operational Control</t>
        </is>
      </c>
      <c r="R394" s="2" t="inlineStr">
        <is>
          <t>Energy and Utilities (EU)</t>
        </is>
      </c>
      <c r="S394" s="2" t="inlineStr">
        <is>
          <t>Downer</t>
        </is>
      </c>
      <c r="T394" s="2" t="n">
        <v>100</v>
      </c>
      <c r="W394" s="2" t="inlineStr">
        <is>
          <t>Classification</t>
        </is>
      </c>
    </row>
    <row r="395">
      <c r="A395" s="2" t="inlineStr">
        <is>
          <t>Downer</t>
        </is>
      </c>
      <c r="B395" s="2" t="inlineStr">
        <is>
          <t>_CLOSED_REV_Engineering IPD</t>
        </is>
      </c>
      <c r="C395" s="2" t="inlineStr">
        <is>
          <t>Branch</t>
        </is>
      </c>
      <c r="D395" s="2" t="inlineStr">
        <is>
          <t>L9.J.377101</t>
        </is>
      </c>
      <c r="E395" s="2" t="inlineStr">
        <is>
          <t>IP359</t>
        </is>
      </c>
      <c r="M395" s="2" t="inlineStr">
        <is>
          <t>New South Wales</t>
        </is>
      </c>
      <c r="N395" s="2" t="inlineStr">
        <is>
          <t>Australia</t>
        </is>
      </c>
      <c r="P395" s="2" t="inlineStr">
        <is>
          <t>Operational Control</t>
        </is>
      </c>
      <c r="Q395" s="2" t="inlineStr">
        <is>
          <t>Operational Control</t>
        </is>
      </c>
      <c r="R395" s="2" t="inlineStr">
        <is>
          <t>Energy and Utilities (EU)</t>
        </is>
      </c>
      <c r="S395" s="2" t="inlineStr">
        <is>
          <t>Downer</t>
        </is>
      </c>
      <c r="T395" s="2" t="n">
        <v>100</v>
      </c>
      <c r="W395" s="2" t="inlineStr">
        <is>
          <t>Classification</t>
        </is>
      </c>
    </row>
    <row r="396">
      <c r="A396" s="2" t="inlineStr">
        <is>
          <t>Downer</t>
        </is>
      </c>
      <c r="B396" s="2" t="inlineStr">
        <is>
          <t>_CLOSED_REV_Envista Pty Ltd</t>
        </is>
      </c>
      <c r="C396" s="2" t="inlineStr">
        <is>
          <t>Branch</t>
        </is>
      </c>
      <c r="D396" s="2" t="inlineStr">
        <is>
          <t>L9.J.50050002</t>
        </is>
      </c>
      <c r="E396" s="2" t="inlineStr">
        <is>
          <t>R33</t>
        </is>
      </c>
      <c r="M396" s="2" t="inlineStr">
        <is>
          <t>North Ryde</t>
        </is>
      </c>
      <c r="N396" s="2" t="inlineStr">
        <is>
          <t>Australia</t>
        </is>
      </c>
      <c r="P396" s="2" t="inlineStr">
        <is>
          <t>Operational Control</t>
        </is>
      </c>
      <c r="Q396" s="2" t="inlineStr">
        <is>
          <t>Operational Control</t>
        </is>
      </c>
      <c r="R396" s="2" t="inlineStr">
        <is>
          <t>Social Infra &amp; Citizen Serv (SICS)</t>
        </is>
      </c>
      <c r="S396" s="2" t="inlineStr">
        <is>
          <t>Downer</t>
        </is>
      </c>
      <c r="T396" s="2" t="n">
        <v>100</v>
      </c>
      <c r="W396" s="2" t="inlineStr">
        <is>
          <t>Classification</t>
        </is>
      </c>
    </row>
    <row r="397">
      <c r="A397" s="2" t="inlineStr">
        <is>
          <t>Downer</t>
        </is>
      </c>
      <c r="B397" s="2" t="inlineStr">
        <is>
          <t>_CLOSED_REV_Estate Development &amp; Base Upgrades</t>
        </is>
      </c>
      <c r="C397" s="2" t="inlineStr">
        <is>
          <t>Office</t>
        </is>
      </c>
      <c r="D397" s="2" t="inlineStr">
        <is>
          <t>L9.S.16013945</t>
        </is>
      </c>
      <c r="E397" s="2" t="inlineStr">
        <is>
          <t>R71</t>
        </is>
      </c>
      <c r="F397" s="2" t="inlineStr">
        <is>
          <t>R71</t>
        </is>
      </c>
      <c r="M397" s="2" t="inlineStr">
        <is>
          <t>North Ryde</t>
        </is>
      </c>
      <c r="N397" s="2" t="inlineStr">
        <is>
          <t>Australia</t>
        </is>
      </c>
      <c r="P397" s="2" t="inlineStr">
        <is>
          <t>Operational Control</t>
        </is>
      </c>
      <c r="Q397" s="2" t="inlineStr">
        <is>
          <t>Operational Control</t>
        </is>
      </c>
      <c r="R397" s="2" t="inlineStr">
        <is>
          <t>Social Infra &amp; Citizen Serv (SICS)</t>
        </is>
      </c>
      <c r="S397" s="2" t="inlineStr">
        <is>
          <t>Downer</t>
        </is>
      </c>
      <c r="T397" s="2" t="n">
        <v>100</v>
      </c>
      <c r="W397" s="2" t="inlineStr">
        <is>
          <t>Classification</t>
        </is>
      </c>
    </row>
    <row r="398">
      <c r="A398" s="2" t="inlineStr">
        <is>
          <t>Downer</t>
        </is>
      </c>
      <c r="B398" s="2" t="inlineStr">
        <is>
          <t>_CLOSED_REV_FAS Support</t>
        </is>
      </c>
      <c r="C398" s="2" t="inlineStr">
        <is>
          <t>Branch</t>
        </is>
      </c>
      <c r="D398" s="2" t="inlineStr">
        <is>
          <t>L9.ENG.360.14125</t>
        </is>
      </c>
      <c r="E398" s="2" t="inlineStr">
        <is>
          <t>FSO</t>
        </is>
      </c>
      <c r="G398" s="2" t="inlineStr">
        <is>
          <t>Creating new location to align to finance naming change in FY23 - previous name was "FAS Support Overhead".</t>
        </is>
      </c>
      <c r="M398" s="2" t="inlineStr">
        <is>
          <t>New South Wales</t>
        </is>
      </c>
      <c r="N398" s="2" t="inlineStr">
        <is>
          <t>Australia</t>
        </is>
      </c>
      <c r="P398" s="2" t="inlineStr">
        <is>
          <t>Operational Control</t>
        </is>
      </c>
      <c r="Q398" s="2" t="inlineStr">
        <is>
          <t>Operational Control</t>
        </is>
      </c>
      <c r="R398" s="2" t="inlineStr">
        <is>
          <t>Energy and Utilities (EU)</t>
        </is>
      </c>
      <c r="S398" s="2" t="inlineStr">
        <is>
          <t>Downer</t>
        </is>
      </c>
      <c r="T398" s="2" t="n">
        <v>100</v>
      </c>
      <c r="W398" s="2" t="inlineStr">
        <is>
          <t>Classification</t>
        </is>
      </c>
    </row>
    <row r="399">
      <c r="A399" s="2" t="inlineStr">
        <is>
          <t>Downer</t>
        </is>
      </c>
      <c r="B399" s="2" t="inlineStr">
        <is>
          <t>_CLOSED_REV_FAS Support Overhead</t>
        </is>
      </c>
      <c r="C399" s="2" t="inlineStr">
        <is>
          <t>Branch</t>
        </is>
      </c>
      <c r="D399" s="2" t="inlineStr">
        <is>
          <t>L9.ENG.360.14125</t>
        </is>
      </c>
      <c r="E399" s="2" t="inlineStr">
        <is>
          <t>FSO</t>
        </is>
      </c>
      <c r="M399" s="2" t="inlineStr">
        <is>
          <t>Sydney</t>
        </is>
      </c>
      <c r="N399" s="2" t="inlineStr">
        <is>
          <t>Australia</t>
        </is>
      </c>
      <c r="P399" s="2" t="inlineStr">
        <is>
          <t>Operational Control</t>
        </is>
      </c>
      <c r="Q399" s="2" t="inlineStr">
        <is>
          <t>Operational Control</t>
        </is>
      </c>
      <c r="R399" s="2" t="inlineStr">
        <is>
          <t>Energy and Utilities (EU)</t>
        </is>
      </c>
      <c r="S399" s="2" t="inlineStr">
        <is>
          <t>Downer</t>
        </is>
      </c>
      <c r="T399" s="2" t="n">
        <v>100</v>
      </c>
      <c r="W399" s="2" t="inlineStr">
        <is>
          <t>Classification</t>
        </is>
      </c>
      <c r="AB399" s="11" t="n">
        <v>44742</v>
      </c>
    </row>
    <row r="400">
      <c r="A400" s="2" t="inlineStr">
        <is>
          <t>Downer</t>
        </is>
      </c>
      <c r="B400" s="2" t="inlineStr">
        <is>
          <t>_CLOSED_REV_Fowlers Asphalting</t>
        </is>
      </c>
      <c r="C400" s="2" t="inlineStr">
        <is>
          <t>Branch</t>
        </is>
      </c>
      <c r="D400" s="2" t="inlineStr">
        <is>
          <t>L9.J.17030829</t>
        </is>
      </c>
      <c r="G400" s="2" t="inlineStr">
        <is>
          <t>Separating out Fowlers Revenue from Roads &gt; Pavements. This was done to allow time for the acquisition to set up a baseline intensity.</t>
        </is>
      </c>
      <c r="M400" s="2" t="inlineStr">
        <is>
          <t>Victoria</t>
        </is>
      </c>
      <c r="N400" s="2" t="inlineStr">
        <is>
          <t>Australia</t>
        </is>
      </c>
      <c r="P400" s="2" t="inlineStr">
        <is>
          <t>Operational Control</t>
        </is>
      </c>
      <c r="Q400" s="2" t="inlineStr">
        <is>
          <t>Operational Control</t>
        </is>
      </c>
      <c r="R400" s="2" t="inlineStr">
        <is>
          <t>Transport &amp; Infrastructure (T&amp;I)</t>
        </is>
      </c>
      <c r="S400" s="2" t="inlineStr">
        <is>
          <t>Downer</t>
        </is>
      </c>
      <c r="T400" s="2" t="n">
        <v>100</v>
      </c>
      <c r="W400" s="2" t="inlineStr">
        <is>
          <t>Classification</t>
        </is>
      </c>
    </row>
    <row r="401">
      <c r="A401" s="2" t="inlineStr">
        <is>
          <t>Downer</t>
        </is>
      </c>
      <c r="B401" s="2" t="inlineStr">
        <is>
          <t>_CLOSED_REV_FY20_Asset &amp; Development Services</t>
        </is>
      </c>
      <c r="C401" s="2" t="inlineStr">
        <is>
          <t>Branch</t>
        </is>
      </c>
      <c r="D401" s="2" t="inlineStr">
        <is>
          <t>L9.S.12000330</t>
        </is>
      </c>
      <c r="M401" s="2" t="inlineStr">
        <is>
          <t>North Ryde</t>
        </is>
      </c>
      <c r="N401" s="2" t="inlineStr">
        <is>
          <t>Australia</t>
        </is>
      </c>
      <c r="P401" s="2" t="inlineStr">
        <is>
          <t>Operational Control</t>
        </is>
      </c>
      <c r="Q401" s="2" t="inlineStr">
        <is>
          <t>Operational Control</t>
        </is>
      </c>
      <c r="R401" s="2" t="inlineStr">
        <is>
          <t>Asset &amp; Development Services (Baseline)</t>
        </is>
      </c>
      <c r="S401" s="2" t="inlineStr">
        <is>
          <t>Downer</t>
        </is>
      </c>
      <c r="T401" s="2" t="n">
        <v>100</v>
      </c>
      <c r="V401" s="11" t="n">
        <v>45107</v>
      </c>
      <c r="W401" s="2" t="inlineStr">
        <is>
          <t>Classification</t>
        </is>
      </c>
    </row>
    <row r="402">
      <c r="A402" s="2" t="inlineStr">
        <is>
          <t>Downer</t>
        </is>
      </c>
      <c r="B402" s="2" t="inlineStr">
        <is>
          <t>_CLOSED_REV_FY20_Corporate</t>
        </is>
      </c>
      <c r="C402" s="2" t="inlineStr">
        <is>
          <t>Branch</t>
        </is>
      </c>
      <c r="D402" s="2" t="inlineStr">
        <is>
          <t>L9.WAU.000895</t>
        </is>
      </c>
      <c r="M402" s="2" t="inlineStr">
        <is>
          <t>North Ryde</t>
        </is>
      </c>
      <c r="N402" s="2" t="inlineStr">
        <is>
          <t>Australia</t>
        </is>
      </c>
      <c r="P402" s="2" t="inlineStr">
        <is>
          <t>Operational Control</t>
        </is>
      </c>
      <c r="Q402" s="2" t="inlineStr">
        <is>
          <t>Operational Control</t>
        </is>
      </c>
      <c r="R402" s="2" t="inlineStr">
        <is>
          <t>Corporate</t>
        </is>
      </c>
      <c r="S402" s="2" t="inlineStr">
        <is>
          <t>Downer</t>
        </is>
      </c>
      <c r="T402" s="2" t="n">
        <v>100</v>
      </c>
      <c r="W402" s="2" t="inlineStr">
        <is>
          <t>Classification</t>
        </is>
      </c>
    </row>
    <row r="403">
      <c r="A403" s="2" t="inlineStr">
        <is>
          <t>Downer</t>
        </is>
      </c>
      <c r="B403" s="2" t="inlineStr">
        <is>
          <t>_CLOSED_REV_FY20_DNZ-New Zealand</t>
        </is>
      </c>
      <c r="C403" s="2" t="inlineStr">
        <is>
          <t>Branch</t>
        </is>
      </c>
      <c r="D403" s="2" t="inlineStr">
        <is>
          <t>L9.DNZJ.91000</t>
        </is>
      </c>
      <c r="M403" s="2" t="inlineStr">
        <is>
          <t>North Ryde</t>
        </is>
      </c>
      <c r="N403" s="2" t="inlineStr">
        <is>
          <t>Australia</t>
        </is>
      </c>
      <c r="P403" s="2" t="inlineStr">
        <is>
          <t>Operational Control</t>
        </is>
      </c>
      <c r="Q403" s="2" t="inlineStr">
        <is>
          <t>Operational Control</t>
        </is>
      </c>
      <c r="R403" s="2" t="inlineStr">
        <is>
          <t>Corporate</t>
        </is>
      </c>
      <c r="S403" s="2" t="inlineStr">
        <is>
          <t>Downer</t>
        </is>
      </c>
      <c r="T403" s="2" t="n">
        <v>100</v>
      </c>
      <c r="W403" s="2" t="inlineStr">
        <is>
          <t>Classification</t>
        </is>
      </c>
    </row>
    <row r="404">
      <c r="A404" s="2" t="inlineStr">
        <is>
          <t>Downer</t>
        </is>
      </c>
      <c r="B404" s="2" t="inlineStr">
        <is>
          <t>_CLOSED_REV_FY20_Downer Defence</t>
        </is>
      </c>
      <c r="C404" s="2" t="inlineStr">
        <is>
          <t>Branch</t>
        </is>
      </c>
      <c r="D404" s="2" t="inlineStr">
        <is>
          <t>L9.J.500004</t>
        </is>
      </c>
      <c r="M404" s="2" t="inlineStr">
        <is>
          <t>North Ryde</t>
        </is>
      </c>
      <c r="N404" s="2" t="inlineStr">
        <is>
          <t>Australia</t>
        </is>
      </c>
      <c r="P404" s="2" t="inlineStr">
        <is>
          <t>Operational Control</t>
        </is>
      </c>
      <c r="Q404" s="2" t="inlineStr">
        <is>
          <t>Operational Control</t>
        </is>
      </c>
      <c r="R404" s="2" t="inlineStr">
        <is>
          <t>Social Infra &amp; Citizen Serv (SICS)</t>
        </is>
      </c>
      <c r="S404" s="2" t="inlineStr">
        <is>
          <t>Downer</t>
        </is>
      </c>
      <c r="T404" s="2" t="n">
        <v>100</v>
      </c>
      <c r="W404" s="2" t="inlineStr">
        <is>
          <t>Classification</t>
        </is>
      </c>
    </row>
    <row r="405">
      <c r="A405" s="2" t="inlineStr">
        <is>
          <t>Downer</t>
        </is>
      </c>
      <c r="B405" s="2" t="inlineStr">
        <is>
          <t>_CLOSED_REV_FY20_Facilities &amp; Asset Services</t>
        </is>
      </c>
      <c r="C405" s="2" t="inlineStr">
        <is>
          <t>Branch</t>
        </is>
      </c>
      <c r="D405" s="2" t="inlineStr">
        <is>
          <t>L9.S.11000190</t>
        </is>
      </c>
      <c r="M405" s="2" t="inlineStr">
        <is>
          <t>North Ryde</t>
        </is>
      </c>
      <c r="N405" s="2" t="inlineStr">
        <is>
          <t>Australia</t>
        </is>
      </c>
      <c r="P405" s="2" t="inlineStr">
        <is>
          <t>Operational Control</t>
        </is>
      </c>
      <c r="Q405" s="2" t="inlineStr">
        <is>
          <t>Operational Control</t>
        </is>
      </c>
      <c r="R405" s="2" t="inlineStr">
        <is>
          <t>Corporate</t>
        </is>
      </c>
      <c r="S405" s="2" t="inlineStr">
        <is>
          <t>Downer</t>
        </is>
      </c>
      <c r="T405" s="2" t="n">
        <v>100</v>
      </c>
      <c r="W405" s="2" t="inlineStr">
        <is>
          <t>Classification</t>
        </is>
      </c>
    </row>
    <row r="406">
      <c r="A406" s="2" t="inlineStr">
        <is>
          <t>Downer</t>
        </is>
      </c>
      <c r="B406" s="2" t="inlineStr">
        <is>
          <t>_CLOSED_REV_FY20_Infrastructure Projects</t>
        </is>
      </c>
      <c r="C406" s="2" t="inlineStr">
        <is>
          <t>Branch</t>
        </is>
      </c>
      <c r="D406" s="2" t="inlineStr">
        <is>
          <t>L9.J.200998</t>
        </is>
      </c>
      <c r="M406" s="2" t="inlineStr">
        <is>
          <t>North Ryde</t>
        </is>
      </c>
      <c r="N406" s="2" t="inlineStr">
        <is>
          <t>Australia</t>
        </is>
      </c>
      <c r="P406" s="2" t="inlineStr">
        <is>
          <t>Operational Control</t>
        </is>
      </c>
      <c r="Q406" s="2" t="inlineStr">
        <is>
          <t>Operational Control</t>
        </is>
      </c>
      <c r="R406" s="2" t="inlineStr">
        <is>
          <t>DT Infrastructure (pre Sept 23 divestment)</t>
        </is>
      </c>
      <c r="S406" s="2" t="inlineStr">
        <is>
          <t>Downer</t>
        </is>
      </c>
      <c r="T406" s="2" t="n">
        <v>100</v>
      </c>
      <c r="V406" s="11" t="n">
        <v>45199</v>
      </c>
      <c r="W406" s="2" t="inlineStr">
        <is>
          <t>Classification</t>
        </is>
      </c>
    </row>
    <row r="407">
      <c r="A407" s="2" t="inlineStr">
        <is>
          <t>Downer</t>
        </is>
      </c>
      <c r="B407" s="2" t="inlineStr">
        <is>
          <t>_CLOSED_REV_FY20_Mineral Technologies</t>
        </is>
      </c>
      <c r="C407" s="2" t="inlineStr">
        <is>
          <t>Branch</t>
        </is>
      </c>
      <c r="D407" s="2" t="inlineStr">
        <is>
          <t>L9.ENG.360.01200</t>
        </is>
      </c>
      <c r="M407" s="2" t="inlineStr">
        <is>
          <t>North Ryde</t>
        </is>
      </c>
      <c r="N407" s="2" t="inlineStr">
        <is>
          <t>Australia</t>
        </is>
      </c>
      <c r="P407" s="2" t="inlineStr">
        <is>
          <t>Operational Control</t>
        </is>
      </c>
      <c r="Q407" s="2" t="inlineStr">
        <is>
          <t>Operational Control</t>
        </is>
      </c>
      <c r="R407" s="2" t="inlineStr">
        <is>
          <t>Energy and Utilities (EU)</t>
        </is>
      </c>
      <c r="S407" s="2" t="inlineStr">
        <is>
          <t>Downer</t>
        </is>
      </c>
      <c r="T407" s="2" t="n">
        <v>100</v>
      </c>
      <c r="W407" s="2" t="inlineStr">
        <is>
          <t>Classification</t>
        </is>
      </c>
    </row>
    <row r="408">
      <c r="A408" s="2" t="inlineStr">
        <is>
          <t>Downer</t>
        </is>
      </c>
      <c r="B408" s="2" t="inlineStr">
        <is>
          <t>_CLOSED_REV_FY20_Rail &amp; Transit Systems</t>
        </is>
      </c>
      <c r="C408" s="2" t="inlineStr">
        <is>
          <t>Branch</t>
        </is>
      </c>
      <c r="D408" s="2" t="inlineStr">
        <is>
          <t>L9.J.70930031</t>
        </is>
      </c>
      <c r="M408" s="2" t="inlineStr">
        <is>
          <t>North Ryde</t>
        </is>
      </c>
      <c r="N408" s="2" t="inlineStr">
        <is>
          <t>Australia</t>
        </is>
      </c>
      <c r="P408" s="2" t="inlineStr">
        <is>
          <t>Operational Control</t>
        </is>
      </c>
      <c r="Q408" s="2" t="inlineStr">
        <is>
          <t>Operational Control</t>
        </is>
      </c>
      <c r="R408" s="2" t="inlineStr">
        <is>
          <t>Rail &amp; Transit Systems (RTS)</t>
        </is>
      </c>
      <c r="S408" s="2" t="inlineStr">
        <is>
          <t>Downer</t>
        </is>
      </c>
      <c r="T408" s="2" t="n">
        <v>100</v>
      </c>
      <c r="W408" s="2" t="inlineStr">
        <is>
          <t>Classification</t>
        </is>
      </c>
    </row>
    <row r="409">
      <c r="A409" s="2" t="inlineStr">
        <is>
          <t>Downer</t>
        </is>
      </c>
      <c r="B409" s="2" t="inlineStr">
        <is>
          <t>_CLOSED_REV_FY20_Road Services</t>
        </is>
      </c>
      <c r="C409" s="2" t="inlineStr">
        <is>
          <t>Branch</t>
        </is>
      </c>
      <c r="D409" s="2" t="inlineStr">
        <is>
          <t>L9.J.170600</t>
        </is>
      </c>
      <c r="E409" s="2" t="inlineStr">
        <is>
          <t>REV_FY20_RoadServices</t>
        </is>
      </c>
      <c r="M409" s="2" t="inlineStr">
        <is>
          <t>North Ryde</t>
        </is>
      </c>
      <c r="N409" s="2" t="inlineStr">
        <is>
          <t>Australia</t>
        </is>
      </c>
      <c r="P409" s="2" t="inlineStr">
        <is>
          <t>Operational Control</t>
        </is>
      </c>
      <c r="Q409" s="2" t="inlineStr">
        <is>
          <t>Operational Control</t>
        </is>
      </c>
      <c r="R409" s="2" t="inlineStr">
        <is>
          <t>Transport &amp; Infrastructure (T&amp;I)</t>
        </is>
      </c>
      <c r="S409" s="2" t="inlineStr">
        <is>
          <t>Downer</t>
        </is>
      </c>
      <c r="T409" s="2" t="n">
        <v>100</v>
      </c>
      <c r="W409" s="2" t="inlineStr">
        <is>
          <t>Classification</t>
        </is>
      </c>
    </row>
    <row r="410">
      <c r="A410" s="2" t="inlineStr">
        <is>
          <t>Downer</t>
        </is>
      </c>
      <c r="B410" s="2" t="inlineStr">
        <is>
          <t>_CLOSED_REV_FY20_Utilities</t>
        </is>
      </c>
      <c r="C410" s="2" t="inlineStr">
        <is>
          <t>Branch</t>
        </is>
      </c>
      <c r="D410" s="2" t="inlineStr">
        <is>
          <t>L9.J.247103</t>
        </is>
      </c>
      <c r="M410" s="2" t="inlineStr">
        <is>
          <t>North Ryde</t>
        </is>
      </c>
      <c r="N410" s="2" t="inlineStr">
        <is>
          <t>Australia</t>
        </is>
      </c>
      <c r="P410" s="2" t="inlineStr">
        <is>
          <t>Operational Control</t>
        </is>
      </c>
      <c r="Q410" s="2" t="inlineStr">
        <is>
          <t>Operational Control</t>
        </is>
      </c>
      <c r="R410" s="2" t="inlineStr">
        <is>
          <t>Energy and Utilities (EU)</t>
        </is>
      </c>
      <c r="S410" s="2" t="inlineStr">
        <is>
          <t>Downer</t>
        </is>
      </c>
      <c r="T410" s="2" t="n">
        <v>100</v>
      </c>
      <c r="W410" s="2" t="inlineStr">
        <is>
          <t>Classification</t>
        </is>
      </c>
    </row>
    <row r="411">
      <c r="A411" s="2" t="inlineStr">
        <is>
          <t>Downer</t>
        </is>
      </c>
      <c r="B411" s="2" t="inlineStr">
        <is>
          <t>_CLOSED_REV_Government &amp; Citizen Services</t>
        </is>
      </c>
      <c r="C411" s="2" t="inlineStr">
        <is>
          <t>Branch</t>
        </is>
      </c>
      <c r="D411" s="2" t="inlineStr">
        <is>
          <t>L9.S.13000740</t>
        </is>
      </c>
      <c r="E411" s="2" t="n">
        <v>13000740</v>
      </c>
      <c r="G411" s="2" t="inlineStr">
        <is>
          <t>Creating new location to account for the new financial naming "Government &amp; IFM". Previous location ref: R53; Ref No: L9.S.3174.001.999.10</t>
        </is>
      </c>
      <c r="M411" s="2" t="inlineStr">
        <is>
          <t>North Ryde</t>
        </is>
      </c>
      <c r="N411" s="2" t="inlineStr">
        <is>
          <t>Australia</t>
        </is>
      </c>
      <c r="P411" s="2" t="inlineStr">
        <is>
          <t>Operational Control</t>
        </is>
      </c>
      <c r="Q411" s="2" t="inlineStr">
        <is>
          <t>Operational Control</t>
        </is>
      </c>
      <c r="R411" s="2" t="inlineStr">
        <is>
          <t>Social Infra &amp; Citizen Serv (SICS)</t>
        </is>
      </c>
      <c r="S411" s="2" t="inlineStr">
        <is>
          <t>Downer</t>
        </is>
      </c>
      <c r="T411" s="2" t="n">
        <v>100</v>
      </c>
      <c r="W411" s="2" t="inlineStr">
        <is>
          <t>Classification</t>
        </is>
      </c>
      <c r="AB411" s="11" t="n">
        <v>44742</v>
      </c>
    </row>
    <row r="412">
      <c r="A412" s="2" t="inlineStr">
        <is>
          <t>Downer</t>
        </is>
      </c>
      <c r="B412" s="2" t="inlineStr">
        <is>
          <t>_CLOSED_REV_Government &amp; IFM</t>
        </is>
      </c>
      <c r="C412" s="2" t="inlineStr">
        <is>
          <t>Branch</t>
        </is>
      </c>
      <c r="D412" s="2" t="inlineStr">
        <is>
          <t>L9.S.14000947</t>
        </is>
      </c>
      <c r="E412" s="2" t="inlineStr">
        <is>
          <t>GOVIFM</t>
        </is>
      </c>
      <c r="G412" s="2" t="inlineStr">
        <is>
          <t>Previous location was "REV_Government &amp; Citizen Services" in FY22.</t>
        </is>
      </c>
      <c r="M412" s="2" t="inlineStr">
        <is>
          <t>New South Wales</t>
        </is>
      </c>
      <c r="N412" s="2" t="inlineStr">
        <is>
          <t>Australia</t>
        </is>
      </c>
      <c r="P412" s="2" t="inlineStr">
        <is>
          <t>Operational Control</t>
        </is>
      </c>
      <c r="Q412" s="2" t="inlineStr">
        <is>
          <t>Operational Control</t>
        </is>
      </c>
      <c r="R412" s="2" t="inlineStr">
        <is>
          <t>Social Infra &amp; Citizen Serv (SICS)</t>
        </is>
      </c>
      <c r="S412" s="2" t="inlineStr">
        <is>
          <t>Downer</t>
        </is>
      </c>
      <c r="T412" s="2" t="n">
        <v>100</v>
      </c>
      <c r="W412" s="2" t="inlineStr">
        <is>
          <t>Classification</t>
        </is>
      </c>
    </row>
    <row r="413">
      <c r="A413" s="2" t="inlineStr">
        <is>
          <t>Downer</t>
        </is>
      </c>
      <c r="B413" s="2" t="inlineStr">
        <is>
          <t>_CLOSED_REV_HCMT</t>
        </is>
      </c>
      <c r="C413" s="2" t="inlineStr">
        <is>
          <t>Branch</t>
        </is>
      </c>
      <c r="D413" s="2" t="inlineStr">
        <is>
          <t>L9.J.20042010</t>
        </is>
      </c>
      <c r="E413" s="2" t="inlineStr">
        <is>
          <t>R62</t>
        </is>
      </c>
      <c r="M413" s="2" t="inlineStr">
        <is>
          <t>North Ryde</t>
        </is>
      </c>
      <c r="N413" s="2" t="inlineStr">
        <is>
          <t>Australia</t>
        </is>
      </c>
      <c r="P413" s="2" t="inlineStr">
        <is>
          <t>Operational Control</t>
        </is>
      </c>
      <c r="Q413" s="2" t="inlineStr">
        <is>
          <t>Operational Control</t>
        </is>
      </c>
      <c r="R413" s="2" t="inlineStr">
        <is>
          <t>DT Infrastructure (pre Sept 23 divestment)</t>
        </is>
      </c>
      <c r="S413" s="2" t="inlineStr">
        <is>
          <t>Downer</t>
        </is>
      </c>
      <c r="T413" s="2" t="n">
        <v>100</v>
      </c>
      <c r="V413" s="11" t="n">
        <v>45199</v>
      </c>
      <c r="W413" s="2" t="inlineStr">
        <is>
          <t>Classification</t>
        </is>
      </c>
    </row>
    <row r="414">
      <c r="A414" s="2" t="inlineStr">
        <is>
          <t>Downer</t>
        </is>
      </c>
      <c r="B414" s="2" t="inlineStr">
        <is>
          <t>_CLOSED_REV_Health &amp; Education</t>
        </is>
      </c>
      <c r="C414" s="2" t="inlineStr">
        <is>
          <t>Branch</t>
        </is>
      </c>
      <c r="D414" s="2" t="inlineStr">
        <is>
          <t>L9.S.13900021</t>
        </is>
      </c>
      <c r="E414" s="2" t="inlineStr">
        <is>
          <t>R55</t>
        </is>
      </c>
      <c r="M414" s="2" t="inlineStr">
        <is>
          <t>North Ryde</t>
        </is>
      </c>
      <c r="N414" s="2" t="inlineStr">
        <is>
          <t>Australia</t>
        </is>
      </c>
      <c r="P414" s="2" t="inlineStr">
        <is>
          <t>Operational Control</t>
        </is>
      </c>
      <c r="Q414" s="2" t="inlineStr">
        <is>
          <t>Operational Control</t>
        </is>
      </c>
      <c r="R414" s="2" t="inlineStr">
        <is>
          <t>Social Infra &amp; Citizen Serv (SICS)</t>
        </is>
      </c>
      <c r="S414" s="2" t="inlineStr">
        <is>
          <t>Downer</t>
        </is>
      </c>
      <c r="T414" s="2" t="n">
        <v>100</v>
      </c>
      <c r="W414" s="2" t="inlineStr">
        <is>
          <t>Classification</t>
        </is>
      </c>
    </row>
    <row r="415">
      <c r="A415" s="2" t="inlineStr">
        <is>
          <t>Downer</t>
        </is>
      </c>
      <c r="B415" s="2" t="inlineStr">
        <is>
          <t>_CLOSED_REV_Hospitality</t>
        </is>
      </c>
      <c r="C415" s="2" t="inlineStr">
        <is>
          <t>Unspecified</t>
        </is>
      </c>
      <c r="D415" s="2" t="inlineStr">
        <is>
          <t>L9.S.13000909</t>
        </is>
      </c>
      <c r="E415" s="2" t="inlineStr">
        <is>
          <t>R54</t>
        </is>
      </c>
      <c r="M415" s="2" t="inlineStr">
        <is>
          <t>North Ryde</t>
        </is>
      </c>
      <c r="N415" s="2" t="inlineStr">
        <is>
          <t>Australia</t>
        </is>
      </c>
      <c r="P415" s="2" t="inlineStr">
        <is>
          <t>Operational Control</t>
        </is>
      </c>
      <c r="Q415" s="2" t="inlineStr">
        <is>
          <t>Operational Control</t>
        </is>
      </c>
      <c r="R415" s="2" t="inlineStr">
        <is>
          <t>Social Infra &amp; Citizen Serv (SICS)</t>
        </is>
      </c>
      <c r="S415" s="2" t="inlineStr">
        <is>
          <t>Downer</t>
        </is>
      </c>
      <c r="T415" s="2" t="n">
        <v>100</v>
      </c>
      <c r="W415" s="2" t="inlineStr">
        <is>
          <t>Classification</t>
        </is>
      </c>
    </row>
    <row r="416">
      <c r="A416" s="2" t="inlineStr">
        <is>
          <t>Downer</t>
        </is>
      </c>
      <c r="B416" s="2" t="inlineStr">
        <is>
          <t>_CLOSED_REV_Indirect Overhead (IPD)</t>
        </is>
      </c>
      <c r="C416" s="2" t="inlineStr">
        <is>
          <t>Other</t>
        </is>
      </c>
      <c r="D416" s="2" t="inlineStr">
        <is>
          <t>L9.J.200411</t>
        </is>
      </c>
      <c r="E416" s="2" t="inlineStr">
        <is>
          <t>L9.J.200411</t>
        </is>
      </c>
      <c r="M416" s="2" t="inlineStr">
        <is>
          <t>North Ryde</t>
        </is>
      </c>
      <c r="N416" s="2" t="inlineStr">
        <is>
          <t>Australia</t>
        </is>
      </c>
      <c r="P416" s="2" t="inlineStr">
        <is>
          <t>Operational Control</t>
        </is>
      </c>
      <c r="Q416" s="2" t="inlineStr">
        <is>
          <t>Operational Control</t>
        </is>
      </c>
      <c r="R416" s="2" t="inlineStr">
        <is>
          <t>DT Infrastructure (pre Sept 23 divestment)</t>
        </is>
      </c>
      <c r="S416" s="2" t="inlineStr">
        <is>
          <t>Downer</t>
        </is>
      </c>
      <c r="T416" s="2" t="n">
        <v>100</v>
      </c>
      <c r="V416" s="11" t="n">
        <v>45199</v>
      </c>
      <c r="W416" s="2" t="inlineStr">
        <is>
          <t>Classification</t>
        </is>
      </c>
    </row>
    <row r="417">
      <c r="A417" s="2" t="inlineStr">
        <is>
          <t>Downer</t>
        </is>
      </c>
      <c r="B417" s="2" t="inlineStr">
        <is>
          <t>_CLOSED_REV_Industrial</t>
        </is>
      </c>
      <c r="C417" s="2" t="inlineStr">
        <is>
          <t>Branch</t>
        </is>
      </c>
      <c r="D417" s="2" t="inlineStr">
        <is>
          <t>L9.J.30050001</t>
        </is>
      </c>
      <c r="E417" s="2" t="inlineStr">
        <is>
          <t>R28</t>
        </is>
      </c>
      <c r="M417" s="2" t="inlineStr">
        <is>
          <t>North Ryde</t>
        </is>
      </c>
      <c r="N417" s="2" t="inlineStr">
        <is>
          <t>Australia</t>
        </is>
      </c>
      <c r="P417" s="2" t="inlineStr">
        <is>
          <t>Operational Control</t>
        </is>
      </c>
      <c r="Q417" s="2" t="inlineStr">
        <is>
          <t>Operational Control</t>
        </is>
      </c>
      <c r="R417" s="2" t="inlineStr">
        <is>
          <t>Asset &amp; Development Services (Baseline)</t>
        </is>
      </c>
      <c r="S417" s="2" t="inlineStr">
        <is>
          <t>Downer</t>
        </is>
      </c>
      <c r="T417" s="2" t="n">
        <v>100</v>
      </c>
      <c r="V417" s="11" t="n">
        <v>45107</v>
      </c>
      <c r="W417" s="2" t="inlineStr">
        <is>
          <t>Classification</t>
        </is>
      </c>
    </row>
    <row r="418">
      <c r="A418" s="2" t="inlineStr">
        <is>
          <t>Downer</t>
        </is>
      </c>
      <c r="B418" s="2" t="inlineStr">
        <is>
          <t>_CLOSED_REV_Industrial &amp; Marine</t>
        </is>
      </c>
      <c r="C418" s="2" t="inlineStr">
        <is>
          <t>Branch</t>
        </is>
      </c>
      <c r="D418" s="2" t="inlineStr">
        <is>
          <t>L9.J.38220031</t>
        </is>
      </c>
      <c r="E418" s="2" t="inlineStr">
        <is>
          <t>L9.J.38220031</t>
        </is>
      </c>
      <c r="M418" s="2" t="inlineStr">
        <is>
          <t>New South Wales</t>
        </is>
      </c>
      <c r="N418" s="2" t="inlineStr">
        <is>
          <t>Australia</t>
        </is>
      </c>
      <c r="P418" s="2" t="inlineStr">
        <is>
          <t>Operational Control</t>
        </is>
      </c>
      <c r="Q418" s="2" t="inlineStr">
        <is>
          <t>Operational Control</t>
        </is>
      </c>
      <c r="R418" s="2" t="inlineStr">
        <is>
          <t>Energy and Utilities (EU)</t>
        </is>
      </c>
      <c r="S418" s="2" t="inlineStr">
        <is>
          <t>Downer</t>
        </is>
      </c>
      <c r="T418" s="2" t="n">
        <v>100</v>
      </c>
      <c r="W418" s="2" t="inlineStr">
        <is>
          <t>Classification</t>
        </is>
      </c>
    </row>
    <row r="419">
      <c r="A419" s="2" t="inlineStr">
        <is>
          <t>Downer</t>
        </is>
      </c>
      <c r="B419" s="2" t="inlineStr">
        <is>
          <t>_CLOSED_REV_Infrastructure and Construction incl. Comm</t>
        </is>
      </c>
      <c r="C419" s="2" t="inlineStr">
        <is>
          <t>Branch</t>
        </is>
      </c>
      <c r="D419" s="2" t="inlineStr">
        <is>
          <t>L9.S.13001196</t>
        </is>
      </c>
      <c r="E419" s="2" t="inlineStr">
        <is>
          <t>R57</t>
        </is>
      </c>
      <c r="M419" s="2" t="inlineStr">
        <is>
          <t>North Ryde</t>
        </is>
      </c>
      <c r="N419" s="2" t="inlineStr">
        <is>
          <t>Australia</t>
        </is>
      </c>
      <c r="P419" s="2" t="inlineStr">
        <is>
          <t>Operational Control</t>
        </is>
      </c>
      <c r="Q419" s="2" t="inlineStr">
        <is>
          <t>Operational Control</t>
        </is>
      </c>
      <c r="R419" s="2" t="inlineStr">
        <is>
          <t>Asset &amp; Development Services (Baseline)</t>
        </is>
      </c>
      <c r="S419" s="2" t="inlineStr">
        <is>
          <t>Downer</t>
        </is>
      </c>
      <c r="T419" s="2" t="n">
        <v>100</v>
      </c>
      <c r="V419" s="11" t="n">
        <v>45107</v>
      </c>
      <c r="W419" s="2" t="inlineStr">
        <is>
          <t>Classification</t>
        </is>
      </c>
    </row>
    <row r="420">
      <c r="A420" s="2" t="inlineStr">
        <is>
          <t>Downer</t>
        </is>
      </c>
      <c r="B420" s="2" t="inlineStr">
        <is>
          <t>_CLOSED_REV_Infrastructure Projects Engineering</t>
        </is>
      </c>
      <c r="C420" s="2" t="inlineStr">
        <is>
          <t>Branch</t>
        </is>
      </c>
      <c r="D420" s="2" t="inlineStr">
        <is>
          <t>L9.J.377101</t>
        </is>
      </c>
      <c r="E420" s="2" t="inlineStr">
        <is>
          <t>R14</t>
        </is>
      </c>
      <c r="M420" s="2" t="inlineStr">
        <is>
          <t>North Ryde</t>
        </is>
      </c>
      <c r="N420" s="2" t="inlineStr">
        <is>
          <t>Australia</t>
        </is>
      </c>
      <c r="P420" s="2" t="inlineStr">
        <is>
          <t>Operational Control</t>
        </is>
      </c>
      <c r="Q420" s="2" t="inlineStr">
        <is>
          <t>Operational Control</t>
        </is>
      </c>
      <c r="R420" s="2" t="inlineStr">
        <is>
          <t>Energy and Utilities (EU)</t>
        </is>
      </c>
      <c r="S420" s="2" t="inlineStr">
        <is>
          <t>Downer</t>
        </is>
      </c>
      <c r="T420" s="2" t="n">
        <v>100</v>
      </c>
      <c r="W420" s="2" t="inlineStr">
        <is>
          <t>Classification</t>
        </is>
      </c>
    </row>
    <row r="421">
      <c r="A421" s="2" t="inlineStr">
        <is>
          <t>Downer</t>
        </is>
      </c>
      <c r="B421" s="2" t="inlineStr">
        <is>
          <t>_CLOSED_REV_Infrastructure Projects HO Total</t>
        </is>
      </c>
      <c r="C421" s="2" t="inlineStr">
        <is>
          <t>Branch</t>
        </is>
      </c>
      <c r="D421" s="2" t="inlineStr">
        <is>
          <t>L9.D.201201</t>
        </is>
      </c>
      <c r="E421" s="2" t="inlineStr">
        <is>
          <t>L9.D.201201</t>
        </is>
      </c>
      <c r="M421" s="2" t="inlineStr">
        <is>
          <t>North Ryde</t>
        </is>
      </c>
      <c r="N421" s="2" t="inlineStr">
        <is>
          <t>Australia</t>
        </is>
      </c>
      <c r="P421" s="2" t="inlineStr">
        <is>
          <t>Operational Control</t>
        </is>
      </c>
      <c r="Q421" s="2" t="inlineStr">
        <is>
          <t>Operational Control</t>
        </is>
      </c>
      <c r="R421" s="2" t="inlineStr">
        <is>
          <t>DT Infrastructure (pre Sept 23 divestment)</t>
        </is>
      </c>
      <c r="S421" s="2" t="inlineStr">
        <is>
          <t>Downer</t>
        </is>
      </c>
      <c r="T421" s="2" t="n">
        <v>100</v>
      </c>
      <c r="V421" s="11" t="n">
        <v>45199</v>
      </c>
      <c r="W421" s="2" t="inlineStr">
        <is>
          <t>Classification</t>
        </is>
      </c>
    </row>
    <row r="422">
      <c r="A422" s="2" t="inlineStr">
        <is>
          <t>Downer</t>
        </is>
      </c>
      <c r="B422" s="2" t="inlineStr">
        <is>
          <t>_CLOSED_REV_Infrastructure Projects Legacy</t>
        </is>
      </c>
      <c r="C422" s="2" t="inlineStr">
        <is>
          <t>Branch</t>
        </is>
      </c>
      <c r="D422" s="2" t="inlineStr">
        <is>
          <t>L9.J.232100</t>
        </is>
      </c>
      <c r="E422" s="2" t="inlineStr">
        <is>
          <t>R69</t>
        </is>
      </c>
      <c r="M422" s="2" t="inlineStr">
        <is>
          <t>North Ryde</t>
        </is>
      </c>
      <c r="N422" s="2" t="inlineStr">
        <is>
          <t>Australia</t>
        </is>
      </c>
      <c r="P422" s="2" t="inlineStr">
        <is>
          <t>Operational Control</t>
        </is>
      </c>
      <c r="Q422" s="2" t="inlineStr">
        <is>
          <t>Operational Control</t>
        </is>
      </c>
      <c r="R422" s="2" t="inlineStr">
        <is>
          <t>Energy and Utilities (EU)</t>
        </is>
      </c>
      <c r="S422" s="2" t="inlineStr">
        <is>
          <t>Downer</t>
        </is>
      </c>
      <c r="T422" s="2" t="n">
        <v>100</v>
      </c>
      <c r="W422" s="2" t="inlineStr">
        <is>
          <t>Classification</t>
        </is>
      </c>
    </row>
    <row r="423">
      <c r="A423" s="2" t="inlineStr">
        <is>
          <t>Downer</t>
        </is>
      </c>
      <c r="B423" s="2" t="inlineStr">
        <is>
          <t>_CLOSED_REV_Infrastructure Projects NSW</t>
        </is>
      </c>
      <c r="C423" s="2" t="inlineStr">
        <is>
          <t>Branch</t>
        </is>
      </c>
      <c r="D423" s="2" t="inlineStr">
        <is>
          <t>L9.J.20061001</t>
        </is>
      </c>
      <c r="E423" s="2" t="inlineStr">
        <is>
          <t>R11</t>
        </is>
      </c>
      <c r="M423" s="2" t="inlineStr">
        <is>
          <t>North Ryde</t>
        </is>
      </c>
      <c r="N423" s="2" t="inlineStr">
        <is>
          <t>Australia</t>
        </is>
      </c>
      <c r="P423" s="2" t="inlineStr">
        <is>
          <t>Operational Control</t>
        </is>
      </c>
      <c r="Q423" s="2" t="inlineStr">
        <is>
          <t>Operational Control</t>
        </is>
      </c>
      <c r="R423" s="2" t="inlineStr">
        <is>
          <t>DT Infrastructure (pre Sept 23 divestment)</t>
        </is>
      </c>
      <c r="S423" s="2" t="inlineStr">
        <is>
          <t>Downer</t>
        </is>
      </c>
      <c r="T423" s="2" t="n">
        <v>100</v>
      </c>
      <c r="V423" s="11" t="n">
        <v>45199</v>
      </c>
      <c r="W423" s="2" t="inlineStr">
        <is>
          <t>Classification</t>
        </is>
      </c>
    </row>
    <row r="424">
      <c r="A424" s="2" t="inlineStr">
        <is>
          <t>Downer</t>
        </is>
      </c>
      <c r="B424" s="2" t="inlineStr">
        <is>
          <t>_CLOSED_REV_Infrastructure Projects QLD &amp; Power</t>
        </is>
      </c>
      <c r="C424" s="2" t="inlineStr">
        <is>
          <t>Branch</t>
        </is>
      </c>
      <c r="D424" s="2" t="inlineStr">
        <is>
          <t>L9.J.37200206</t>
        </is>
      </c>
      <c r="E424" s="2" t="inlineStr">
        <is>
          <t>R10</t>
        </is>
      </c>
      <c r="M424" s="2" t="inlineStr">
        <is>
          <t>North Ryde</t>
        </is>
      </c>
      <c r="N424" s="2" t="inlineStr">
        <is>
          <t>Australia</t>
        </is>
      </c>
      <c r="P424" s="2" t="inlineStr">
        <is>
          <t>Operational Control</t>
        </is>
      </c>
      <c r="Q424" s="2" t="inlineStr">
        <is>
          <t>Operational Control</t>
        </is>
      </c>
      <c r="R424" s="2" t="inlineStr">
        <is>
          <t>Energy and Utilities (EU)</t>
        </is>
      </c>
      <c r="S424" s="2" t="inlineStr">
        <is>
          <t>Downer</t>
        </is>
      </c>
      <c r="T424" s="2" t="n">
        <v>100</v>
      </c>
      <c r="W424" s="2" t="inlineStr">
        <is>
          <t>Classification</t>
        </is>
      </c>
    </row>
    <row r="425">
      <c r="A425" s="2" t="inlineStr">
        <is>
          <t>Downer</t>
        </is>
      </c>
      <c r="B425" s="2" t="inlineStr">
        <is>
          <t>_CLOSED_REV_Infrastructure Projects Southern</t>
        </is>
      </c>
      <c r="C425" s="2" t="inlineStr">
        <is>
          <t>Branch</t>
        </is>
      </c>
      <c r="D425" s="2" t="inlineStr">
        <is>
          <t>L9.WAU.4912</t>
        </is>
      </c>
      <c r="E425" s="2" t="inlineStr">
        <is>
          <t>R8</t>
        </is>
      </c>
      <c r="M425" s="2" t="inlineStr">
        <is>
          <t>North Ryde</t>
        </is>
      </c>
      <c r="N425" s="2" t="inlineStr">
        <is>
          <t>Australia</t>
        </is>
      </c>
      <c r="P425" s="2" t="inlineStr">
        <is>
          <t>Operational Control</t>
        </is>
      </c>
      <c r="Q425" s="2" t="inlineStr">
        <is>
          <t>Operational Control</t>
        </is>
      </c>
      <c r="R425" s="2" t="inlineStr">
        <is>
          <t>DT Infrastructure (pre Sept 23 divestment)</t>
        </is>
      </c>
      <c r="S425" s="2" t="inlineStr">
        <is>
          <t>Downer</t>
        </is>
      </c>
      <c r="T425" s="2" t="n">
        <v>100</v>
      </c>
      <c r="V425" s="11" t="n">
        <v>45199</v>
      </c>
      <c r="W425" s="2" t="inlineStr">
        <is>
          <t>Classification</t>
        </is>
      </c>
    </row>
    <row r="426">
      <c r="A426" s="2" t="inlineStr">
        <is>
          <t>Downer</t>
        </is>
      </c>
      <c r="B426" s="2" t="inlineStr">
        <is>
          <t>_CLOSED_REV_Intra Elim</t>
        </is>
      </c>
      <c r="C426" s="2" t="inlineStr">
        <is>
          <t>Branch</t>
        </is>
      </c>
      <c r="D426" s="2" t="inlineStr">
        <is>
          <t>L9.J.150221</t>
        </is>
      </c>
      <c r="E426" s="2" t="inlineStr">
        <is>
          <t>IE</t>
        </is>
      </c>
      <c r="M426" s="2" t="inlineStr">
        <is>
          <t>New South Wales</t>
        </is>
      </c>
      <c r="N426" s="2" t="inlineStr">
        <is>
          <t>Australia</t>
        </is>
      </c>
      <c r="P426" s="2" t="inlineStr">
        <is>
          <t>Operational Control</t>
        </is>
      </c>
      <c r="Q426" s="2" t="inlineStr">
        <is>
          <t>Operational Control</t>
        </is>
      </c>
      <c r="R426" s="2" t="inlineStr">
        <is>
          <t>Corporate</t>
        </is>
      </c>
      <c r="S426" s="2" t="inlineStr">
        <is>
          <t>Downer</t>
        </is>
      </c>
      <c r="T426" s="2" t="n">
        <v>100</v>
      </c>
      <c r="W426" s="2" t="inlineStr">
        <is>
          <t>Classification</t>
        </is>
      </c>
    </row>
    <row r="427">
      <c r="A427" s="2" t="inlineStr">
        <is>
          <t>Downer</t>
        </is>
      </c>
      <c r="B427" s="2" t="inlineStr">
        <is>
          <t>_CLOSED_REV_Intra Elimination</t>
        </is>
      </c>
      <c r="C427" s="2" t="inlineStr">
        <is>
          <t>Branch</t>
        </is>
      </c>
      <c r="D427" s="2" t="inlineStr">
        <is>
          <t>L9.J.150221</t>
        </is>
      </c>
      <c r="E427" s="2" t="inlineStr">
        <is>
          <t>R68</t>
        </is>
      </c>
      <c r="M427" s="2" t="inlineStr">
        <is>
          <t>North Ryde</t>
        </is>
      </c>
      <c r="N427" s="2" t="inlineStr">
        <is>
          <t>Australia</t>
        </is>
      </c>
      <c r="P427" s="2" t="inlineStr">
        <is>
          <t>Operational Control</t>
        </is>
      </c>
      <c r="Q427" s="2" t="inlineStr">
        <is>
          <t>Operational Control</t>
        </is>
      </c>
      <c r="R427" s="2" t="inlineStr">
        <is>
          <t>Corporate</t>
        </is>
      </c>
      <c r="S427" s="2" t="inlineStr">
        <is>
          <t>Downer</t>
        </is>
      </c>
      <c r="T427" s="2" t="n">
        <v>100</v>
      </c>
      <c r="W427" s="2" t="inlineStr">
        <is>
          <t>Classification</t>
        </is>
      </c>
    </row>
    <row r="428">
      <c r="A428" s="2" t="inlineStr">
        <is>
          <t>Downer</t>
        </is>
      </c>
      <c r="B428" s="2" t="inlineStr">
        <is>
          <t>_CLOSED_REV_IP_Miscellaneous</t>
        </is>
      </c>
      <c r="C428" s="2" t="inlineStr">
        <is>
          <t>Branch</t>
        </is>
      </c>
      <c r="D428" s="2" t="inlineStr">
        <is>
          <t>L9.J.200304</t>
        </is>
      </c>
      <c r="E428" s="2" t="inlineStr">
        <is>
          <t>L9.J.200304</t>
        </is>
      </c>
      <c r="M428" s="2" t="inlineStr">
        <is>
          <t>New South Wales</t>
        </is>
      </c>
      <c r="N428" s="2" t="inlineStr">
        <is>
          <t>Australia</t>
        </is>
      </c>
      <c r="P428" s="2" t="inlineStr">
        <is>
          <t>Operational Control</t>
        </is>
      </c>
      <c r="Q428" s="2" t="inlineStr">
        <is>
          <t>Operational Control</t>
        </is>
      </c>
      <c r="R428" s="2" t="inlineStr">
        <is>
          <t>DT Infrastructure (pre Sept 23 divestment)</t>
        </is>
      </c>
      <c r="S428" s="2" t="inlineStr">
        <is>
          <t>Downer</t>
        </is>
      </c>
      <c r="T428" s="2" t="n">
        <v>100</v>
      </c>
      <c r="V428" s="11" t="n">
        <v>45199</v>
      </c>
      <c r="W428" s="2" t="inlineStr">
        <is>
          <t>Classification</t>
        </is>
      </c>
    </row>
    <row r="429">
      <c r="A429" s="2" t="inlineStr">
        <is>
          <t>Downer</t>
        </is>
      </c>
      <c r="B429" s="2" t="inlineStr">
        <is>
          <t>_CLOSED_REV_Isaac Asphalt</t>
        </is>
      </c>
      <c r="C429" s="2" t="inlineStr">
        <is>
          <t>Branch</t>
        </is>
      </c>
      <c r="D429" s="2" t="inlineStr">
        <is>
          <t>L9.DNZJ.3098</t>
        </is>
      </c>
      <c r="E429" s="2" t="inlineStr">
        <is>
          <t>ISAAT</t>
        </is>
      </c>
      <c r="M429" s="2" t="inlineStr">
        <is>
          <t>Sydney</t>
        </is>
      </c>
      <c r="N429" s="2" t="inlineStr">
        <is>
          <t>Australia</t>
        </is>
      </c>
      <c r="P429" s="2" t="inlineStr">
        <is>
          <t>Operational Control</t>
        </is>
      </c>
      <c r="Q429" s="2" t="inlineStr">
        <is>
          <t>Operational Control</t>
        </is>
      </c>
      <c r="R429" s="2" t="inlineStr">
        <is>
          <t>Transport &amp; Infrastructure (T&amp;I)</t>
        </is>
      </c>
      <c r="S429" s="2" t="inlineStr">
        <is>
          <t>Downer</t>
        </is>
      </c>
      <c r="T429" s="2" t="n">
        <v>100</v>
      </c>
      <c r="W429" s="2" t="inlineStr">
        <is>
          <t>Classification</t>
        </is>
      </c>
    </row>
    <row r="430">
      <c r="A430" s="2" t="inlineStr">
        <is>
          <t>Downer</t>
        </is>
      </c>
      <c r="B430" s="2" t="inlineStr">
        <is>
          <t>_CLOSED_REV_Keolis Downer</t>
        </is>
      </c>
      <c r="C430" s="2" t="inlineStr">
        <is>
          <t>Unspecified</t>
        </is>
      </c>
      <c r="D430" s="2" t="inlineStr">
        <is>
          <t>L9.KD.YT.9216</t>
        </is>
      </c>
      <c r="E430" s="2" t="inlineStr">
        <is>
          <t>R67</t>
        </is>
      </c>
      <c r="M430" s="2" t="inlineStr">
        <is>
          <t>North Ryde</t>
        </is>
      </c>
      <c r="N430" s="2" t="inlineStr">
        <is>
          <t>Australia</t>
        </is>
      </c>
      <c r="P430" s="2" t="inlineStr">
        <is>
          <t>Operational Control</t>
        </is>
      </c>
      <c r="Q430" s="2" t="inlineStr">
        <is>
          <t>Operational Control</t>
        </is>
      </c>
      <c r="R430" s="2" t="inlineStr">
        <is>
          <t>Joint Ventures</t>
        </is>
      </c>
      <c r="S430" s="2" t="inlineStr">
        <is>
          <t>Downer</t>
        </is>
      </c>
      <c r="T430" s="2" t="n">
        <v>100</v>
      </c>
      <c r="W430" s="2" t="inlineStr">
        <is>
          <t>Classification</t>
        </is>
      </c>
    </row>
    <row r="431">
      <c r="A431" s="2" t="inlineStr">
        <is>
          <t>Downer</t>
        </is>
      </c>
      <c r="B431" s="2" t="inlineStr">
        <is>
          <t>_CLOSED_REV_Major Projects &amp; Tenders</t>
        </is>
      </c>
      <c r="C431" s="2" t="inlineStr">
        <is>
          <t>Branch</t>
        </is>
      </c>
      <c r="D431" s="2" t="inlineStr">
        <is>
          <t>L9.J.372001</t>
        </is>
      </c>
      <c r="E431" s="2" t="inlineStr">
        <is>
          <t>R13</t>
        </is>
      </c>
      <c r="M431" s="2" t="inlineStr">
        <is>
          <t>North Ryde</t>
        </is>
      </c>
      <c r="N431" s="2" t="inlineStr">
        <is>
          <t>Australia</t>
        </is>
      </c>
      <c r="P431" s="2" t="inlineStr">
        <is>
          <t>Operational Control</t>
        </is>
      </c>
      <c r="Q431" s="2" t="inlineStr">
        <is>
          <t>Operational Control</t>
        </is>
      </c>
      <c r="R431" s="2" t="inlineStr">
        <is>
          <t>Energy and Utilities (EU)</t>
        </is>
      </c>
      <c r="S431" s="2" t="inlineStr">
        <is>
          <t>Downer</t>
        </is>
      </c>
      <c r="T431" s="2" t="n">
        <v>100</v>
      </c>
      <c r="W431" s="2" t="inlineStr">
        <is>
          <t>Classification</t>
        </is>
      </c>
    </row>
    <row r="432">
      <c r="A432" s="2" t="inlineStr">
        <is>
          <t>Downer</t>
        </is>
      </c>
      <c r="B432" s="2" t="inlineStr">
        <is>
          <t>_CLOSED_REV_Major Projects Tenders and Project Support</t>
        </is>
      </c>
      <c r="C432" s="2" t="inlineStr">
        <is>
          <t>Branch</t>
        </is>
      </c>
      <c r="D432" s="2" t="inlineStr">
        <is>
          <t>L9.WAU.4931</t>
        </is>
      </c>
      <c r="E432" s="2" t="inlineStr">
        <is>
          <t>RMPTPS</t>
        </is>
      </c>
      <c r="M432" s="2" t="inlineStr">
        <is>
          <t>New South Wales</t>
        </is>
      </c>
      <c r="N432" s="2" t="inlineStr">
        <is>
          <t>Australia</t>
        </is>
      </c>
      <c r="P432" s="2" t="inlineStr">
        <is>
          <t>Operational Control</t>
        </is>
      </c>
      <c r="Q432" s="2" t="inlineStr">
        <is>
          <t>Operational Control</t>
        </is>
      </c>
      <c r="R432" s="2" t="inlineStr">
        <is>
          <t>DT Infrastructure (pre Sept 23 divestment)</t>
        </is>
      </c>
      <c r="S432" s="2" t="inlineStr">
        <is>
          <t>Downer</t>
        </is>
      </c>
      <c r="T432" s="2" t="n">
        <v>100</v>
      </c>
      <c r="V432" s="11" t="n">
        <v>45199</v>
      </c>
      <c r="W432" s="2" t="inlineStr">
        <is>
          <t>Classification</t>
        </is>
      </c>
    </row>
    <row r="433">
      <c r="A433" s="2" t="inlineStr">
        <is>
          <t>Downer</t>
        </is>
      </c>
      <c r="B433" s="2" t="inlineStr">
        <is>
          <t>_CLOSED_REV_Managed Solutions Projects</t>
        </is>
      </c>
      <c r="C433" s="2" t="inlineStr">
        <is>
          <t>Branch</t>
        </is>
      </c>
      <c r="D433" s="2" t="inlineStr">
        <is>
          <t>L9.J.510002</t>
        </is>
      </c>
      <c r="E433" s="2" t="inlineStr">
        <is>
          <t>MSP</t>
        </is>
      </c>
      <c r="M433" s="2" t="inlineStr">
        <is>
          <t>New South Wales</t>
        </is>
      </c>
      <c r="N433" s="2" t="inlineStr">
        <is>
          <t>Australia</t>
        </is>
      </c>
      <c r="P433" s="2" t="inlineStr">
        <is>
          <t>Operational Control</t>
        </is>
      </c>
      <c r="Q433" s="2" t="inlineStr">
        <is>
          <t>Operational Control</t>
        </is>
      </c>
      <c r="R433" s="2" t="inlineStr">
        <is>
          <t>Managed Solutions</t>
        </is>
      </c>
      <c r="S433" s="2" t="inlineStr">
        <is>
          <t>Downer</t>
        </is>
      </c>
      <c r="T433" s="2" t="n">
        <v>100</v>
      </c>
      <c r="W433" s="2" t="inlineStr">
        <is>
          <t>Classification</t>
        </is>
      </c>
    </row>
    <row r="434">
      <c r="A434" s="2" t="inlineStr">
        <is>
          <t>Downer</t>
        </is>
      </c>
      <c r="B434" s="2" t="inlineStr">
        <is>
          <t>_CLOSED_REV_MD Mineral Technologies Private Limited</t>
        </is>
      </c>
      <c r="C434" s="2" t="inlineStr">
        <is>
          <t>Branch</t>
        </is>
      </c>
      <c r="D434" s="2" t="inlineStr">
        <is>
          <t>L9.ENG.982.11.805</t>
        </is>
      </c>
      <c r="E434" s="2" t="inlineStr">
        <is>
          <t>R21</t>
        </is>
      </c>
      <c r="M434" s="2" t="inlineStr">
        <is>
          <t>North Ryde</t>
        </is>
      </c>
      <c r="N434" s="2" t="inlineStr">
        <is>
          <t>Australia</t>
        </is>
      </c>
      <c r="P434" s="2" t="inlineStr">
        <is>
          <t>Operational Control</t>
        </is>
      </c>
      <c r="Q434" s="2" t="inlineStr">
        <is>
          <t>Operational Control</t>
        </is>
      </c>
      <c r="R434" s="2" t="inlineStr">
        <is>
          <t>Energy and Utilities (EU)</t>
        </is>
      </c>
      <c r="S434" s="2" t="inlineStr">
        <is>
          <t>Downer</t>
        </is>
      </c>
      <c r="T434" s="2" t="n">
        <v>100</v>
      </c>
      <c r="W434" s="2" t="inlineStr">
        <is>
          <t>Classification</t>
        </is>
      </c>
    </row>
    <row r="435">
      <c r="A435" s="2" t="inlineStr">
        <is>
          <t>Downer</t>
        </is>
      </c>
      <c r="B435" s="2" t="inlineStr">
        <is>
          <t>_CLOSED_REV_MD Mineral Technologies SA (Pty) Ltd</t>
        </is>
      </c>
      <c r="C435" s="2" t="inlineStr">
        <is>
          <t>Branch</t>
        </is>
      </c>
      <c r="D435" s="2" t="inlineStr">
        <is>
          <t>L9.MIN.DMT.8021</t>
        </is>
      </c>
      <c r="E435" s="2" t="inlineStr">
        <is>
          <t>R24</t>
        </is>
      </c>
      <c r="M435" s="2" t="inlineStr">
        <is>
          <t>North Ryde</t>
        </is>
      </c>
      <c r="N435" s="2" t="inlineStr">
        <is>
          <t>Australia</t>
        </is>
      </c>
      <c r="P435" s="2" t="inlineStr">
        <is>
          <t>Operational Control</t>
        </is>
      </c>
      <c r="Q435" s="2" t="inlineStr">
        <is>
          <t>Operational Control</t>
        </is>
      </c>
      <c r="R435" s="2" t="inlineStr">
        <is>
          <t>Energy and Utilities (EU)</t>
        </is>
      </c>
      <c r="S435" s="2" t="inlineStr">
        <is>
          <t>Downer</t>
        </is>
      </c>
      <c r="T435" s="2" t="n">
        <v>100</v>
      </c>
      <c r="W435" s="2" t="inlineStr">
        <is>
          <t>Classification</t>
        </is>
      </c>
    </row>
    <row r="436">
      <c r="A436" s="2" t="inlineStr">
        <is>
          <t>Downer</t>
        </is>
      </c>
      <c r="B436" s="2" t="inlineStr">
        <is>
          <t>_CLOSED_REV_Metallurgical Lab</t>
        </is>
      </c>
      <c r="C436" s="2" t="inlineStr">
        <is>
          <t>Branch</t>
        </is>
      </c>
      <c r="D436" s="2" t="inlineStr">
        <is>
          <t>L9.J.39510005</t>
        </is>
      </c>
      <c r="E436" s="2" t="inlineStr">
        <is>
          <t>METLAB</t>
        </is>
      </c>
      <c r="M436" s="2" t="inlineStr">
        <is>
          <t>Queensland</t>
        </is>
      </c>
      <c r="N436" s="2" t="inlineStr">
        <is>
          <t>Australia</t>
        </is>
      </c>
      <c r="P436" s="2" t="inlineStr">
        <is>
          <t>Operational Control</t>
        </is>
      </c>
      <c r="Q436" s="2" t="inlineStr">
        <is>
          <t>Operational Control</t>
        </is>
      </c>
      <c r="R436" s="2" t="inlineStr">
        <is>
          <t>Energy and Utilities (EU)</t>
        </is>
      </c>
      <c r="S436" s="2" t="inlineStr">
        <is>
          <t>Downer</t>
        </is>
      </c>
      <c r="T436" s="2" t="n">
        <v>100</v>
      </c>
      <c r="W436" s="2" t="inlineStr">
        <is>
          <t>Classification</t>
        </is>
      </c>
    </row>
    <row r="437">
      <c r="A437" s="2" t="inlineStr">
        <is>
          <t>Downer</t>
        </is>
      </c>
      <c r="B437" s="2" t="inlineStr">
        <is>
          <t>_CLOSED_REV_Metering Services</t>
        </is>
      </c>
      <c r="C437" s="2" t="inlineStr">
        <is>
          <t>Branch</t>
        </is>
      </c>
      <c r="D437" s="2" t="inlineStr">
        <is>
          <t>L9.S.13000901</t>
        </is>
      </c>
      <c r="E437" s="2" t="inlineStr">
        <is>
          <t>METSER</t>
        </is>
      </c>
      <c r="M437" s="2" t="inlineStr">
        <is>
          <t>New South Wales</t>
        </is>
      </c>
      <c r="N437" s="2" t="inlineStr">
        <is>
          <t>Australia</t>
        </is>
      </c>
      <c r="P437" s="2" t="inlineStr">
        <is>
          <t>Operational Control</t>
        </is>
      </c>
      <c r="Q437" s="2" t="inlineStr">
        <is>
          <t>Operational Control</t>
        </is>
      </c>
      <c r="R437" s="2" t="inlineStr">
        <is>
          <t>Energy and Utilities (EU)</t>
        </is>
      </c>
      <c r="S437" s="2" t="inlineStr">
        <is>
          <t>Downer</t>
        </is>
      </c>
      <c r="T437" s="2" t="n">
        <v>100</v>
      </c>
      <c r="W437" s="2" t="inlineStr">
        <is>
          <t>Classification</t>
        </is>
      </c>
    </row>
    <row r="438">
      <c r="A438" s="2" t="inlineStr">
        <is>
          <t>Downer</t>
        </is>
      </c>
      <c r="B438" s="2" t="inlineStr">
        <is>
          <t>_CLOSED_REV_Mineral Technologies Comercio de Equipamen</t>
        </is>
      </c>
      <c r="C438" s="2" t="inlineStr">
        <is>
          <t>Branch</t>
        </is>
      </c>
      <c r="D438" s="2" t="inlineStr">
        <is>
          <t>L9.MIN.DMT.8259</t>
        </is>
      </c>
      <c r="E438" s="2" t="inlineStr">
        <is>
          <t>R20</t>
        </is>
      </c>
      <c r="M438" s="2" t="inlineStr">
        <is>
          <t>North Ryde</t>
        </is>
      </c>
      <c r="N438" s="2" t="inlineStr">
        <is>
          <t>Australia</t>
        </is>
      </c>
      <c r="P438" s="2" t="inlineStr">
        <is>
          <t>Operational Control</t>
        </is>
      </c>
      <c r="Q438" s="2" t="inlineStr">
        <is>
          <t>Operational Control</t>
        </is>
      </c>
      <c r="R438" s="2" t="inlineStr">
        <is>
          <t>Energy and Utilities (EU)</t>
        </is>
      </c>
      <c r="S438" s="2" t="inlineStr">
        <is>
          <t>Downer</t>
        </is>
      </c>
      <c r="T438" s="2" t="n">
        <v>100</v>
      </c>
      <c r="W438" s="2" t="inlineStr">
        <is>
          <t>Classification</t>
        </is>
      </c>
    </row>
    <row r="439">
      <c r="A439" s="2" t="inlineStr">
        <is>
          <t>Downer</t>
        </is>
      </c>
      <c r="B439" s="2" t="inlineStr">
        <is>
          <t>_CLOSED_REV_Mineral Technologies Pty Ltd</t>
        </is>
      </c>
      <c r="C439" s="2" t="inlineStr">
        <is>
          <t>Branch</t>
        </is>
      </c>
      <c r="D439" s="2" t="inlineStr">
        <is>
          <t>L9.J.395102</t>
        </is>
      </c>
      <c r="E439" s="2" t="inlineStr">
        <is>
          <t>R22</t>
        </is>
      </c>
      <c r="M439" s="2" t="inlineStr">
        <is>
          <t>North Ryde</t>
        </is>
      </c>
      <c r="N439" s="2" t="inlineStr">
        <is>
          <t>Australia</t>
        </is>
      </c>
      <c r="P439" s="2" t="inlineStr">
        <is>
          <t>Operational Control</t>
        </is>
      </c>
      <c r="Q439" s="2" t="inlineStr">
        <is>
          <t>Operational Control</t>
        </is>
      </c>
      <c r="R439" s="2" t="inlineStr">
        <is>
          <t>Energy and Utilities (EU)</t>
        </is>
      </c>
      <c r="S439" s="2" t="inlineStr">
        <is>
          <t>Downer</t>
        </is>
      </c>
      <c r="T439" s="2" t="n">
        <v>100</v>
      </c>
      <c r="W439" s="2" t="inlineStr">
        <is>
          <t>Classification</t>
        </is>
      </c>
    </row>
    <row r="440">
      <c r="A440" s="2" t="inlineStr">
        <is>
          <t>Downer</t>
        </is>
      </c>
      <c r="B440" s="2" t="inlineStr">
        <is>
          <t>_CLOSED_REV_Mineral Technologies Pty Ltd - Elim Inv In</t>
        </is>
      </c>
      <c r="C440" s="2" t="inlineStr">
        <is>
          <t>Branch</t>
        </is>
      </c>
      <c r="D440" s="2" t="inlineStr">
        <is>
          <t>L9.J.405201</t>
        </is>
      </c>
      <c r="E440" s="2" t="inlineStr">
        <is>
          <t>R23</t>
        </is>
      </c>
      <c r="M440" s="2" t="inlineStr">
        <is>
          <t>North Ryde</t>
        </is>
      </c>
      <c r="N440" s="2" t="inlineStr">
        <is>
          <t>Australia</t>
        </is>
      </c>
      <c r="P440" s="2" t="inlineStr">
        <is>
          <t>Operational Control</t>
        </is>
      </c>
      <c r="Q440" s="2" t="inlineStr">
        <is>
          <t>Operational Control</t>
        </is>
      </c>
      <c r="R440" s="2" t="inlineStr">
        <is>
          <t>Energy and Utilities (EU)</t>
        </is>
      </c>
      <c r="S440" s="2" t="inlineStr">
        <is>
          <t>Downer</t>
        </is>
      </c>
      <c r="T440" s="2" t="n">
        <v>100</v>
      </c>
      <c r="W440" s="2" t="inlineStr">
        <is>
          <t>Classification</t>
        </is>
      </c>
    </row>
    <row r="441">
      <c r="A441" s="2" t="inlineStr">
        <is>
          <t>Downer</t>
        </is>
      </c>
      <c r="B441" s="2" t="inlineStr">
        <is>
          <t>_CLOSED_REV_Mineral Technologies, Inc.</t>
        </is>
      </c>
      <c r="C441" s="2" t="inlineStr">
        <is>
          <t>Branch</t>
        </is>
      </c>
      <c r="D441" s="2" t="inlineStr">
        <is>
          <t>L9.J.395101</t>
        </is>
      </c>
      <c r="E441" s="2" t="inlineStr">
        <is>
          <t>R25</t>
        </is>
      </c>
      <c r="M441" s="2" t="inlineStr">
        <is>
          <t>North Ryde</t>
        </is>
      </c>
      <c r="N441" s="2" t="inlineStr">
        <is>
          <t>Australia</t>
        </is>
      </c>
      <c r="P441" s="2" t="inlineStr">
        <is>
          <t>Operational Control</t>
        </is>
      </c>
      <c r="Q441" s="2" t="inlineStr">
        <is>
          <t>Operational Control</t>
        </is>
      </c>
      <c r="R441" s="2" t="inlineStr">
        <is>
          <t>Energy and Utilities (EU)</t>
        </is>
      </c>
      <c r="S441" s="2" t="inlineStr">
        <is>
          <t>Downer</t>
        </is>
      </c>
      <c r="T441" s="2" t="n">
        <v>100</v>
      </c>
      <c r="W441" s="2" t="inlineStr">
        <is>
          <t>Classification</t>
        </is>
      </c>
    </row>
    <row r="442">
      <c r="A442" s="2" t="inlineStr">
        <is>
          <t>Downer</t>
        </is>
      </c>
      <c r="B442" s="2" t="inlineStr">
        <is>
          <t>_CLOSED_REV_Mining HO</t>
        </is>
      </c>
      <c r="C442" s="2" t="inlineStr">
        <is>
          <t>Branch</t>
        </is>
      </c>
      <c r="D442" s="2" t="inlineStr">
        <is>
          <t>L9.J.10900018</t>
        </is>
      </c>
      <c r="E442" s="2" t="inlineStr">
        <is>
          <t>MINHO</t>
        </is>
      </c>
      <c r="M442" s="2" t="inlineStr">
        <is>
          <t>Queensland</t>
        </is>
      </c>
      <c r="N442" s="2" t="inlineStr">
        <is>
          <t>Australia</t>
        </is>
      </c>
      <c r="P442" s="2" t="inlineStr">
        <is>
          <t>Operational Control</t>
        </is>
      </c>
      <c r="Q442" s="2" t="inlineStr">
        <is>
          <t>Operational Control</t>
        </is>
      </c>
      <c r="R442" s="2" t="inlineStr">
        <is>
          <t>Corporate</t>
        </is>
      </c>
      <c r="S442" s="2" t="inlineStr">
        <is>
          <t>Downer</t>
        </is>
      </c>
      <c r="T442" s="2" t="n">
        <v>100</v>
      </c>
      <c r="W442" s="2" t="inlineStr">
        <is>
          <t>Classification</t>
        </is>
      </c>
    </row>
    <row r="443">
      <c r="A443" s="2" t="inlineStr">
        <is>
          <t>Downer</t>
        </is>
      </c>
      <c r="B443" s="2" t="inlineStr">
        <is>
          <t>_CLOSED_REV_MSP Downer Defence Services</t>
        </is>
      </c>
      <c r="C443" s="2" t="inlineStr">
        <is>
          <t>Branch</t>
        </is>
      </c>
      <c r="D443" s="2" t="inlineStr">
        <is>
          <t>L9.J.500007</t>
        </is>
      </c>
      <c r="E443" s="2" t="inlineStr">
        <is>
          <t>R32</t>
        </is>
      </c>
      <c r="M443" s="2" t="inlineStr">
        <is>
          <t>North Ryde</t>
        </is>
      </c>
      <c r="N443" s="2" t="inlineStr">
        <is>
          <t>Australia</t>
        </is>
      </c>
      <c r="P443" s="2" t="inlineStr">
        <is>
          <t>Operational Control</t>
        </is>
      </c>
      <c r="Q443" s="2" t="inlineStr">
        <is>
          <t>Operational Control</t>
        </is>
      </c>
      <c r="R443" s="2" t="inlineStr">
        <is>
          <t>Social Infra &amp; Citizen Serv (SICS)</t>
        </is>
      </c>
      <c r="S443" s="2" t="inlineStr">
        <is>
          <t>Downer</t>
        </is>
      </c>
      <c r="T443" s="2" t="n">
        <v>100</v>
      </c>
      <c r="W443" s="2" t="inlineStr">
        <is>
          <t>Classification</t>
        </is>
      </c>
    </row>
    <row r="444">
      <c r="A444" s="2" t="inlineStr">
        <is>
          <t>Downer</t>
        </is>
      </c>
      <c r="B444" s="2" t="inlineStr">
        <is>
          <t>_CLOSED_REV_MT BD &amp; Int'l Operations</t>
        </is>
      </c>
      <c r="C444" s="2" t="inlineStr">
        <is>
          <t>Branch</t>
        </is>
      </c>
      <c r="D444" s="2" t="inlineStr">
        <is>
          <t>L9.MIN.DPE.8732</t>
        </is>
      </c>
      <c r="E444" s="2" t="inlineStr">
        <is>
          <t>MTBD</t>
        </is>
      </c>
      <c r="M444" s="2" t="inlineStr">
        <is>
          <t>Queensland</t>
        </is>
      </c>
      <c r="N444" s="2" t="inlineStr">
        <is>
          <t>Australia</t>
        </is>
      </c>
      <c r="P444" s="2" t="inlineStr">
        <is>
          <t>Operational Control</t>
        </is>
      </c>
      <c r="Q444" s="2" t="inlineStr">
        <is>
          <t>Operational Control</t>
        </is>
      </c>
      <c r="R444" s="2" t="inlineStr">
        <is>
          <t>Energy and Utilities (EU)</t>
        </is>
      </c>
      <c r="S444" s="2" t="inlineStr">
        <is>
          <t>Downer</t>
        </is>
      </c>
      <c r="T444" s="2" t="n">
        <v>100</v>
      </c>
      <c r="W444" s="2" t="inlineStr">
        <is>
          <t>Classification</t>
        </is>
      </c>
    </row>
    <row r="445">
      <c r="A445" s="2" t="inlineStr">
        <is>
          <t>Downer</t>
        </is>
      </c>
      <c r="B445" s="2" t="inlineStr">
        <is>
          <t>_CLOSED_REV_MT Engineering Services Aus</t>
        </is>
      </c>
      <c r="C445" s="2" t="inlineStr">
        <is>
          <t>Branch</t>
        </is>
      </c>
      <c r="D445" s="2" t="inlineStr">
        <is>
          <t>L9.ENG.360.11103</t>
        </is>
      </c>
      <c r="E445" s="2" t="inlineStr">
        <is>
          <t>MTESA</t>
        </is>
      </c>
      <c r="M445" s="2" t="inlineStr">
        <is>
          <t>Queensland</t>
        </is>
      </c>
      <c r="N445" s="2" t="inlineStr">
        <is>
          <t>Australia</t>
        </is>
      </c>
      <c r="P445" s="2" t="inlineStr">
        <is>
          <t>Operational Control</t>
        </is>
      </c>
      <c r="Q445" s="2" t="inlineStr">
        <is>
          <t>Operational Control</t>
        </is>
      </c>
      <c r="R445" s="2" t="inlineStr">
        <is>
          <t>Energy and Utilities (EU)</t>
        </is>
      </c>
      <c r="S445" s="2" t="inlineStr">
        <is>
          <t>Downer</t>
        </is>
      </c>
      <c r="T445" s="2" t="n">
        <v>100</v>
      </c>
      <c r="W445" s="2" t="inlineStr">
        <is>
          <t>Classification</t>
        </is>
      </c>
    </row>
    <row r="446">
      <c r="A446" s="2" t="inlineStr">
        <is>
          <t>Downer</t>
        </is>
      </c>
      <c r="B446" s="2" t="inlineStr">
        <is>
          <t>_CLOSED_REV_MT Equipment and R&amp;D Aus</t>
        </is>
      </c>
      <c r="C446" s="2" t="inlineStr">
        <is>
          <t>Branch</t>
        </is>
      </c>
      <c r="D446" s="2" t="inlineStr">
        <is>
          <t>L9.J.395102</t>
        </is>
      </c>
      <c r="E446" s="2" t="inlineStr">
        <is>
          <t>MTE&amp;R&amp;D</t>
        </is>
      </c>
      <c r="M446" s="2" t="inlineStr">
        <is>
          <t>Queensland</t>
        </is>
      </c>
      <c r="N446" s="2" t="inlineStr">
        <is>
          <t>Australia</t>
        </is>
      </c>
      <c r="P446" s="2" t="inlineStr">
        <is>
          <t>Operational Control</t>
        </is>
      </c>
      <c r="Q446" s="2" t="inlineStr">
        <is>
          <t>Operational Control</t>
        </is>
      </c>
      <c r="R446" s="2" t="inlineStr">
        <is>
          <t>Energy and Utilities (EU)</t>
        </is>
      </c>
      <c r="S446" s="2" t="inlineStr">
        <is>
          <t>Downer</t>
        </is>
      </c>
      <c r="T446" s="2" t="n">
        <v>100</v>
      </c>
      <c r="W446" s="2" t="inlineStr">
        <is>
          <t>Classification</t>
        </is>
      </c>
    </row>
    <row r="447">
      <c r="A447" s="2" t="inlineStr">
        <is>
          <t>Downer</t>
        </is>
      </c>
      <c r="B447" s="2" t="inlineStr">
        <is>
          <t>_CLOSED_REV_NZ - NSC, IT, Property, WF &amp; Elins</t>
        </is>
      </c>
      <c r="C447" s="2" t="inlineStr">
        <is>
          <t>Branch</t>
        </is>
      </c>
      <c r="D447" s="2" t="inlineStr">
        <is>
          <t>L9.DNZJ.9060</t>
        </is>
      </c>
      <c r="E447" s="2" t="inlineStr">
        <is>
          <t>NZNSC</t>
        </is>
      </c>
      <c r="M447" s="2" t="inlineStr">
        <is>
          <t>Auckland</t>
        </is>
      </c>
      <c r="N447" s="2" t="inlineStr">
        <is>
          <t>New Zealand</t>
        </is>
      </c>
      <c r="P447" s="2" t="inlineStr">
        <is>
          <t>Operational Control</t>
        </is>
      </c>
      <c r="Q447" s="2" t="inlineStr">
        <is>
          <t>Operational Control</t>
        </is>
      </c>
      <c r="R447" s="2" t="inlineStr">
        <is>
          <t>Corporate</t>
        </is>
      </c>
      <c r="S447" s="2" t="inlineStr">
        <is>
          <t>Downer</t>
        </is>
      </c>
      <c r="T447" s="2" t="n">
        <v>100</v>
      </c>
      <c r="W447" s="2" t="inlineStr">
        <is>
          <t>Classification</t>
        </is>
      </c>
    </row>
    <row r="448">
      <c r="A448" s="2" t="inlineStr">
        <is>
          <t>Downer</t>
        </is>
      </c>
      <c r="B448" s="2" t="inlineStr">
        <is>
          <t>_CLOSED_REV_NZ Facilities</t>
        </is>
      </c>
      <c r="C448" s="2" t="inlineStr">
        <is>
          <t>Branch</t>
        </is>
      </c>
      <c r="D448" s="2" t="inlineStr">
        <is>
          <t>L9.DNZJ.65901</t>
        </is>
      </c>
      <c r="E448" s="2" t="inlineStr">
        <is>
          <t>NZF</t>
        </is>
      </c>
      <c r="M448" s="2" t="inlineStr">
        <is>
          <t>Auckland</t>
        </is>
      </c>
      <c r="N448" s="2" t="inlineStr">
        <is>
          <t>New Zealand</t>
        </is>
      </c>
      <c r="P448" s="2" t="inlineStr">
        <is>
          <t>Operational Control</t>
        </is>
      </c>
      <c r="Q448" s="2" t="inlineStr">
        <is>
          <t>Operational Control</t>
        </is>
      </c>
      <c r="R448" s="2" t="inlineStr">
        <is>
          <t>Social Infra &amp; Citizen Serv (SICS)</t>
        </is>
      </c>
      <c r="S448" s="2" t="inlineStr">
        <is>
          <t>Downer</t>
        </is>
      </c>
      <c r="T448" s="2" t="n">
        <v>100</v>
      </c>
      <c r="W448" s="2" t="inlineStr">
        <is>
          <t>Classification</t>
        </is>
      </c>
    </row>
    <row r="449">
      <c r="A449" s="2" t="inlineStr">
        <is>
          <t>Downer</t>
        </is>
      </c>
      <c r="B449" s="2" t="inlineStr">
        <is>
          <t>_CLOSED_REV_NZ Head Office and Elim</t>
        </is>
      </c>
      <c r="C449" s="2" t="inlineStr">
        <is>
          <t>Branch</t>
        </is>
      </c>
      <c r="D449" s="2" t="inlineStr">
        <is>
          <t>L9.WAU.000824</t>
        </is>
      </c>
      <c r="E449" s="2" t="inlineStr">
        <is>
          <t>L9.WAU.000824</t>
        </is>
      </c>
      <c r="M449" s="2" t="inlineStr">
        <is>
          <t>Auckland City</t>
        </is>
      </c>
      <c r="N449" s="2" t="inlineStr">
        <is>
          <t>New Zealand</t>
        </is>
      </c>
      <c r="P449" s="2" t="inlineStr">
        <is>
          <t>Operational Control</t>
        </is>
      </c>
      <c r="Q449" s="2" t="inlineStr">
        <is>
          <t>Operational Control</t>
        </is>
      </c>
      <c r="R449" s="2" t="inlineStr">
        <is>
          <t>Corporate</t>
        </is>
      </c>
      <c r="S449" s="2" t="inlineStr">
        <is>
          <t>Downer</t>
        </is>
      </c>
      <c r="T449" s="2" t="n">
        <v>100</v>
      </c>
      <c r="W449" s="2" t="inlineStr">
        <is>
          <t>Classification</t>
        </is>
      </c>
    </row>
    <row r="450">
      <c r="A450" s="2" t="inlineStr">
        <is>
          <t>Downer</t>
        </is>
      </c>
      <c r="B450" s="2" t="inlineStr">
        <is>
          <t>_CLOSED_REV_NZ Transport</t>
        </is>
      </c>
      <c r="C450" s="2" t="inlineStr">
        <is>
          <t>Branch</t>
        </is>
      </c>
      <c r="D450" s="2" t="inlineStr">
        <is>
          <t>L9.DNZJ.8840</t>
        </is>
      </c>
      <c r="E450" s="2" t="inlineStr">
        <is>
          <t>NZT</t>
        </is>
      </c>
      <c r="M450" s="2" t="inlineStr">
        <is>
          <t>Auckland City</t>
        </is>
      </c>
      <c r="N450" s="2" t="inlineStr">
        <is>
          <t>New Zealand</t>
        </is>
      </c>
      <c r="P450" s="2" t="inlineStr">
        <is>
          <t>Operational Control</t>
        </is>
      </c>
      <c r="Q450" s="2" t="inlineStr">
        <is>
          <t>Operational Control</t>
        </is>
      </c>
      <c r="R450" s="2" t="inlineStr">
        <is>
          <t>Transport &amp; Infrastructure (T&amp;I)</t>
        </is>
      </c>
      <c r="S450" s="2" t="inlineStr">
        <is>
          <t>Downer</t>
        </is>
      </c>
      <c r="T450" s="2" t="n">
        <v>100</v>
      </c>
      <c r="U450" s="2" t="inlineStr">
        <is>
          <t>1899/12/31</t>
        </is>
      </c>
      <c r="W450" s="2" t="inlineStr">
        <is>
          <t>Classification</t>
        </is>
      </c>
    </row>
    <row r="451">
      <c r="A451" s="2" t="inlineStr">
        <is>
          <t>Downer</t>
        </is>
      </c>
      <c r="B451" s="2" t="inlineStr">
        <is>
          <t>_CLOSED_REV_NZ Utilities</t>
        </is>
      </c>
      <c r="C451" s="2" t="inlineStr">
        <is>
          <t>Branch</t>
        </is>
      </c>
      <c r="D451" s="2" t="inlineStr">
        <is>
          <t>L9.DNZJ.63990</t>
        </is>
      </c>
      <c r="E451" s="2" t="inlineStr">
        <is>
          <t>NZU</t>
        </is>
      </c>
      <c r="M451" s="2" t="inlineStr">
        <is>
          <t>Auckland</t>
        </is>
      </c>
      <c r="N451" s="2" t="inlineStr">
        <is>
          <t>New Zealand</t>
        </is>
      </c>
      <c r="P451" s="2" t="inlineStr">
        <is>
          <t>Operational Control</t>
        </is>
      </c>
      <c r="Q451" s="2" t="inlineStr">
        <is>
          <t>Operational Control</t>
        </is>
      </c>
      <c r="R451" s="2" t="inlineStr">
        <is>
          <t>Energy and Utilities (EU)</t>
        </is>
      </c>
      <c r="S451" s="2" t="inlineStr">
        <is>
          <t>Downer</t>
        </is>
      </c>
      <c r="T451" s="2" t="n">
        <v>100</v>
      </c>
      <c r="W451" s="2" t="inlineStr">
        <is>
          <t>Classification</t>
        </is>
      </c>
    </row>
    <row r="452">
      <c r="A452" s="2" t="inlineStr">
        <is>
          <t>Downer</t>
        </is>
      </c>
      <c r="B452" s="2" t="inlineStr">
        <is>
          <t>_CLOSED_REV_NZ-DNZ - Head Office incl Fin &amp; Elims</t>
        </is>
      </c>
      <c r="C452" s="2" t="inlineStr">
        <is>
          <t>Depot</t>
        </is>
      </c>
      <c r="D452" s="2" t="inlineStr">
        <is>
          <t>L9.WAU.000887</t>
        </is>
      </c>
      <c r="E452" s="2" t="inlineStr">
        <is>
          <t>R47</t>
        </is>
      </c>
      <c r="M452" s="2" t="inlineStr">
        <is>
          <t>Auckland City</t>
        </is>
      </c>
      <c r="N452" s="2" t="inlineStr">
        <is>
          <t>New Zealand</t>
        </is>
      </c>
      <c r="P452" s="2" t="inlineStr">
        <is>
          <t>Operational Control</t>
        </is>
      </c>
      <c r="Q452" s="2" t="inlineStr">
        <is>
          <t>Operational Control</t>
        </is>
      </c>
      <c r="R452" s="2" t="inlineStr">
        <is>
          <t>Corporate</t>
        </is>
      </c>
      <c r="S452" s="2" t="inlineStr">
        <is>
          <t>Downer</t>
        </is>
      </c>
      <c r="T452" s="2" t="n">
        <v>100</v>
      </c>
      <c r="W452" s="2" t="inlineStr">
        <is>
          <t>Classification</t>
        </is>
      </c>
    </row>
    <row r="453">
      <c r="A453" s="2" t="inlineStr">
        <is>
          <t>Downer</t>
        </is>
      </c>
      <c r="B453" s="2" t="inlineStr">
        <is>
          <t>_CLOSED_REV_NZ-Downer NZ - Building Projects</t>
        </is>
      </c>
      <c r="C453" s="2" t="inlineStr">
        <is>
          <t>Agency</t>
        </is>
      </c>
      <c r="D453" s="2" t="inlineStr">
        <is>
          <t>L9.DNZJ.55653</t>
        </is>
      </c>
      <c r="E453" s="2" t="inlineStr">
        <is>
          <t>R45</t>
        </is>
      </c>
      <c r="M453" s="2" t="inlineStr">
        <is>
          <t>Auckland City</t>
        </is>
      </c>
      <c r="N453" s="2" t="inlineStr">
        <is>
          <t>New Zealand</t>
        </is>
      </c>
      <c r="P453" s="2" t="inlineStr">
        <is>
          <t>Operational Control</t>
        </is>
      </c>
      <c r="Q453" s="2" t="inlineStr">
        <is>
          <t>Operational Control</t>
        </is>
      </c>
      <c r="R453" s="2" t="inlineStr">
        <is>
          <t>Transport &amp; Infrastructure (T&amp;I)</t>
        </is>
      </c>
      <c r="S453" s="2" t="inlineStr">
        <is>
          <t>Downer</t>
        </is>
      </c>
      <c r="T453" s="2" t="n">
        <v>100</v>
      </c>
      <c r="W453" s="2" t="inlineStr">
        <is>
          <t>Classification</t>
        </is>
      </c>
    </row>
    <row r="454">
      <c r="A454" s="2" t="inlineStr">
        <is>
          <t>Downer</t>
        </is>
      </c>
      <c r="B454" s="2" t="inlineStr">
        <is>
          <t>_CLOSED_REV_NZ-Downer NZ - Facilities Services &amp; Utili</t>
        </is>
      </c>
      <c r="C454" s="2" t="inlineStr">
        <is>
          <t>Branch</t>
        </is>
      </c>
      <c r="D454" s="2" t="inlineStr">
        <is>
          <t>L9.S.21000010</t>
        </is>
      </c>
      <c r="E454" s="2" t="inlineStr">
        <is>
          <t>R46</t>
        </is>
      </c>
      <c r="M454" s="2" t="inlineStr">
        <is>
          <t>Auckland City</t>
        </is>
      </c>
      <c r="N454" s="2" t="inlineStr">
        <is>
          <t>New Zealand</t>
        </is>
      </c>
      <c r="P454" s="2" t="inlineStr">
        <is>
          <t>Operational Control</t>
        </is>
      </c>
      <c r="Q454" s="2" t="inlineStr">
        <is>
          <t>Operational Control</t>
        </is>
      </c>
      <c r="R454" s="2" t="inlineStr">
        <is>
          <t>Energy and Utilities (EU)</t>
        </is>
      </c>
      <c r="S454" s="2" t="inlineStr">
        <is>
          <t>Downer</t>
        </is>
      </c>
      <c r="T454" s="2" t="n">
        <v>100</v>
      </c>
      <c r="W454" s="2" t="inlineStr">
        <is>
          <t>Classification</t>
        </is>
      </c>
    </row>
    <row r="455">
      <c r="A455" s="2" t="inlineStr">
        <is>
          <t>Downer</t>
        </is>
      </c>
      <c r="B455" s="2" t="inlineStr">
        <is>
          <t>_CLOSED_REV_NZ-Downer NZ - Infrastructure Projects</t>
        </is>
      </c>
      <c r="C455" s="2" t="inlineStr">
        <is>
          <t>Branch</t>
        </is>
      </c>
      <c r="D455" s="2" t="inlineStr">
        <is>
          <t>L9.DNZJ.DN1190</t>
        </is>
      </c>
      <c r="E455" s="2" t="inlineStr">
        <is>
          <t>R44</t>
        </is>
      </c>
      <c r="M455" s="2" t="inlineStr">
        <is>
          <t>Auckland City</t>
        </is>
      </c>
      <c r="N455" s="2" t="inlineStr">
        <is>
          <t>New Zealand</t>
        </is>
      </c>
      <c r="P455" s="2" t="inlineStr">
        <is>
          <t>Operational Control</t>
        </is>
      </c>
      <c r="Q455" s="2" t="inlineStr">
        <is>
          <t>Operational Control</t>
        </is>
      </c>
      <c r="R455" s="2" t="inlineStr">
        <is>
          <t>Transport &amp; Infrastructure (T&amp;I)</t>
        </is>
      </c>
      <c r="S455" s="2" t="inlineStr">
        <is>
          <t>Downer</t>
        </is>
      </c>
      <c r="T455" s="2" t="n">
        <v>100</v>
      </c>
      <c r="W455" s="2" t="inlineStr">
        <is>
          <t>Classification</t>
        </is>
      </c>
    </row>
    <row r="456">
      <c r="A456" s="2" t="inlineStr">
        <is>
          <t>Downer</t>
        </is>
      </c>
      <c r="B456" s="2" t="inlineStr">
        <is>
          <t>_CLOSED_REV_NZ-Downer NZ - Transport Services</t>
        </is>
      </c>
      <c r="C456" s="2" t="inlineStr">
        <is>
          <t>Branch</t>
        </is>
      </c>
      <c r="D456" s="2" t="inlineStr">
        <is>
          <t>L9.DNZJ.55902</t>
        </is>
      </c>
      <c r="E456" s="2" t="inlineStr">
        <is>
          <t>R43</t>
        </is>
      </c>
      <c r="M456" s="2" t="inlineStr">
        <is>
          <t>Auckland City</t>
        </is>
      </c>
      <c r="N456" s="2" t="inlineStr">
        <is>
          <t>New Zealand</t>
        </is>
      </c>
      <c r="P456" s="2" t="inlineStr">
        <is>
          <t>Operational Control</t>
        </is>
      </c>
      <c r="Q456" s="2" t="inlineStr">
        <is>
          <t>Operational Control</t>
        </is>
      </c>
      <c r="R456" s="2" t="inlineStr">
        <is>
          <t>Transport &amp; Infrastructure (T&amp;I)</t>
        </is>
      </c>
      <c r="S456" s="2" t="inlineStr">
        <is>
          <t>Downer</t>
        </is>
      </c>
      <c r="T456" s="2" t="n">
        <v>100</v>
      </c>
      <c r="W456" s="2" t="inlineStr">
        <is>
          <t>Classification</t>
        </is>
      </c>
    </row>
    <row r="457">
      <c r="A457" s="2" t="inlineStr">
        <is>
          <t>Downer</t>
        </is>
      </c>
      <c r="B457" s="2" t="inlineStr">
        <is>
          <t>_CLOSED_REV_NZ-Facilities Management</t>
        </is>
      </c>
      <c r="C457" s="2" t="inlineStr">
        <is>
          <t>Branch</t>
        </is>
      </c>
      <c r="D457" s="2" t="inlineStr">
        <is>
          <t>L9.S.24000127</t>
        </is>
      </c>
      <c r="E457" s="2" t="inlineStr">
        <is>
          <t>R48</t>
        </is>
      </c>
      <c r="M457" s="2" t="inlineStr">
        <is>
          <t>Auckland City</t>
        </is>
      </c>
      <c r="N457" s="2" t="inlineStr">
        <is>
          <t>New Zealand</t>
        </is>
      </c>
      <c r="P457" s="2" t="inlineStr">
        <is>
          <t>Operational Control</t>
        </is>
      </c>
      <c r="Q457" s="2" t="inlineStr">
        <is>
          <t>Operational Control</t>
        </is>
      </c>
      <c r="R457" s="2" t="inlineStr">
        <is>
          <t>Social Infra &amp; Citizen Serv (SICS)</t>
        </is>
      </c>
      <c r="S457" s="2" t="inlineStr">
        <is>
          <t>Downer</t>
        </is>
      </c>
      <c r="T457" s="2" t="n">
        <v>100</v>
      </c>
      <c r="W457" s="2" t="inlineStr">
        <is>
          <t>Classification</t>
        </is>
      </c>
    </row>
    <row r="458">
      <c r="A458" s="2" t="inlineStr">
        <is>
          <t>Downer</t>
        </is>
      </c>
      <c r="B458" s="2" t="inlineStr">
        <is>
          <t>_CLOSED_REV_NZ-Hospitality &amp; Soft Services</t>
        </is>
      </c>
      <c r="C458" s="2" t="inlineStr">
        <is>
          <t>Branch</t>
        </is>
      </c>
      <c r="D458" s="2" t="inlineStr">
        <is>
          <t>L9.S.23000773</t>
        </is>
      </c>
      <c r="E458" s="2" t="inlineStr">
        <is>
          <t>R50</t>
        </is>
      </c>
      <c r="M458" s="2" t="inlineStr">
        <is>
          <t>Auckland City</t>
        </is>
      </c>
      <c r="N458" s="2" t="inlineStr">
        <is>
          <t>New Zealand</t>
        </is>
      </c>
      <c r="P458" s="2" t="inlineStr">
        <is>
          <t>Operational Control</t>
        </is>
      </c>
      <c r="Q458" s="2" t="inlineStr">
        <is>
          <t>Operational Control</t>
        </is>
      </c>
      <c r="R458" s="2" t="inlineStr">
        <is>
          <t>Social Infra &amp; Citizen Serv (SICS)</t>
        </is>
      </c>
      <c r="S458" s="2" t="inlineStr">
        <is>
          <t>Downer</t>
        </is>
      </c>
      <c r="T458" s="2" t="n">
        <v>100</v>
      </c>
      <c r="W458" s="2" t="inlineStr">
        <is>
          <t>Classification</t>
        </is>
      </c>
    </row>
    <row r="459">
      <c r="A459" s="2" t="inlineStr">
        <is>
          <t>Downer</t>
        </is>
      </c>
      <c r="B459" s="2" t="inlineStr">
        <is>
          <t>_CLOSED_REV_NZ-Support - New Zealand</t>
        </is>
      </c>
      <c r="C459" s="2" t="inlineStr">
        <is>
          <t>Branch</t>
        </is>
      </c>
      <c r="D459" s="2" t="inlineStr">
        <is>
          <t>L9.S.23000796</t>
        </is>
      </c>
      <c r="E459" s="2" t="inlineStr">
        <is>
          <t>R52</t>
        </is>
      </c>
      <c r="M459" s="2" t="inlineStr">
        <is>
          <t>Auckland City</t>
        </is>
      </c>
      <c r="N459" s="2" t="inlineStr">
        <is>
          <t>New Zealand</t>
        </is>
      </c>
      <c r="P459" s="2" t="inlineStr">
        <is>
          <t>Operational Control</t>
        </is>
      </c>
      <c r="Q459" s="2" t="inlineStr">
        <is>
          <t>Operational Control</t>
        </is>
      </c>
      <c r="R459" s="2" t="inlineStr">
        <is>
          <t>Social Infra &amp; Citizen Serv (SICS)</t>
        </is>
      </c>
      <c r="S459" s="2" t="inlineStr">
        <is>
          <t>Downer</t>
        </is>
      </c>
      <c r="T459" s="2" t="n">
        <v>100</v>
      </c>
      <c r="W459" s="2" t="inlineStr">
        <is>
          <t>Classification</t>
        </is>
      </c>
    </row>
    <row r="460">
      <c r="A460" s="2" t="inlineStr">
        <is>
          <t>Downer</t>
        </is>
      </c>
      <c r="B460" s="2" t="inlineStr">
        <is>
          <t>_CLOSED_REV_Oil &amp; Gas</t>
        </is>
      </c>
      <c r="C460" s="2" t="inlineStr">
        <is>
          <t>Branch</t>
        </is>
      </c>
      <c r="D460" s="2" t="inlineStr">
        <is>
          <t>L9.J.382155</t>
        </is>
      </c>
      <c r="E460" s="2" t="inlineStr">
        <is>
          <t>R30</t>
        </is>
      </c>
      <c r="M460" s="2" t="inlineStr">
        <is>
          <t>North Ryde</t>
        </is>
      </c>
      <c r="N460" s="2" t="inlineStr">
        <is>
          <t>Australia</t>
        </is>
      </c>
      <c r="P460" s="2" t="inlineStr">
        <is>
          <t>Operational Control</t>
        </is>
      </c>
      <c r="Q460" s="2" t="inlineStr">
        <is>
          <t>Operational Control</t>
        </is>
      </c>
      <c r="R460" s="2" t="inlineStr">
        <is>
          <t>Energy and Utilities (EU)</t>
        </is>
      </c>
      <c r="S460" s="2" t="inlineStr">
        <is>
          <t>Downer</t>
        </is>
      </c>
      <c r="T460" s="2" t="n">
        <v>100</v>
      </c>
      <c r="W460" s="2" t="inlineStr">
        <is>
          <t>Classification</t>
        </is>
      </c>
    </row>
    <row r="461">
      <c r="A461" s="2" t="inlineStr">
        <is>
          <t>Downer</t>
        </is>
      </c>
      <c r="B461" s="2" t="inlineStr">
        <is>
          <t>_CLOSED_REV_Pavements</t>
        </is>
      </c>
      <c r="C461" s="2" t="inlineStr">
        <is>
          <t>Branch</t>
        </is>
      </c>
      <c r="D461" s="2" t="inlineStr">
        <is>
          <t>L9.J.170615</t>
        </is>
      </c>
      <c r="E461" s="2" t="inlineStr">
        <is>
          <t>R70</t>
        </is>
      </c>
      <c r="M461" s="2" t="inlineStr">
        <is>
          <t>North Ryde</t>
        </is>
      </c>
      <c r="N461" s="2" t="inlineStr">
        <is>
          <t>Australia</t>
        </is>
      </c>
      <c r="P461" s="2" t="inlineStr">
        <is>
          <t>Operational Control</t>
        </is>
      </c>
      <c r="Q461" s="2" t="inlineStr">
        <is>
          <t>Operational Control</t>
        </is>
      </c>
      <c r="R461" s="2" t="inlineStr">
        <is>
          <t>Transport &amp; Infrastructure (T&amp;I)</t>
        </is>
      </c>
      <c r="S461" s="2" t="inlineStr">
        <is>
          <t>Downer</t>
        </is>
      </c>
      <c r="T461" s="2" t="n">
        <v>100</v>
      </c>
      <c r="W461" s="2" t="inlineStr">
        <is>
          <t>Classification</t>
        </is>
      </c>
    </row>
    <row r="462">
      <c r="A462" s="2" t="inlineStr">
        <is>
          <t>Downer</t>
        </is>
      </c>
      <c r="B462" s="2" t="inlineStr">
        <is>
          <t>_CLOSED_REV_Plant (IPD)</t>
        </is>
      </c>
      <c r="C462" s="2" t="inlineStr">
        <is>
          <t>Branch</t>
        </is>
      </c>
      <c r="D462" s="2" t="inlineStr">
        <is>
          <t>L9.J.200303</t>
        </is>
      </c>
      <c r="E462" s="2" t="inlineStr">
        <is>
          <t>ENC371-1</t>
        </is>
      </c>
      <c r="M462" s="2" t="inlineStr">
        <is>
          <t>New South Wales</t>
        </is>
      </c>
      <c r="N462" s="2" t="inlineStr">
        <is>
          <t>Australia</t>
        </is>
      </c>
      <c r="P462" s="2" t="inlineStr">
        <is>
          <t>Operational Control</t>
        </is>
      </c>
      <c r="Q462" s="2" t="inlineStr">
        <is>
          <t>Operational Control</t>
        </is>
      </c>
      <c r="R462" s="2" t="inlineStr">
        <is>
          <t>DT Infrastructure (pre Sept 23 divestment)</t>
        </is>
      </c>
      <c r="S462" s="2" t="inlineStr">
        <is>
          <t>Downer</t>
        </is>
      </c>
      <c r="T462" s="2" t="n">
        <v>100</v>
      </c>
      <c r="V462" s="11" t="n">
        <v>45199</v>
      </c>
      <c r="W462" s="2" t="inlineStr">
        <is>
          <t>Classification</t>
        </is>
      </c>
    </row>
    <row r="463">
      <c r="A463" s="2" t="inlineStr">
        <is>
          <t>Downer</t>
        </is>
      </c>
      <c r="B463" s="2" t="inlineStr">
        <is>
          <t>_CLOSED_REV_Plant and Asset Management (Roads)</t>
        </is>
      </c>
      <c r="C463" s="2" t="inlineStr">
        <is>
          <t>Branch</t>
        </is>
      </c>
      <c r="D463" s="2" t="inlineStr">
        <is>
          <t>L9.J.170239</t>
        </is>
      </c>
      <c r="E463" s="2" t="inlineStr">
        <is>
          <t>PAM</t>
        </is>
      </c>
      <c r="F463" s="2" t="inlineStr">
        <is>
          <t>PAM</t>
        </is>
      </c>
      <c r="M463" s="2" t="inlineStr">
        <is>
          <t>Victoria</t>
        </is>
      </c>
      <c r="N463" s="2" t="inlineStr">
        <is>
          <t>Australia</t>
        </is>
      </c>
      <c r="P463" s="2" t="inlineStr">
        <is>
          <t>Operational Control</t>
        </is>
      </c>
      <c r="Q463" s="2" t="inlineStr">
        <is>
          <t>Operational Control</t>
        </is>
      </c>
      <c r="R463" s="2" t="inlineStr">
        <is>
          <t>Transport &amp; Infrastructure (T&amp;I)</t>
        </is>
      </c>
      <c r="S463" s="2" t="inlineStr">
        <is>
          <t>Downer</t>
        </is>
      </c>
      <c r="T463" s="2" t="n">
        <v>100</v>
      </c>
      <c r="W463" s="2" t="inlineStr">
        <is>
          <t>Classification</t>
        </is>
      </c>
    </row>
    <row r="464">
      <c r="A464" s="2" t="inlineStr">
        <is>
          <t>Downer</t>
        </is>
      </c>
      <c r="B464" s="2" t="inlineStr">
        <is>
          <t>_CLOSED_REV_PMS</t>
        </is>
      </c>
      <c r="C464" s="2" t="inlineStr">
        <is>
          <t>Branch</t>
        </is>
      </c>
      <c r="D464" s="2" t="inlineStr">
        <is>
          <t>L9.J.101</t>
        </is>
      </c>
      <c r="E464" s="2" t="inlineStr">
        <is>
          <t>R61</t>
        </is>
      </c>
      <c r="M464" s="2" t="inlineStr">
        <is>
          <t>North Ryde</t>
        </is>
      </c>
      <c r="N464" s="2" t="inlineStr">
        <is>
          <t>Australia</t>
        </is>
      </c>
      <c r="P464" s="2" t="inlineStr">
        <is>
          <t>Operational Control</t>
        </is>
      </c>
      <c r="Q464" s="2" t="inlineStr">
        <is>
          <t>Operational Control</t>
        </is>
      </c>
      <c r="R464" s="2" t="inlineStr">
        <is>
          <t>Corporate</t>
        </is>
      </c>
      <c r="S464" s="2" t="inlineStr">
        <is>
          <t>Downer</t>
        </is>
      </c>
      <c r="T464" s="2" t="n">
        <v>100</v>
      </c>
      <c r="W464" s="2" t="inlineStr">
        <is>
          <t>Classification</t>
        </is>
      </c>
    </row>
    <row r="465">
      <c r="A465" s="2" t="inlineStr">
        <is>
          <t>Downer</t>
        </is>
      </c>
      <c r="B465" s="2" t="inlineStr">
        <is>
          <t>_CLOSED_REV_Power &amp; Energy</t>
        </is>
      </c>
      <c r="C465" s="2" t="inlineStr">
        <is>
          <t>Branch</t>
        </is>
      </c>
      <c r="D465" s="2" t="inlineStr">
        <is>
          <t>L9.ENG.310.10441</t>
        </is>
      </c>
      <c r="E465" s="2" t="inlineStr">
        <is>
          <t>FAS363</t>
        </is>
      </c>
      <c r="M465" s="2" t="inlineStr">
        <is>
          <t>New South Wales</t>
        </is>
      </c>
      <c r="N465" s="2" t="inlineStr">
        <is>
          <t>Australia</t>
        </is>
      </c>
      <c r="P465" s="2" t="inlineStr">
        <is>
          <t>Operational Control</t>
        </is>
      </c>
      <c r="Q465" s="2" t="inlineStr">
        <is>
          <t>Operational Control</t>
        </is>
      </c>
      <c r="R465" s="2" t="inlineStr">
        <is>
          <t>Energy and Utilities (EU)</t>
        </is>
      </c>
      <c r="S465" s="2" t="inlineStr">
        <is>
          <t>Downer</t>
        </is>
      </c>
      <c r="T465" s="2" t="n">
        <v>100</v>
      </c>
      <c r="W465" s="2" t="inlineStr">
        <is>
          <t>Classification</t>
        </is>
      </c>
    </row>
    <row r="466">
      <c r="A466" s="2" t="inlineStr">
        <is>
          <t>Downer</t>
        </is>
      </c>
      <c r="B466" s="2" t="inlineStr">
        <is>
          <t>_CLOSED_REV_Power &amp; Gas Distribution Network</t>
        </is>
      </c>
      <c r="C466" s="2" t="inlineStr">
        <is>
          <t>Branch</t>
        </is>
      </c>
      <c r="D466" s="2" t="inlineStr">
        <is>
          <t>L9.J.230500</t>
        </is>
      </c>
      <c r="E466" s="2" t="inlineStr">
        <is>
          <t>UTIL246</t>
        </is>
      </c>
      <c r="G466" s="2" t="inlineStr">
        <is>
          <t>Name change to "Energy" occurred in FY23.</t>
        </is>
      </c>
      <c r="M466" s="2" t="inlineStr">
        <is>
          <t>New South Wales</t>
        </is>
      </c>
      <c r="N466" s="2" t="inlineStr">
        <is>
          <t>Australia</t>
        </is>
      </c>
      <c r="P466" s="2" t="inlineStr">
        <is>
          <t>Operational Control</t>
        </is>
      </c>
      <c r="Q466" s="2" t="inlineStr">
        <is>
          <t>Operational Control</t>
        </is>
      </c>
      <c r="R466" s="2" t="inlineStr">
        <is>
          <t>Energy and Utilities (EU)</t>
        </is>
      </c>
      <c r="S466" s="2" t="inlineStr">
        <is>
          <t>Downer</t>
        </is>
      </c>
      <c r="T466" s="2" t="n">
        <v>100</v>
      </c>
      <c r="W466" s="2" t="inlineStr">
        <is>
          <t>Classification</t>
        </is>
      </c>
    </row>
    <row r="467">
      <c r="A467" s="2" t="inlineStr">
        <is>
          <t>Downer</t>
        </is>
      </c>
      <c r="B467" s="2" t="inlineStr">
        <is>
          <t>_CLOSED_REV_Power Generation</t>
        </is>
      </c>
      <c r="C467" s="2" t="inlineStr">
        <is>
          <t>Head Office</t>
        </is>
      </c>
      <c r="D467" s="2" t="inlineStr">
        <is>
          <t>L9.S.13001081</t>
        </is>
      </c>
      <c r="E467" s="2" t="inlineStr">
        <is>
          <t>R701</t>
        </is>
      </c>
      <c r="M467" s="2" t="inlineStr">
        <is>
          <t>North Ryde</t>
        </is>
      </c>
      <c r="N467" s="2" t="inlineStr">
        <is>
          <t>Australia</t>
        </is>
      </c>
      <c r="P467" s="2" t="inlineStr">
        <is>
          <t>Operational Control</t>
        </is>
      </c>
      <c r="Q467" s="2" t="inlineStr">
        <is>
          <t>Operational Control</t>
        </is>
      </c>
      <c r="R467" s="2" t="inlineStr">
        <is>
          <t>Asset &amp; Development Services (Baseline)</t>
        </is>
      </c>
      <c r="S467" s="2" t="inlineStr">
        <is>
          <t>Downer</t>
        </is>
      </c>
      <c r="T467" s="2" t="n">
        <v>100</v>
      </c>
      <c r="V467" s="11" t="n">
        <v>45107</v>
      </c>
      <c r="W467" s="2" t="inlineStr">
        <is>
          <t>Classification</t>
        </is>
      </c>
    </row>
    <row r="468">
      <c r="A468" s="2" t="inlineStr">
        <is>
          <t>Downer</t>
        </is>
      </c>
      <c r="B468" s="2" t="inlineStr">
        <is>
          <t>_CLOSED_REV_Power Legacy</t>
        </is>
      </c>
      <c r="C468" s="2" t="inlineStr">
        <is>
          <t>Branch</t>
        </is>
      </c>
      <c r="D468" s="2" t="inlineStr">
        <is>
          <t>L9.J.37200003</t>
        </is>
      </c>
      <c r="E468" s="2" t="inlineStr">
        <is>
          <t>PWRLG</t>
        </is>
      </c>
      <c r="M468" s="2" t="inlineStr">
        <is>
          <t>Sydney</t>
        </is>
      </c>
      <c r="N468" s="2" t="inlineStr">
        <is>
          <t>Australia</t>
        </is>
      </c>
      <c r="P468" s="2" t="inlineStr">
        <is>
          <t>Operational Control</t>
        </is>
      </c>
      <c r="Q468" s="2" t="inlineStr">
        <is>
          <t>Operational Control</t>
        </is>
      </c>
      <c r="R468" s="2" t="inlineStr">
        <is>
          <t>Energy and Utilities (EU)</t>
        </is>
      </c>
      <c r="S468" s="2" t="inlineStr">
        <is>
          <t>Downer</t>
        </is>
      </c>
      <c r="T468" s="2" t="n">
        <v>100</v>
      </c>
      <c r="W468" s="2" t="inlineStr">
        <is>
          <t>Classification</t>
        </is>
      </c>
      <c r="AB468" s="11" t="n">
        <v>44742</v>
      </c>
    </row>
    <row r="469">
      <c r="A469" s="2" t="inlineStr">
        <is>
          <t>Downer</t>
        </is>
      </c>
      <c r="B469" s="2" t="inlineStr">
        <is>
          <t>_CLOSED_REV_Power Systems</t>
        </is>
      </c>
      <c r="C469" s="2" t="inlineStr">
        <is>
          <t>Branch</t>
        </is>
      </c>
      <c r="D469" s="2" t="inlineStr">
        <is>
          <t>L9.J.240116</t>
        </is>
      </c>
      <c r="E469" s="2" t="inlineStr">
        <is>
          <t>POWSYS</t>
        </is>
      </c>
      <c r="M469" s="2" t="inlineStr">
        <is>
          <t>New South Wales</t>
        </is>
      </c>
      <c r="N469" s="2" t="inlineStr">
        <is>
          <t>Australia</t>
        </is>
      </c>
      <c r="P469" s="2" t="inlineStr">
        <is>
          <t>Operational Control</t>
        </is>
      </c>
      <c r="Q469" s="2" t="inlineStr">
        <is>
          <t>Operational Control</t>
        </is>
      </c>
      <c r="R469" s="2" t="inlineStr">
        <is>
          <t>Energy and Utilities (EU)</t>
        </is>
      </c>
      <c r="S469" s="2" t="inlineStr">
        <is>
          <t>Downer</t>
        </is>
      </c>
      <c r="T469" s="2" t="n">
        <v>100</v>
      </c>
      <c r="W469" s="2" t="inlineStr">
        <is>
          <t>Classification</t>
        </is>
      </c>
    </row>
    <row r="470">
      <c r="A470" s="2" t="inlineStr">
        <is>
          <t>Downer</t>
        </is>
      </c>
      <c r="B470" s="2" t="inlineStr">
        <is>
          <t>_CLOSED_REV_Power, Gas and Communications</t>
        </is>
      </c>
      <c r="C470" s="2" t="inlineStr">
        <is>
          <t>Branch</t>
        </is>
      </c>
      <c r="D470" s="2" t="inlineStr">
        <is>
          <t>L9.J.234001</t>
        </is>
      </c>
      <c r="E470" s="2" t="inlineStr">
        <is>
          <t>R16</t>
        </is>
      </c>
      <c r="M470" s="2" t="inlineStr">
        <is>
          <t>North Ryde</t>
        </is>
      </c>
      <c r="N470" s="2" t="inlineStr">
        <is>
          <t>Australia</t>
        </is>
      </c>
      <c r="P470" s="2" t="inlineStr">
        <is>
          <t>Operational Control</t>
        </is>
      </c>
      <c r="Q470" s="2" t="inlineStr">
        <is>
          <t>Operational Control</t>
        </is>
      </c>
      <c r="R470" s="2" t="inlineStr">
        <is>
          <t>Energy and Utilities (EU)</t>
        </is>
      </c>
      <c r="S470" s="2" t="inlineStr">
        <is>
          <t>Downer</t>
        </is>
      </c>
      <c r="T470" s="2" t="n">
        <v>100</v>
      </c>
      <c r="W470" s="2" t="inlineStr">
        <is>
          <t>Classification</t>
        </is>
      </c>
    </row>
    <row r="471">
      <c r="A471" s="2" t="inlineStr">
        <is>
          <t>Downer</t>
        </is>
      </c>
      <c r="B471" s="2" t="inlineStr">
        <is>
          <t>_CLOSED_REV_QCC Resources</t>
        </is>
      </c>
      <c r="C471" s="2" t="inlineStr">
        <is>
          <t>Branch</t>
        </is>
      </c>
      <c r="D471" s="2" t="inlineStr">
        <is>
          <t>L9.J.39530161</t>
        </is>
      </c>
      <c r="E471" s="2" t="inlineStr">
        <is>
          <t>R26</t>
        </is>
      </c>
      <c r="M471" s="2" t="inlineStr">
        <is>
          <t>North Ryde</t>
        </is>
      </c>
      <c r="N471" s="2" t="inlineStr">
        <is>
          <t>Australia</t>
        </is>
      </c>
      <c r="P471" s="2" t="inlineStr">
        <is>
          <t>Operational Control</t>
        </is>
      </c>
      <c r="Q471" s="2" t="inlineStr">
        <is>
          <t>Operational Control</t>
        </is>
      </c>
      <c r="R471" s="2" t="inlineStr">
        <is>
          <t>Energy and Utilities (EU)</t>
        </is>
      </c>
      <c r="S471" s="2" t="inlineStr">
        <is>
          <t>Downer</t>
        </is>
      </c>
      <c r="T471" s="2" t="n">
        <v>100</v>
      </c>
      <c r="W471" s="2" t="inlineStr">
        <is>
          <t>Classification</t>
        </is>
      </c>
    </row>
    <row r="472">
      <c r="A472" s="2" t="inlineStr">
        <is>
          <t>Downer</t>
        </is>
      </c>
      <c r="B472" s="2" t="inlineStr">
        <is>
          <t>_CLOSED_REV_QLD &amp; Power</t>
        </is>
      </c>
      <c r="C472" s="2" t="inlineStr">
        <is>
          <t>Branch</t>
        </is>
      </c>
      <c r="D472" s="2" t="inlineStr">
        <is>
          <t>L9.J.20045014</t>
        </is>
      </c>
      <c r="E472" s="2" t="inlineStr">
        <is>
          <t>IP360</t>
        </is>
      </c>
      <c r="M472" s="2" t="inlineStr">
        <is>
          <t>Queensland</t>
        </is>
      </c>
      <c r="N472" s="2" t="inlineStr">
        <is>
          <t>Australia</t>
        </is>
      </c>
      <c r="P472" s="2" t="inlineStr">
        <is>
          <t>Operational Control</t>
        </is>
      </c>
      <c r="Q472" s="2" t="inlineStr">
        <is>
          <t>Operational Control</t>
        </is>
      </c>
      <c r="R472" s="2" t="inlineStr">
        <is>
          <t>DT Infrastructure (pre Sept 23 divestment)</t>
        </is>
      </c>
      <c r="S472" s="2" t="inlineStr">
        <is>
          <t>Downer</t>
        </is>
      </c>
      <c r="T472" s="2" t="n">
        <v>100</v>
      </c>
      <c r="V472" s="11" t="n">
        <v>45199</v>
      </c>
      <c r="W472" s="2" t="inlineStr">
        <is>
          <t>Classification</t>
        </is>
      </c>
    </row>
    <row r="473">
      <c r="A473" s="2" t="inlineStr">
        <is>
          <t>Downer</t>
        </is>
      </c>
      <c r="B473" s="2" t="inlineStr">
        <is>
          <t>_CLOSED_REV_Rail Services Victoria Pty Ltd</t>
        </is>
      </c>
      <c r="C473" s="2" t="inlineStr">
        <is>
          <t>Branch</t>
        </is>
      </c>
      <c r="D473" s="2" t="inlineStr">
        <is>
          <t>L9.J.10900002</t>
        </is>
      </c>
      <c r="E473" s="2" t="inlineStr">
        <is>
          <t>RailSV</t>
        </is>
      </c>
      <c r="M473" s="2" t="inlineStr">
        <is>
          <t>Victoria</t>
        </is>
      </c>
      <c r="N473" s="2" t="inlineStr">
        <is>
          <t>Australia</t>
        </is>
      </c>
      <c r="P473" s="2" t="inlineStr">
        <is>
          <t>Operational Control</t>
        </is>
      </c>
      <c r="Q473" s="2" t="inlineStr">
        <is>
          <t>Operational Control</t>
        </is>
      </c>
      <c r="R473" s="2" t="inlineStr">
        <is>
          <t>Corporate</t>
        </is>
      </c>
      <c r="S473" s="2" t="inlineStr">
        <is>
          <t>Downer</t>
        </is>
      </c>
      <c r="T473" s="2" t="n">
        <v>100</v>
      </c>
      <c r="W473" s="2" t="inlineStr">
        <is>
          <t>Classification</t>
        </is>
      </c>
    </row>
    <row r="474">
      <c r="A474" s="2" t="inlineStr">
        <is>
          <t>Downer</t>
        </is>
      </c>
      <c r="B474" s="2" t="inlineStr">
        <is>
          <t>_CLOSED_REV_Rail Systems Engineering</t>
        </is>
      </c>
      <c r="C474" s="2" t="inlineStr">
        <is>
          <t>Branch</t>
        </is>
      </c>
      <c r="D474" s="2" t="inlineStr">
        <is>
          <t>L9.WAU.000633</t>
        </is>
      </c>
      <c r="E474" s="2" t="inlineStr">
        <is>
          <t>IP205</t>
        </is>
      </c>
      <c r="M474" s="2" t="inlineStr">
        <is>
          <t>New South Wales</t>
        </is>
      </c>
      <c r="N474" s="2" t="inlineStr">
        <is>
          <t>Australia</t>
        </is>
      </c>
      <c r="P474" s="2" t="inlineStr">
        <is>
          <t>Operational Control</t>
        </is>
      </c>
      <c r="Q474" s="2" t="inlineStr">
        <is>
          <t>Operational Control</t>
        </is>
      </c>
      <c r="R474" s="2" t="inlineStr">
        <is>
          <t>DT Infrastructure (pre Sept 23 divestment)</t>
        </is>
      </c>
      <c r="S474" s="2" t="inlineStr">
        <is>
          <t>Downer</t>
        </is>
      </c>
      <c r="T474" s="2" t="n">
        <v>100</v>
      </c>
      <c r="V474" s="11" t="n">
        <v>45199</v>
      </c>
      <c r="W474" s="2" t="inlineStr">
        <is>
          <t>Classification</t>
        </is>
      </c>
    </row>
    <row r="475">
      <c r="A475" s="2" t="inlineStr">
        <is>
          <t>Downer</t>
        </is>
      </c>
      <c r="B475" s="2" t="inlineStr">
        <is>
          <t>_CLOSED_REV_Reconomy</t>
        </is>
      </c>
      <c r="C475" s="2" t="inlineStr">
        <is>
          <t>Branch</t>
        </is>
      </c>
      <c r="D475" s="2" t="inlineStr">
        <is>
          <t>L9.J.170720</t>
        </is>
      </c>
      <c r="E475" s="2" t="inlineStr">
        <is>
          <t>RSV172</t>
        </is>
      </c>
      <c r="M475" s="2" t="inlineStr">
        <is>
          <t>New South Wales</t>
        </is>
      </c>
      <c r="N475" s="2" t="inlineStr">
        <is>
          <t>Australia</t>
        </is>
      </c>
      <c r="P475" s="2" t="inlineStr">
        <is>
          <t>Operational Control</t>
        </is>
      </c>
      <c r="Q475" s="2" t="inlineStr">
        <is>
          <t>Operational Control</t>
        </is>
      </c>
      <c r="R475" s="2" t="inlineStr">
        <is>
          <t>Transport &amp; Infrastructure (T&amp;I)</t>
        </is>
      </c>
      <c r="S475" s="2" t="inlineStr">
        <is>
          <t>Downer</t>
        </is>
      </c>
      <c r="T475" s="2" t="n">
        <v>100</v>
      </c>
      <c r="W475" s="2" t="inlineStr">
        <is>
          <t>Classification</t>
        </is>
      </c>
    </row>
    <row r="476">
      <c r="A476" s="2" t="inlineStr">
        <is>
          <t>Downer</t>
        </is>
      </c>
      <c r="B476" s="2" t="inlineStr">
        <is>
          <t>_CLOSED_REV_Reconomy Total</t>
        </is>
      </c>
      <c r="C476" s="2" t="inlineStr">
        <is>
          <t>Branch</t>
        </is>
      </c>
      <c r="D476" s="2" t="inlineStr">
        <is>
          <t>L9.J.170720</t>
        </is>
      </c>
      <c r="E476" s="2" t="inlineStr">
        <is>
          <t>R5</t>
        </is>
      </c>
      <c r="M476" s="2" t="inlineStr">
        <is>
          <t>North Ryde</t>
        </is>
      </c>
      <c r="N476" s="2" t="inlineStr">
        <is>
          <t>Australia</t>
        </is>
      </c>
      <c r="P476" s="2" t="inlineStr">
        <is>
          <t>Operational Control</t>
        </is>
      </c>
      <c r="Q476" s="2" t="inlineStr">
        <is>
          <t>Operational Control</t>
        </is>
      </c>
      <c r="R476" s="2" t="inlineStr">
        <is>
          <t>Transport &amp; Infrastructure (T&amp;I)</t>
        </is>
      </c>
      <c r="S476" s="2" t="inlineStr">
        <is>
          <t>Downer</t>
        </is>
      </c>
      <c r="T476" s="2" t="n">
        <v>100</v>
      </c>
      <c r="W476" s="2" t="inlineStr">
        <is>
          <t>Classification</t>
        </is>
      </c>
    </row>
    <row r="477">
      <c r="A477" s="2" t="inlineStr">
        <is>
          <t>Downer</t>
        </is>
      </c>
      <c r="B477" s="2" t="inlineStr">
        <is>
          <t>_CLOSED_REV_Repurpose IT</t>
        </is>
      </c>
      <c r="C477" s="2" t="inlineStr">
        <is>
          <t>Branch</t>
        </is>
      </c>
      <c r="D477" s="2" t="inlineStr">
        <is>
          <t>L9.J.190101</t>
        </is>
      </c>
      <c r="E477" s="2" t="inlineStr">
        <is>
          <t>RSV172-1</t>
        </is>
      </c>
      <c r="M477" s="2" t="inlineStr">
        <is>
          <t>Victoria</t>
        </is>
      </c>
      <c r="N477" s="2" t="inlineStr">
        <is>
          <t>Australia</t>
        </is>
      </c>
      <c r="P477" s="2" t="inlineStr">
        <is>
          <t>Operational Control</t>
        </is>
      </c>
      <c r="Q477" s="2" t="inlineStr">
        <is>
          <t>Operational Control</t>
        </is>
      </c>
      <c r="R477" s="2" t="inlineStr">
        <is>
          <t>Transport &amp; Infrastructure (T&amp;I)</t>
        </is>
      </c>
      <c r="S477" s="2" t="inlineStr">
        <is>
          <t>Downer</t>
        </is>
      </c>
      <c r="T477" s="2" t="n">
        <v>100</v>
      </c>
      <c r="W477" s="2" t="inlineStr">
        <is>
          <t>Classification</t>
        </is>
      </c>
    </row>
    <row r="478">
      <c r="A478" s="2" t="inlineStr">
        <is>
          <t>Downer</t>
        </is>
      </c>
      <c r="B478" s="2" t="inlineStr">
        <is>
          <t>_CLOSED_REV_Resources</t>
        </is>
      </c>
      <c r="C478" s="2" t="inlineStr">
        <is>
          <t>Branch</t>
        </is>
      </c>
      <c r="D478" s="2" t="inlineStr">
        <is>
          <t>L9.J.505002</t>
        </is>
      </c>
      <c r="E478" s="2" t="inlineStr">
        <is>
          <t>Reso</t>
        </is>
      </c>
      <c r="M478" s="2" t="inlineStr">
        <is>
          <t>New South Wales</t>
        </is>
      </c>
      <c r="N478" s="2" t="inlineStr">
        <is>
          <t>Australia</t>
        </is>
      </c>
      <c r="P478" s="2" t="inlineStr">
        <is>
          <t>Operational Control</t>
        </is>
      </c>
      <c r="Q478" s="2" t="inlineStr">
        <is>
          <t>Operational Control</t>
        </is>
      </c>
      <c r="R478" s="2" t="inlineStr">
        <is>
          <t>Social Infra &amp; Citizen Serv (SICS)</t>
        </is>
      </c>
      <c r="S478" s="2" t="inlineStr">
        <is>
          <t>Downer</t>
        </is>
      </c>
      <c r="T478" s="2" t="n">
        <v>100</v>
      </c>
      <c r="W478" s="2" t="inlineStr">
        <is>
          <t>Classification</t>
        </is>
      </c>
      <c r="AB478" s="11" t="n">
        <v>44742</v>
      </c>
    </row>
    <row r="479">
      <c r="A479" s="2" t="inlineStr">
        <is>
          <t>Downer</t>
        </is>
      </c>
      <c r="B479" s="2" t="inlineStr">
        <is>
          <t>_CLOSED_REV_Road Services HO</t>
        </is>
      </c>
      <c r="C479" s="2" t="inlineStr">
        <is>
          <t>Branch</t>
        </is>
      </c>
      <c r="D479" s="2" t="inlineStr">
        <is>
          <t>L9.J.170100</t>
        </is>
      </c>
      <c r="E479" s="2" t="inlineStr">
        <is>
          <t>RRSHO</t>
        </is>
      </c>
      <c r="M479" s="2" t="inlineStr">
        <is>
          <t>New South Wales</t>
        </is>
      </c>
      <c r="N479" s="2" t="inlineStr">
        <is>
          <t>Australia</t>
        </is>
      </c>
      <c r="P479" s="2" t="inlineStr">
        <is>
          <t>Operational Control</t>
        </is>
      </c>
      <c r="Q479" s="2" t="inlineStr">
        <is>
          <t>Operational Control</t>
        </is>
      </c>
      <c r="R479" s="2" t="inlineStr">
        <is>
          <t>Transport &amp; Infrastructure (T&amp;I)</t>
        </is>
      </c>
      <c r="S479" s="2" t="inlineStr">
        <is>
          <t>Downer</t>
        </is>
      </c>
      <c r="T479" s="2" t="n">
        <v>100</v>
      </c>
      <c r="W479" s="2" t="inlineStr">
        <is>
          <t>Classification</t>
        </is>
      </c>
      <c r="AB479" s="11" t="n">
        <v>44742</v>
      </c>
    </row>
    <row r="480">
      <c r="A480" s="2" t="inlineStr">
        <is>
          <t>Downer</t>
        </is>
      </c>
      <c r="B480" s="2" t="inlineStr">
        <is>
          <t>_CLOSED_REV_Roads Bitumen</t>
        </is>
      </c>
      <c r="C480" s="2" t="inlineStr">
        <is>
          <t>Branch</t>
        </is>
      </c>
      <c r="D480" s="2" t="inlineStr">
        <is>
          <t>L9.J.170938</t>
        </is>
      </c>
      <c r="E480" s="2" t="inlineStr">
        <is>
          <t>R4</t>
        </is>
      </c>
      <c r="M480" s="2" t="inlineStr">
        <is>
          <t>North Ryde</t>
        </is>
      </c>
      <c r="N480" s="2" t="inlineStr">
        <is>
          <t>Australia</t>
        </is>
      </c>
      <c r="P480" s="2" t="inlineStr">
        <is>
          <t>Operational Control</t>
        </is>
      </c>
      <c r="Q480" s="2" t="inlineStr">
        <is>
          <t>Operational Control</t>
        </is>
      </c>
      <c r="R480" s="2" t="inlineStr">
        <is>
          <t>Transport &amp; Infrastructure (T&amp;I)</t>
        </is>
      </c>
      <c r="S480" s="2" t="inlineStr">
        <is>
          <t>Downer</t>
        </is>
      </c>
      <c r="T480" s="2" t="n">
        <v>100</v>
      </c>
      <c r="W480" s="2" t="inlineStr">
        <is>
          <t>Classification</t>
        </is>
      </c>
    </row>
    <row r="481">
      <c r="A481" s="2" t="inlineStr">
        <is>
          <t>Downer</t>
        </is>
      </c>
      <c r="B481" s="2" t="inlineStr">
        <is>
          <t>_CLOSED_REV_Roads HO Total</t>
        </is>
      </c>
      <c r="C481" s="2" t="inlineStr">
        <is>
          <t>Branch</t>
        </is>
      </c>
      <c r="D481" s="2" t="inlineStr">
        <is>
          <t>L9.J.170333</t>
        </is>
      </c>
      <c r="E481" s="2" t="inlineStr">
        <is>
          <t>R1</t>
        </is>
      </c>
      <c r="M481" s="2" t="inlineStr">
        <is>
          <t>North Ryde</t>
        </is>
      </c>
      <c r="N481" s="2" t="inlineStr">
        <is>
          <t>Australia</t>
        </is>
      </c>
      <c r="P481" s="2" t="inlineStr">
        <is>
          <t>Operational Control</t>
        </is>
      </c>
      <c r="Q481" s="2" t="inlineStr">
        <is>
          <t>Operational Control</t>
        </is>
      </c>
      <c r="R481" s="2" t="inlineStr">
        <is>
          <t>Transport &amp; Infrastructure (T&amp;I)</t>
        </is>
      </c>
      <c r="S481" s="2" t="inlineStr">
        <is>
          <t>Downer</t>
        </is>
      </c>
      <c r="T481" s="2" t="n">
        <v>100</v>
      </c>
      <c r="W481" s="2" t="inlineStr">
        <is>
          <t>Classification</t>
        </is>
      </c>
    </row>
    <row r="482">
      <c r="A482" s="2" t="inlineStr">
        <is>
          <t>Downer</t>
        </is>
      </c>
      <c r="B482" s="2" t="inlineStr">
        <is>
          <t>_CLOSED_REV_Roads Plant</t>
        </is>
      </c>
      <c r="C482" s="2" t="inlineStr">
        <is>
          <t>Branch</t>
        </is>
      </c>
      <c r="D482" s="2" t="inlineStr">
        <is>
          <t>L9.J.17090179</t>
        </is>
      </c>
      <c r="E482" s="2" t="inlineStr">
        <is>
          <t>R6</t>
        </is>
      </c>
      <c r="G482" s="2" t="inlineStr">
        <is>
          <t>For revenue only, do not use</t>
        </is>
      </c>
      <c r="M482" s="2" t="inlineStr">
        <is>
          <t>North Ryde</t>
        </is>
      </c>
      <c r="N482" s="2" t="inlineStr">
        <is>
          <t>Australia</t>
        </is>
      </c>
      <c r="P482" s="2" t="inlineStr">
        <is>
          <t>Operational Control</t>
        </is>
      </c>
      <c r="Q482" s="2" t="inlineStr">
        <is>
          <t>Operational Control</t>
        </is>
      </c>
      <c r="R482" s="2" t="inlineStr">
        <is>
          <t>Transport &amp; Infrastructure (T&amp;I)</t>
        </is>
      </c>
      <c r="S482" s="2" t="inlineStr">
        <is>
          <t>Downer</t>
        </is>
      </c>
      <c r="T482" s="2" t="n">
        <v>100</v>
      </c>
      <c r="W482" s="2" t="inlineStr">
        <is>
          <t>Classification</t>
        </is>
      </c>
    </row>
    <row r="483">
      <c r="A483" s="2" t="inlineStr">
        <is>
          <t>Downer</t>
        </is>
      </c>
      <c r="B483" s="2" t="inlineStr">
        <is>
          <t>_CLOSED_REV_Rolling Stock (NSW)</t>
        </is>
      </c>
      <c r="C483" s="2" t="inlineStr">
        <is>
          <t>Branch</t>
        </is>
      </c>
      <c r="D483" s="2" t="inlineStr">
        <is>
          <t>L9.J.710001</t>
        </is>
      </c>
      <c r="E483" s="2" t="inlineStr">
        <is>
          <t>R18</t>
        </is>
      </c>
      <c r="M483" s="2" t="inlineStr">
        <is>
          <t>North Ryde</t>
        </is>
      </c>
      <c r="N483" s="2" t="inlineStr">
        <is>
          <t>Australia</t>
        </is>
      </c>
      <c r="P483" s="2" t="inlineStr">
        <is>
          <t>Operational Control</t>
        </is>
      </c>
      <c r="Q483" s="2" t="inlineStr">
        <is>
          <t>Operational Control</t>
        </is>
      </c>
      <c r="R483" s="2" t="inlineStr">
        <is>
          <t>Rail &amp; Transit Systems (RTS)</t>
        </is>
      </c>
      <c r="S483" s="2" t="inlineStr">
        <is>
          <t>Downer</t>
        </is>
      </c>
      <c r="T483" s="2" t="n">
        <v>100</v>
      </c>
      <c r="W483" s="2" t="inlineStr">
        <is>
          <t>Classification</t>
        </is>
      </c>
    </row>
    <row r="484">
      <c r="A484" s="2" t="inlineStr">
        <is>
          <t>Downer</t>
        </is>
      </c>
      <c r="B484" s="2" t="inlineStr">
        <is>
          <t>_CLOSED_REV_Rolling Stock (QLD/VIC)</t>
        </is>
      </c>
      <c r="C484" s="2" t="inlineStr">
        <is>
          <t>Branch</t>
        </is>
      </c>
      <c r="D484" s="2" t="inlineStr">
        <is>
          <t>L9.J.70920032</t>
        </is>
      </c>
      <c r="E484" s="2" t="inlineStr">
        <is>
          <t>R19</t>
        </is>
      </c>
      <c r="M484" s="2" t="inlineStr">
        <is>
          <t>North Ryde</t>
        </is>
      </c>
      <c r="N484" s="2" t="inlineStr">
        <is>
          <t>Australia</t>
        </is>
      </c>
      <c r="P484" s="2" t="inlineStr">
        <is>
          <t>Operational Control</t>
        </is>
      </c>
      <c r="Q484" s="2" t="inlineStr">
        <is>
          <t>Operational Control</t>
        </is>
      </c>
      <c r="R484" s="2" t="inlineStr">
        <is>
          <t>Rail &amp; Transit Systems (RTS)</t>
        </is>
      </c>
      <c r="S484" s="2" t="inlineStr">
        <is>
          <t>Downer</t>
        </is>
      </c>
      <c r="T484" s="2" t="n">
        <v>100</v>
      </c>
      <c r="W484" s="2" t="inlineStr">
        <is>
          <t>Classification</t>
        </is>
      </c>
    </row>
    <row r="485">
      <c r="A485" s="2" t="inlineStr">
        <is>
          <t>Downer</t>
        </is>
      </c>
      <c r="B485" s="2" t="inlineStr">
        <is>
          <t>_CLOSED_REV_RPQ Group</t>
        </is>
      </c>
      <c r="C485" s="2" t="inlineStr">
        <is>
          <t>Branch</t>
        </is>
      </c>
      <c r="D485" s="2" t="inlineStr">
        <is>
          <t>L9.J.17040344</t>
        </is>
      </c>
      <c r="E485" s="2" t="inlineStr">
        <is>
          <t>RPQ</t>
        </is>
      </c>
      <c r="F485" s="2" t="inlineStr">
        <is>
          <t>RPQ</t>
        </is>
      </c>
      <c r="M485" s="2" t="inlineStr">
        <is>
          <t>Queensland</t>
        </is>
      </c>
      <c r="N485" s="2" t="inlineStr">
        <is>
          <t>Australia</t>
        </is>
      </c>
      <c r="P485" s="2" t="inlineStr">
        <is>
          <t>Operational Control</t>
        </is>
      </c>
      <c r="Q485" s="2" t="inlineStr">
        <is>
          <t>Operational Control</t>
        </is>
      </c>
      <c r="R485" s="2" t="inlineStr">
        <is>
          <t>Transport &amp; Infrastructure (T&amp;I)</t>
        </is>
      </c>
      <c r="S485" s="2" t="inlineStr">
        <is>
          <t>Downer</t>
        </is>
      </c>
      <c r="T485" s="2" t="n">
        <v>100</v>
      </c>
      <c r="W485" s="2" t="inlineStr">
        <is>
          <t>Classification</t>
        </is>
      </c>
    </row>
    <row r="486">
      <c r="A486" s="2" t="inlineStr">
        <is>
          <t>Downer</t>
        </is>
      </c>
      <c r="B486" s="2" t="inlineStr">
        <is>
          <t>_CLOSED_REV_RTS Head Office</t>
        </is>
      </c>
      <c r="C486" s="2" t="inlineStr">
        <is>
          <t>Branch</t>
        </is>
      </c>
      <c r="D486" s="2" t="inlineStr">
        <is>
          <t>L9.J.709001</t>
        </is>
      </c>
      <c r="E486" s="2" t="inlineStr">
        <is>
          <t>RSS-HO</t>
        </is>
      </c>
      <c r="M486" s="2" t="inlineStr">
        <is>
          <t>New South Wales</t>
        </is>
      </c>
      <c r="N486" s="2" t="inlineStr">
        <is>
          <t>Australia</t>
        </is>
      </c>
      <c r="P486" s="2" t="inlineStr">
        <is>
          <t>Operational Control</t>
        </is>
      </c>
      <c r="Q486" s="2" t="inlineStr">
        <is>
          <t>Operational Control</t>
        </is>
      </c>
      <c r="R486" s="2" t="inlineStr">
        <is>
          <t>Rail &amp; Transit Systems (RTS)</t>
        </is>
      </c>
      <c r="S486" s="2" t="inlineStr">
        <is>
          <t>Downer</t>
        </is>
      </c>
      <c r="T486" s="2" t="n">
        <v>100</v>
      </c>
      <c r="W486" s="2" t="inlineStr">
        <is>
          <t>Classification</t>
        </is>
      </c>
    </row>
    <row r="487">
      <c r="A487" s="2" t="inlineStr">
        <is>
          <t>Downer</t>
        </is>
      </c>
      <c r="B487" s="2" t="inlineStr">
        <is>
          <t>_CLOSED_REV_RTS NSW</t>
        </is>
      </c>
      <c r="C487" s="2" t="inlineStr">
        <is>
          <t>Branch</t>
        </is>
      </c>
      <c r="D487" s="2" t="inlineStr">
        <is>
          <t>L9.J.709305</t>
        </is>
      </c>
      <c r="E487" s="2" t="inlineStr">
        <is>
          <t>RSS-NSW</t>
        </is>
      </c>
      <c r="M487" s="2" t="inlineStr">
        <is>
          <t>New South Wales</t>
        </is>
      </c>
      <c r="N487" s="2" t="inlineStr">
        <is>
          <t>Australia</t>
        </is>
      </c>
      <c r="P487" s="2" t="inlineStr">
        <is>
          <t>Operational Control</t>
        </is>
      </c>
      <c r="Q487" s="2" t="inlineStr">
        <is>
          <t>Operational Control</t>
        </is>
      </c>
      <c r="R487" s="2" t="inlineStr">
        <is>
          <t>Rail &amp; Transit Systems (RTS)</t>
        </is>
      </c>
      <c r="S487" s="2" t="inlineStr">
        <is>
          <t>Downer</t>
        </is>
      </c>
      <c r="T487" s="2" t="n">
        <v>100</v>
      </c>
      <c r="W487" s="2" t="inlineStr">
        <is>
          <t>Classification</t>
        </is>
      </c>
    </row>
    <row r="488">
      <c r="A488" s="2" t="inlineStr">
        <is>
          <t>Downer</t>
        </is>
      </c>
      <c r="B488" s="2" t="inlineStr">
        <is>
          <t>_CLOSED_REV_RTS Opportunities</t>
        </is>
      </c>
      <c r="C488" s="2" t="inlineStr">
        <is>
          <t>Other</t>
        </is>
      </c>
      <c r="D488" s="2" t="inlineStr">
        <is>
          <t>L9.J.710002</t>
        </is>
      </c>
      <c r="E488" s="2" t="inlineStr">
        <is>
          <t>L9.J.710002</t>
        </is>
      </c>
      <c r="M488" s="2" t="inlineStr">
        <is>
          <t>North Ryde</t>
        </is>
      </c>
      <c r="N488" s="2" t="inlineStr">
        <is>
          <t>Australia</t>
        </is>
      </c>
      <c r="P488" s="2" t="inlineStr">
        <is>
          <t>Operational Control</t>
        </is>
      </c>
      <c r="Q488" s="2" t="inlineStr">
        <is>
          <t>Operational Control</t>
        </is>
      </c>
      <c r="R488" s="2" t="inlineStr">
        <is>
          <t>Rail &amp; Transit Systems (RTS)</t>
        </is>
      </c>
      <c r="S488" s="2" t="inlineStr">
        <is>
          <t>Downer</t>
        </is>
      </c>
      <c r="T488" s="2" t="n">
        <v>100</v>
      </c>
      <c r="W488" s="2" t="inlineStr">
        <is>
          <t>Classification</t>
        </is>
      </c>
    </row>
    <row r="489">
      <c r="A489" s="2" t="inlineStr">
        <is>
          <t>Downer</t>
        </is>
      </c>
      <c r="B489" s="2" t="inlineStr">
        <is>
          <t>_CLOSED_REV_RTS QLD</t>
        </is>
      </c>
      <c r="C489" s="2" t="inlineStr">
        <is>
          <t>Branch</t>
        </is>
      </c>
      <c r="D489" s="2" t="inlineStr">
        <is>
          <t>L9.J.70920033</t>
        </is>
      </c>
      <c r="E489" s="2" t="inlineStr">
        <is>
          <t>RSS-Queensland</t>
        </is>
      </c>
      <c r="M489" s="2" t="inlineStr">
        <is>
          <t>Queensland</t>
        </is>
      </c>
      <c r="N489" s="2" t="inlineStr">
        <is>
          <t>Australia</t>
        </is>
      </c>
      <c r="P489" s="2" t="inlineStr">
        <is>
          <t>Operational Control</t>
        </is>
      </c>
      <c r="Q489" s="2" t="inlineStr">
        <is>
          <t>Operational Control</t>
        </is>
      </c>
      <c r="R489" s="2" t="inlineStr">
        <is>
          <t>Rail &amp; Transit Systems (RTS)</t>
        </is>
      </c>
      <c r="S489" s="2" t="inlineStr">
        <is>
          <t>Downer</t>
        </is>
      </c>
      <c r="T489" s="2" t="n">
        <v>100</v>
      </c>
      <c r="W489" s="2" t="inlineStr">
        <is>
          <t>Classification</t>
        </is>
      </c>
    </row>
    <row r="490">
      <c r="A490" s="2" t="inlineStr">
        <is>
          <t>Downer</t>
        </is>
      </c>
      <c r="B490" s="2" t="inlineStr">
        <is>
          <t>_CLOSED_REV_RTS VIC</t>
        </is>
      </c>
      <c r="C490" s="2" t="inlineStr">
        <is>
          <t>Branch</t>
        </is>
      </c>
      <c r="D490" s="2" t="inlineStr">
        <is>
          <t>L9.J.713002</t>
        </is>
      </c>
      <c r="E490" s="2" t="inlineStr">
        <is>
          <t>RSS-VIC</t>
        </is>
      </c>
      <c r="M490" s="2" t="inlineStr">
        <is>
          <t>Victoria</t>
        </is>
      </c>
      <c r="N490" s="2" t="inlineStr">
        <is>
          <t>Australia</t>
        </is>
      </c>
      <c r="P490" s="2" t="inlineStr">
        <is>
          <t>Operational Control</t>
        </is>
      </c>
      <c r="Q490" s="2" t="inlineStr">
        <is>
          <t>Operational Control</t>
        </is>
      </c>
      <c r="R490" s="2" t="inlineStr">
        <is>
          <t>Rail &amp; Transit Systems (RTS)</t>
        </is>
      </c>
      <c r="S490" s="2" t="inlineStr">
        <is>
          <t>Downer</t>
        </is>
      </c>
      <c r="T490" s="2" t="n">
        <v>100</v>
      </c>
      <c r="W490" s="2" t="inlineStr">
        <is>
          <t>Classification</t>
        </is>
      </c>
    </row>
    <row r="491">
      <c r="A491" s="2" t="inlineStr">
        <is>
          <t>Downer</t>
        </is>
      </c>
      <c r="B491" s="2" t="inlineStr">
        <is>
          <t>_CLOSED_REV_RTS WA</t>
        </is>
      </c>
      <c r="C491" s="2" t="inlineStr">
        <is>
          <t>Branch</t>
        </is>
      </c>
      <c r="D491" s="2" t="inlineStr">
        <is>
          <t>L9.J.709002</t>
        </is>
      </c>
      <c r="E491" s="2" t="inlineStr">
        <is>
          <t>RSS-WA</t>
        </is>
      </c>
      <c r="M491" s="2" t="inlineStr">
        <is>
          <t>Western Australia</t>
        </is>
      </c>
      <c r="N491" s="2" t="inlineStr">
        <is>
          <t>Australia</t>
        </is>
      </c>
      <c r="P491" s="2" t="inlineStr">
        <is>
          <t>Operational Control</t>
        </is>
      </c>
      <c r="Q491" s="2" t="inlineStr">
        <is>
          <t>Operational Control</t>
        </is>
      </c>
      <c r="R491" s="2" t="inlineStr">
        <is>
          <t>Rail &amp; Transit Systems (RTS)</t>
        </is>
      </c>
      <c r="S491" s="2" t="inlineStr">
        <is>
          <t>Downer</t>
        </is>
      </c>
      <c r="T491" s="2" t="n">
        <v>100</v>
      </c>
      <c r="W491" s="2" t="inlineStr">
        <is>
          <t>Classification</t>
        </is>
      </c>
    </row>
    <row r="492">
      <c r="A492" s="2" t="inlineStr">
        <is>
          <t>Downer</t>
        </is>
      </c>
      <c r="B492" s="2" t="inlineStr">
        <is>
          <t>_CLOSED_REV_SGTP</t>
        </is>
      </c>
      <c r="C492" s="2" t="inlineStr">
        <is>
          <t>Branch</t>
        </is>
      </c>
      <c r="D492" s="2" t="inlineStr">
        <is>
          <t>L9.J.70930030</t>
        </is>
      </c>
      <c r="E492" s="2" t="inlineStr">
        <is>
          <t>R63</t>
        </is>
      </c>
      <c r="M492" s="2" t="inlineStr">
        <is>
          <t>North Ryde</t>
        </is>
      </c>
      <c r="N492" s="2" t="inlineStr">
        <is>
          <t>Australia</t>
        </is>
      </c>
      <c r="P492" s="2" t="inlineStr">
        <is>
          <t>Operational Control</t>
        </is>
      </c>
      <c r="Q492" s="2" t="inlineStr">
        <is>
          <t>Operational Control</t>
        </is>
      </c>
      <c r="R492" s="2" t="inlineStr">
        <is>
          <t>Rail &amp; Transit Systems (RTS)</t>
        </is>
      </c>
      <c r="S492" s="2" t="inlineStr">
        <is>
          <t>Downer</t>
        </is>
      </c>
      <c r="T492" s="2" t="n">
        <v>100</v>
      </c>
      <c r="W492" s="2" t="inlineStr">
        <is>
          <t>Classification</t>
        </is>
      </c>
    </row>
    <row r="493">
      <c r="A493" s="2" t="inlineStr">
        <is>
          <t>Downer</t>
        </is>
      </c>
      <c r="B493" s="2" t="inlineStr">
        <is>
          <t>_CLOSED_REV_Signalling</t>
        </is>
      </c>
      <c r="C493" s="2" t="inlineStr">
        <is>
          <t>Branch</t>
        </is>
      </c>
      <c r="D493" s="2" t="inlineStr">
        <is>
          <t>L9.WAU.000602</t>
        </is>
      </c>
      <c r="E493" s="2" t="inlineStr">
        <is>
          <t>R12</t>
        </is>
      </c>
      <c r="M493" s="2" t="inlineStr">
        <is>
          <t>North Ryde</t>
        </is>
      </c>
      <c r="N493" s="2" t="inlineStr">
        <is>
          <t>Australia</t>
        </is>
      </c>
      <c r="P493" s="2" t="inlineStr">
        <is>
          <t>Operational Control</t>
        </is>
      </c>
      <c r="Q493" s="2" t="inlineStr">
        <is>
          <t>Operational Control</t>
        </is>
      </c>
      <c r="R493" s="2" t="inlineStr">
        <is>
          <t>DT Infrastructure (pre Sept 23 divestment)</t>
        </is>
      </c>
      <c r="S493" s="2" t="inlineStr">
        <is>
          <t>Downer</t>
        </is>
      </c>
      <c r="T493" s="2" t="n">
        <v>100</v>
      </c>
      <c r="V493" s="11" t="n">
        <v>45199</v>
      </c>
      <c r="W493" s="2" t="inlineStr">
        <is>
          <t>Classification</t>
        </is>
      </c>
    </row>
    <row r="494">
      <c r="A494" s="2" t="inlineStr">
        <is>
          <t>Downer</t>
        </is>
      </c>
      <c r="B494" s="2" t="inlineStr">
        <is>
          <t>_CLOSED_REV_South East Region</t>
        </is>
      </c>
      <c r="C494" s="2" t="inlineStr">
        <is>
          <t>Branch</t>
        </is>
      </c>
      <c r="D494" s="2" t="inlineStr">
        <is>
          <t>L9.J.20043032</t>
        </is>
      </c>
      <c r="E494" s="2" t="inlineStr">
        <is>
          <t>IP359-1</t>
        </is>
      </c>
      <c r="M494" s="2" t="inlineStr">
        <is>
          <t>New South Wales</t>
        </is>
      </c>
      <c r="N494" s="2" t="inlineStr">
        <is>
          <t>Australia</t>
        </is>
      </c>
      <c r="P494" s="2" t="inlineStr">
        <is>
          <t>Operational Control</t>
        </is>
      </c>
      <c r="Q494" s="2" t="inlineStr">
        <is>
          <t>Operational Control</t>
        </is>
      </c>
      <c r="R494" s="2" t="inlineStr">
        <is>
          <t>DT Infrastructure (pre Sept 23 divestment)</t>
        </is>
      </c>
      <c r="S494" s="2" t="inlineStr">
        <is>
          <t>Downer</t>
        </is>
      </c>
      <c r="T494" s="2" t="n">
        <v>100</v>
      </c>
      <c r="V494" s="11" t="n">
        <v>45199</v>
      </c>
      <c r="W494" s="2" t="inlineStr">
        <is>
          <t>Classification</t>
        </is>
      </c>
    </row>
    <row r="495">
      <c r="A495" s="2" t="inlineStr">
        <is>
          <t>Downer</t>
        </is>
      </c>
      <c r="B495" s="2" t="inlineStr">
        <is>
          <t>_CLOSED_REV_Tasmania Operations</t>
        </is>
      </c>
      <c r="C495" s="2" t="inlineStr">
        <is>
          <t>Branch</t>
        </is>
      </c>
      <c r="D495" s="2" t="inlineStr">
        <is>
          <t>L9.J.17030236</t>
        </is>
      </c>
      <c r="E495" s="2" t="inlineStr">
        <is>
          <t>RSV178</t>
        </is>
      </c>
      <c r="M495" s="2" t="inlineStr">
        <is>
          <t>Tasmania</t>
        </is>
      </c>
      <c r="N495" s="2" t="inlineStr">
        <is>
          <t>Australia</t>
        </is>
      </c>
      <c r="P495" s="2" t="inlineStr">
        <is>
          <t>Operational Control</t>
        </is>
      </c>
      <c r="Q495" s="2" t="inlineStr">
        <is>
          <t>Operational Control</t>
        </is>
      </c>
      <c r="R495" s="2" t="inlineStr">
        <is>
          <t>Transport &amp; Infrastructure (T&amp;I)</t>
        </is>
      </c>
      <c r="S495" s="2" t="inlineStr">
        <is>
          <t>Downer</t>
        </is>
      </c>
      <c r="T495" s="2" t="n">
        <v>100</v>
      </c>
      <c r="W495" s="2" t="inlineStr">
        <is>
          <t>Classification</t>
        </is>
      </c>
    </row>
    <row r="496">
      <c r="A496" s="2" t="inlineStr">
        <is>
          <t>Downer</t>
        </is>
      </c>
      <c r="B496" s="2" t="inlineStr">
        <is>
          <t>_CLOSED_REV_Technology &amp; Communication Services</t>
        </is>
      </c>
      <c r="C496" s="2" t="inlineStr">
        <is>
          <t>Branch</t>
        </is>
      </c>
      <c r="D496" s="2" t="inlineStr">
        <is>
          <t>L9.EMS.410.10334</t>
        </is>
      </c>
      <c r="E496" s="2" t="inlineStr">
        <is>
          <t>UTIL245</t>
        </is>
      </c>
      <c r="M496" s="2" t="inlineStr">
        <is>
          <t>New South Wales</t>
        </is>
      </c>
      <c r="N496" s="2" t="inlineStr">
        <is>
          <t>Australia</t>
        </is>
      </c>
      <c r="P496" s="2" t="inlineStr">
        <is>
          <t>Operational Control</t>
        </is>
      </c>
      <c r="Q496" s="2" t="inlineStr">
        <is>
          <t>Operational Control</t>
        </is>
      </c>
      <c r="R496" s="2" t="inlineStr">
        <is>
          <t>Energy and Utilities (EU)</t>
        </is>
      </c>
      <c r="S496" s="2" t="inlineStr">
        <is>
          <t>Downer</t>
        </is>
      </c>
      <c r="T496" s="2" t="n">
        <v>100</v>
      </c>
      <c r="W496" s="2" t="inlineStr">
        <is>
          <t>Classification</t>
        </is>
      </c>
    </row>
    <row r="497">
      <c r="A497" s="2" t="inlineStr">
        <is>
          <t>Downer</t>
        </is>
      </c>
      <c r="B497" s="2" t="inlineStr">
        <is>
          <t>_CLOSED_REV_Technology &amp; Communication Services Incl. MS</t>
        </is>
      </c>
      <c r="C497" s="2" t="inlineStr">
        <is>
          <t>Other</t>
        </is>
      </c>
      <c r="D497" s="2" t="inlineStr">
        <is>
          <t>L9.WAU.000907</t>
        </is>
      </c>
      <c r="E497" s="2" t="inlineStr">
        <is>
          <t>L9.WAU.000907</t>
        </is>
      </c>
      <c r="M497" s="2" t="inlineStr">
        <is>
          <t>North Ryde</t>
        </is>
      </c>
      <c r="N497" s="2" t="inlineStr">
        <is>
          <t>Australia</t>
        </is>
      </c>
      <c r="P497" s="2" t="inlineStr">
        <is>
          <t>Operational Control</t>
        </is>
      </c>
      <c r="Q497" s="2" t="inlineStr">
        <is>
          <t>Operational Control</t>
        </is>
      </c>
      <c r="R497" s="2" t="inlineStr">
        <is>
          <t>Energy and Utilities (EU)</t>
        </is>
      </c>
      <c r="S497" s="2" t="inlineStr">
        <is>
          <t>Downer</t>
        </is>
      </c>
      <c r="T497" s="2" t="n">
        <v>100</v>
      </c>
      <c r="W497" s="2" t="inlineStr">
        <is>
          <t>Classification</t>
        </is>
      </c>
    </row>
    <row r="498">
      <c r="A498" s="2" t="inlineStr">
        <is>
          <t>Downer</t>
        </is>
      </c>
      <c r="B498" s="2" t="inlineStr">
        <is>
          <t>_CLOSED_REV_Utilities Legacy &amp; Other</t>
        </is>
      </c>
      <c r="C498" s="2" t="inlineStr">
        <is>
          <t>Branch</t>
        </is>
      </c>
      <c r="D498" s="2" t="inlineStr">
        <is>
          <t>L9.J.230101</t>
        </is>
      </c>
      <c r="E498" s="2" t="inlineStr">
        <is>
          <t>ULO</t>
        </is>
      </c>
      <c r="F498" s="2" t="inlineStr">
        <is>
          <t>ULO</t>
        </is>
      </c>
      <c r="M498" s="2" t="inlineStr">
        <is>
          <t>Queensland</t>
        </is>
      </c>
      <c r="N498" s="2" t="inlineStr">
        <is>
          <t>Australia</t>
        </is>
      </c>
      <c r="P498" s="2" t="inlineStr">
        <is>
          <t>Operational Control</t>
        </is>
      </c>
      <c r="Q498" s="2" t="inlineStr">
        <is>
          <t>Operational Control</t>
        </is>
      </c>
      <c r="R498" s="2" t="inlineStr">
        <is>
          <t>Energy and Utilities (EU)</t>
        </is>
      </c>
      <c r="S498" s="2" t="inlineStr">
        <is>
          <t>Downer</t>
        </is>
      </c>
      <c r="T498" s="2" t="n">
        <v>100</v>
      </c>
      <c r="W498" s="2" t="inlineStr">
        <is>
          <t>Classification</t>
        </is>
      </c>
    </row>
    <row r="499">
      <c r="A499" s="2" t="inlineStr">
        <is>
          <t>Downer</t>
        </is>
      </c>
      <c r="B499" s="2" t="inlineStr">
        <is>
          <t>_CLOSED_REV_WA - Civil &amp; Rail</t>
        </is>
      </c>
      <c r="C499" s="2" t="inlineStr">
        <is>
          <t>Branch</t>
        </is>
      </c>
      <c r="D499" s="2" t="inlineStr">
        <is>
          <t>L9.WAU.000648</t>
        </is>
      </c>
      <c r="E499" s="2" t="inlineStr">
        <is>
          <t>WAC&amp;R</t>
        </is>
      </c>
      <c r="M499" s="2" t="inlineStr">
        <is>
          <t>Western Australia</t>
        </is>
      </c>
      <c r="N499" s="2" t="inlineStr">
        <is>
          <t>Australia</t>
        </is>
      </c>
      <c r="P499" s="2" t="inlineStr">
        <is>
          <t>Operational Control</t>
        </is>
      </c>
      <c r="Q499" s="2" t="inlineStr">
        <is>
          <t>Operational Control</t>
        </is>
      </c>
      <c r="R499" s="2" t="inlineStr">
        <is>
          <t>DT Infrastructure (pre Sept 23 divestment)</t>
        </is>
      </c>
      <c r="S499" s="2" t="inlineStr">
        <is>
          <t>Downer</t>
        </is>
      </c>
      <c r="T499" s="2" t="n">
        <v>100</v>
      </c>
      <c r="V499" s="11" t="n">
        <v>45199</v>
      </c>
      <c r="W499" s="2" t="inlineStr">
        <is>
          <t>Classification</t>
        </is>
      </c>
    </row>
    <row r="500">
      <c r="A500" s="2" t="inlineStr">
        <is>
          <t>Downer</t>
        </is>
      </c>
      <c r="B500" s="2" t="inlineStr">
        <is>
          <t>_CLOSED_REV_Water Services</t>
        </is>
      </c>
      <c r="C500" s="2" t="inlineStr">
        <is>
          <t>Branch</t>
        </is>
      </c>
      <c r="D500" s="2" t="inlineStr">
        <is>
          <t>L9.J.262101</t>
        </is>
      </c>
      <c r="E500" s="2" t="inlineStr">
        <is>
          <t>UTIL248</t>
        </is>
      </c>
      <c r="G500" s="2" t="inlineStr">
        <is>
          <t>In April 2023, Confluence Water revenue merged with Water Services Programs and Water Services Projects NSW/VIC to become Water Services. FY23 Revenue was reuploaded in Water Services.</t>
        </is>
      </c>
      <c r="M500" s="2" t="inlineStr">
        <is>
          <t>New South Wales</t>
        </is>
      </c>
      <c r="N500" s="2" t="inlineStr">
        <is>
          <t>Australia</t>
        </is>
      </c>
      <c r="P500" s="2" t="inlineStr">
        <is>
          <t>Operational Control</t>
        </is>
      </c>
      <c r="Q500" s="2" t="inlineStr">
        <is>
          <t>Operational Control</t>
        </is>
      </c>
      <c r="R500" s="2" t="inlineStr">
        <is>
          <t>Energy and Utilities (EU)</t>
        </is>
      </c>
      <c r="S500" s="2" t="inlineStr">
        <is>
          <t>Downer</t>
        </is>
      </c>
      <c r="T500" s="2" t="n">
        <v>100</v>
      </c>
      <c r="W500" s="2" t="inlineStr">
        <is>
          <t>Classification</t>
        </is>
      </c>
      <c r="AB500" s="11" t="n">
        <v>44742</v>
      </c>
    </row>
    <row r="501">
      <c r="A501" s="2" t="inlineStr">
        <is>
          <t>Downer</t>
        </is>
      </c>
      <c r="B501" s="2" t="inlineStr">
        <is>
          <t>_CLOSED_REV_Water Services Programs</t>
        </is>
      </c>
      <c r="C501" s="2" t="inlineStr">
        <is>
          <t>Branch</t>
        </is>
      </c>
      <c r="D501" s="2" t="inlineStr">
        <is>
          <t>L9.J.262101</t>
        </is>
      </c>
      <c r="E501" s="2" t="inlineStr">
        <is>
          <t>UTIL248</t>
        </is>
      </c>
      <c r="G501" s="2" t="inlineStr">
        <is>
          <t>In April 2023, Confluence Water revenue merged with Water Services Programs and Water Services Projects NSW/VIC to become Water Services. FY23 Revenue was reuploaded in Water Services.</t>
        </is>
      </c>
      <c r="M501" s="2" t="inlineStr">
        <is>
          <t>New South Wales</t>
        </is>
      </c>
      <c r="N501" s="2" t="inlineStr">
        <is>
          <t>Australia</t>
        </is>
      </c>
      <c r="P501" s="2" t="inlineStr">
        <is>
          <t>Operational Control</t>
        </is>
      </c>
      <c r="Q501" s="2" t="inlineStr">
        <is>
          <t>Operational Control</t>
        </is>
      </c>
      <c r="R501" s="2" t="inlineStr">
        <is>
          <t>Energy and Utilities (EU)</t>
        </is>
      </c>
      <c r="S501" s="2" t="inlineStr">
        <is>
          <t>Downer</t>
        </is>
      </c>
      <c r="T501" s="2" t="n">
        <v>100</v>
      </c>
      <c r="W501" s="2" t="inlineStr">
        <is>
          <t>Classification</t>
        </is>
      </c>
      <c r="AB501" s="11" t="n">
        <v>44742</v>
      </c>
    </row>
    <row r="502">
      <c r="A502" s="2" t="inlineStr">
        <is>
          <t>Downer</t>
        </is>
      </c>
      <c r="B502" s="2" t="inlineStr">
        <is>
          <t>_CLOSED_REV_Water Services Projects NSW/VIC</t>
        </is>
      </c>
      <c r="C502" s="2" t="inlineStr">
        <is>
          <t>Branch</t>
        </is>
      </c>
      <c r="D502" s="2" t="inlineStr">
        <is>
          <t>L9.J.241210</t>
        </is>
      </c>
      <c r="E502" s="2" t="inlineStr">
        <is>
          <t>UTIL248</t>
        </is>
      </c>
      <c r="G502" s="2" t="inlineStr">
        <is>
          <t>In April 2023, Confluence Water revenue merged with Water Services Programs and Water Services Projects NSW/VIC to become Water Services. FY23 Revenue was reuploaded in Water Services.</t>
        </is>
      </c>
      <c r="M502" s="2" t="inlineStr">
        <is>
          <t>New South Wales</t>
        </is>
      </c>
      <c r="N502" s="2" t="inlineStr">
        <is>
          <t>Australia</t>
        </is>
      </c>
      <c r="P502" s="2" t="inlineStr">
        <is>
          <t>Operational Control</t>
        </is>
      </c>
      <c r="Q502" s="2" t="inlineStr">
        <is>
          <t>Operational Control</t>
        </is>
      </c>
      <c r="R502" s="2" t="inlineStr">
        <is>
          <t>Energy and Utilities (EU)</t>
        </is>
      </c>
      <c r="S502" s="2" t="inlineStr">
        <is>
          <t>Downer</t>
        </is>
      </c>
      <c r="T502" s="2" t="n">
        <v>100</v>
      </c>
      <c r="W502" s="2" t="inlineStr">
        <is>
          <t>Classification</t>
        </is>
      </c>
      <c r="AB502" s="11" t="n">
        <v>45077</v>
      </c>
    </row>
    <row r="503">
      <c r="A503" s="2" t="inlineStr">
        <is>
          <t>Downer</t>
        </is>
      </c>
      <c r="B503" s="2" t="inlineStr">
        <is>
          <t>_CLOSED_REV_Water Services_OLD</t>
        </is>
      </c>
      <c r="C503" s="2" t="inlineStr">
        <is>
          <t>Branch</t>
        </is>
      </c>
      <c r="D503" s="2" t="inlineStr">
        <is>
          <t>L9.J.239101</t>
        </is>
      </c>
      <c r="E503" s="2" t="inlineStr">
        <is>
          <t>R17</t>
        </is>
      </c>
      <c r="M503" s="2" t="inlineStr">
        <is>
          <t>North Ryde</t>
        </is>
      </c>
      <c r="N503" s="2" t="inlineStr">
        <is>
          <t>Australia</t>
        </is>
      </c>
      <c r="P503" s="2" t="inlineStr">
        <is>
          <t>Operational Control</t>
        </is>
      </c>
      <c r="Q503" s="2" t="inlineStr">
        <is>
          <t>Operational Control</t>
        </is>
      </c>
      <c r="R503" s="2" t="inlineStr">
        <is>
          <t>Energy and Utilities (EU)</t>
        </is>
      </c>
      <c r="S503" s="2" t="inlineStr">
        <is>
          <t>Downer</t>
        </is>
      </c>
      <c r="T503" s="2" t="n">
        <v>100</v>
      </c>
      <c r="W503" s="2" t="inlineStr">
        <is>
          <t>Classification</t>
        </is>
      </c>
    </row>
    <row r="504">
      <c r="A504" s="2" t="inlineStr">
        <is>
          <t>Downer</t>
        </is>
      </c>
      <c r="B504" s="2" t="inlineStr">
        <is>
          <t>_CLOSED_REV_ZFS Functions</t>
        </is>
      </c>
      <c r="C504" s="2" t="inlineStr">
        <is>
          <t>Branch</t>
        </is>
      </c>
      <c r="D504" s="2" t="inlineStr">
        <is>
          <t>L9.ENG.570.57.570</t>
        </is>
      </c>
      <c r="E504" s="2" t="inlineStr">
        <is>
          <t>L9.ENG.570.57.570</t>
        </is>
      </c>
      <c r="M504" s="2" t="inlineStr">
        <is>
          <t>Sydney</t>
        </is>
      </c>
      <c r="N504" s="2" t="inlineStr">
        <is>
          <t>Australia</t>
        </is>
      </c>
      <c r="P504" s="2" t="inlineStr">
        <is>
          <t>Operational Control</t>
        </is>
      </c>
      <c r="Q504" s="2" t="inlineStr">
        <is>
          <t>Operational Control</t>
        </is>
      </c>
      <c r="R504" s="2" t="inlineStr">
        <is>
          <t>Joint Ventures</t>
        </is>
      </c>
      <c r="S504" s="2" t="inlineStr">
        <is>
          <t>Downer</t>
        </is>
      </c>
      <c r="T504" s="2" t="n">
        <v>100</v>
      </c>
      <c r="W504" s="2" t="inlineStr">
        <is>
          <t>Classification</t>
        </is>
      </c>
      <c r="AB504" s="11" t="n">
        <v>44742</v>
      </c>
    </row>
    <row r="505">
      <c r="A505" s="2" t="inlineStr">
        <is>
          <t>Downer</t>
        </is>
      </c>
      <c r="B505" s="2" t="inlineStr">
        <is>
          <t>_CLOSED_Roads Parramatta Office</t>
        </is>
      </c>
      <c r="C505" s="2" t="inlineStr">
        <is>
          <t>Office</t>
        </is>
      </c>
      <c r="D505" s="2" t="inlineStr">
        <is>
          <t>L9.J.17012296</t>
        </is>
      </c>
      <c r="E505" s="2" t="inlineStr">
        <is>
          <t>R999</t>
        </is>
      </c>
      <c r="M505" s="2" t="inlineStr">
        <is>
          <t>Parramatta</t>
        </is>
      </c>
      <c r="N505" s="2" t="inlineStr">
        <is>
          <t>Australia</t>
        </is>
      </c>
      <c r="P505" s="2" t="inlineStr">
        <is>
          <t>Operational Control</t>
        </is>
      </c>
      <c r="Q505" s="2" t="inlineStr">
        <is>
          <t>Operational Control</t>
        </is>
      </c>
      <c r="R505" s="2" t="inlineStr">
        <is>
          <t>Transport &amp; Infrastructure (T&amp;I)</t>
        </is>
      </c>
      <c r="S505" s="2" t="inlineStr">
        <is>
          <t>Downer</t>
        </is>
      </c>
      <c r="T505" s="2" t="n">
        <v>100</v>
      </c>
      <c r="W505" s="2" t="inlineStr">
        <is>
          <t>Classification</t>
        </is>
      </c>
      <c r="AB505" s="11" t="n">
        <v>44377</v>
      </c>
    </row>
    <row r="506">
      <c r="A506" s="2" t="inlineStr">
        <is>
          <t>Downer</t>
        </is>
      </c>
      <c r="B506" s="2" t="inlineStr">
        <is>
          <t>_CLOSED_RPQ NSW Kelso</t>
        </is>
      </c>
      <c r="C506" s="2" t="inlineStr">
        <is>
          <t>Depot</t>
        </is>
      </c>
      <c r="D506" s="2" t="inlineStr">
        <is>
          <t>L9.J.17011283</t>
        </is>
      </c>
      <c r="E506" s="2" t="inlineStr">
        <is>
          <t>L9.J.17011283</t>
        </is>
      </c>
      <c r="G506" s="2" t="inlineStr">
        <is>
          <t>This was previously a part of NSW Spray Seal until separate depots were split out.</t>
        </is>
      </c>
      <c r="H506" s="2" t="inlineStr">
        <is>
          <t>24 Lee St</t>
        </is>
      </c>
      <c r="I506" s="2" t="inlineStr">
        <is>
          <t>Kelso</t>
        </is>
      </c>
      <c r="J506" s="2" t="inlineStr">
        <is>
          <t>NSW</t>
        </is>
      </c>
      <c r="K506" s="2" t="n">
        <v>2795</v>
      </c>
      <c r="L506" s="2" t="inlineStr">
        <is>
          <t>Australia</t>
        </is>
      </c>
      <c r="M506" s="2" t="inlineStr">
        <is>
          <t>New South Wales</t>
        </is>
      </c>
      <c r="N506" s="2" t="inlineStr">
        <is>
          <t>Australia</t>
        </is>
      </c>
      <c r="P506" s="2" t="inlineStr">
        <is>
          <t>Operational Control</t>
        </is>
      </c>
      <c r="Q506" s="2" t="inlineStr">
        <is>
          <t>Operational Control</t>
        </is>
      </c>
      <c r="R506" s="2" t="inlineStr">
        <is>
          <t>Transport &amp; Infrastructure (T&amp;I)</t>
        </is>
      </c>
      <c r="S506" s="2" t="inlineStr">
        <is>
          <t>Downer</t>
        </is>
      </c>
      <c r="T506" s="2" t="n">
        <v>100</v>
      </c>
      <c r="W506" s="2" t="inlineStr">
        <is>
          <t>Classification</t>
        </is>
      </c>
      <c r="X506" s="2" t="n">
        <v>-29.717988</v>
      </c>
      <c r="Y506" s="2" t="n">
        <v>152.948332</v>
      </c>
      <c r="Z506" s="2" t="n">
        <v>310</v>
      </c>
      <c r="AB506" s="11" t="n">
        <v>45107</v>
      </c>
    </row>
    <row r="507">
      <c r="A507" s="2" t="inlineStr">
        <is>
          <t>Downer</t>
        </is>
      </c>
      <c r="B507" s="2" t="inlineStr">
        <is>
          <t>_CLOSED_SA Project EnergyConnect (PEC)</t>
        </is>
      </c>
      <c r="C507" s="2" t="inlineStr">
        <is>
          <t>Project</t>
        </is>
      </c>
      <c r="D507" s="2" t="inlineStr">
        <is>
          <t>L9.J.37120005</t>
        </is>
      </c>
      <c r="E507" s="2" t="inlineStr">
        <is>
          <t>SA PEC - L9.J.37740097</t>
        </is>
      </c>
      <c r="M507" s="2" t="inlineStr">
        <is>
          <t>South Australia</t>
        </is>
      </c>
      <c r="N507" s="2" t="inlineStr">
        <is>
          <t>Australia</t>
        </is>
      </c>
      <c r="P507" s="2" t="inlineStr">
        <is>
          <t>Operational Control</t>
        </is>
      </c>
      <c r="Q507" s="2" t="inlineStr">
        <is>
          <t>Operational Control</t>
        </is>
      </c>
      <c r="R507" s="2" t="inlineStr">
        <is>
          <t>Energy and Utilities (EU)</t>
        </is>
      </c>
      <c r="S507" s="2" t="inlineStr">
        <is>
          <t>Downer</t>
        </is>
      </c>
      <c r="T507" s="2" t="n">
        <v>100</v>
      </c>
      <c r="W507" s="2" t="inlineStr">
        <is>
          <t>Classification</t>
        </is>
      </c>
      <c r="AB507" s="11" t="n">
        <v>45657</v>
      </c>
    </row>
    <row r="508">
      <c r="A508" s="2" t="inlineStr">
        <is>
          <t>Downer</t>
        </is>
      </c>
      <c r="B508" s="2" t="inlineStr">
        <is>
          <t>_CLOSED_SA Rail Maintenance</t>
        </is>
      </c>
      <c r="C508" s="2" t="inlineStr">
        <is>
          <t>Depot</t>
        </is>
      </c>
      <c r="D508" s="2" t="inlineStr">
        <is>
          <t>L9.D.20144004</t>
        </is>
      </c>
      <c r="E508" s="2" t="inlineStr">
        <is>
          <t>L9.D.20144004</t>
        </is>
      </c>
      <c r="H508" s="2" t="inlineStr">
        <is>
          <t>115 Sherriff Street</t>
        </is>
      </c>
      <c r="I508" s="2" t="inlineStr">
        <is>
          <t>Underdale</t>
        </is>
      </c>
      <c r="J508" s="2" t="inlineStr">
        <is>
          <t>SA</t>
        </is>
      </c>
      <c r="K508" s="2" t="n">
        <v>5032</v>
      </c>
      <c r="L508" s="2" t="inlineStr">
        <is>
          <t>Australia</t>
        </is>
      </c>
      <c r="M508" s="2" t="inlineStr">
        <is>
          <t>Adelaide</t>
        </is>
      </c>
      <c r="N508" s="2" t="inlineStr">
        <is>
          <t>Australia</t>
        </is>
      </c>
      <c r="P508" s="2" t="inlineStr">
        <is>
          <t>Operational Control</t>
        </is>
      </c>
      <c r="Q508" s="2" t="inlineStr">
        <is>
          <t>Operational Control</t>
        </is>
      </c>
      <c r="R508" s="2" t="inlineStr">
        <is>
          <t>DT Infrastructure (pre Sept 23 divestment)</t>
        </is>
      </c>
      <c r="S508" s="2" t="inlineStr">
        <is>
          <t>Downer</t>
        </is>
      </c>
      <c r="T508" s="2" t="n">
        <v>100</v>
      </c>
      <c r="V508" s="11" t="n">
        <v>45199</v>
      </c>
      <c r="W508" s="2" t="inlineStr">
        <is>
          <t>Classification</t>
        </is>
      </c>
      <c r="X508" s="2" t="n">
        <v>-34.916</v>
      </c>
      <c r="Y508" s="2" t="n">
        <v>138.551</v>
      </c>
      <c r="Z508" s="2" t="n">
        <v>310</v>
      </c>
      <c r="AB508" s="11" t="n">
        <v>45016</v>
      </c>
    </row>
    <row r="509">
      <c r="A509" s="2" t="inlineStr">
        <is>
          <t>Downer</t>
        </is>
      </c>
      <c r="B509" s="2" t="inlineStr">
        <is>
          <t>_CLOSED_SF - Chichester</t>
        </is>
      </c>
      <c r="C509" s="2" t="inlineStr">
        <is>
          <t>Construction Site</t>
        </is>
      </c>
      <c r="D509" s="2" t="inlineStr">
        <is>
          <t>L9.J.37750007</t>
        </is>
      </c>
      <c r="E509" s="2" t="n">
        <v>74</v>
      </c>
      <c r="G509" s="2" t="inlineStr">
        <is>
          <t>Data for Chichester Solar Farm, substation and transmission line under this location.</t>
        </is>
      </c>
      <c r="M509" s="2" t="inlineStr">
        <is>
          <t>Western Australia</t>
        </is>
      </c>
      <c r="N509" s="2" t="inlineStr">
        <is>
          <t>Australia</t>
        </is>
      </c>
      <c r="P509" s="2" t="inlineStr">
        <is>
          <t>Operational Control</t>
        </is>
      </c>
      <c r="Q509" s="2" t="inlineStr">
        <is>
          <t>Operational Control</t>
        </is>
      </c>
      <c r="R509" s="2" t="inlineStr">
        <is>
          <t>Energy and Utilities (EU)</t>
        </is>
      </c>
      <c r="S509" s="2" t="inlineStr">
        <is>
          <t>Downer</t>
        </is>
      </c>
      <c r="T509" s="2" t="n">
        <v>100</v>
      </c>
      <c r="V509" s="11" t="n">
        <v>44377</v>
      </c>
      <c r="W509" s="2" t="inlineStr">
        <is>
          <t>Classification</t>
        </is>
      </c>
    </row>
    <row r="510">
      <c r="A510" s="2" t="inlineStr">
        <is>
          <t>Downer</t>
        </is>
      </c>
      <c r="B510" s="2" t="inlineStr">
        <is>
          <t>_CLOSED_SF - Sunshine Coast</t>
        </is>
      </c>
      <c r="C510" s="2" t="inlineStr">
        <is>
          <t>Construction Site</t>
        </is>
      </c>
      <c r="D510" s="2" t="inlineStr">
        <is>
          <t>L9.J.24130057</t>
        </is>
      </c>
      <c r="E510" s="2" t="inlineStr">
        <is>
          <t>L9.J.24130057</t>
        </is>
      </c>
      <c r="F510" s="2" t="n">
        <v>65</v>
      </c>
      <c r="H510" s="2" t="inlineStr">
        <is>
          <t>909 Yandina Coolum Road</t>
        </is>
      </c>
      <c r="I510" s="2" t="inlineStr">
        <is>
          <t>Valdora</t>
        </is>
      </c>
      <c r="J510" s="2" t="inlineStr">
        <is>
          <t>QLD</t>
        </is>
      </c>
      <c r="K510" s="2" t="n">
        <v>4561</v>
      </c>
      <c r="M510" s="2" t="inlineStr">
        <is>
          <t>Queensland</t>
        </is>
      </c>
      <c r="N510" s="2" t="inlineStr">
        <is>
          <t>Australia</t>
        </is>
      </c>
      <c r="P510" s="2" t="inlineStr">
        <is>
          <t>Operational Control</t>
        </is>
      </c>
      <c r="Q510" s="2" t="inlineStr">
        <is>
          <t>Operational Control</t>
        </is>
      </c>
      <c r="R510" s="2" t="inlineStr">
        <is>
          <t>Energy and Utilities (EU)</t>
        </is>
      </c>
      <c r="S510" s="2" t="inlineStr">
        <is>
          <t>Downer</t>
        </is>
      </c>
      <c r="T510" s="2" t="n">
        <v>100</v>
      </c>
      <c r="W510" s="2" t="inlineStr">
        <is>
          <t>Classification</t>
        </is>
      </c>
      <c r="X510" s="2" t="n">
        <v>-26.559283</v>
      </c>
      <c r="Y510" s="2" t="n">
        <v>153.028631</v>
      </c>
      <c r="Z510" s="2" t="n">
        <v>310</v>
      </c>
      <c r="AB510" s="11" t="n">
        <v>44903</v>
      </c>
    </row>
    <row r="511">
      <c r="A511" s="2" t="inlineStr">
        <is>
          <t>Downer</t>
        </is>
      </c>
      <c r="B511" s="2" t="inlineStr">
        <is>
          <t>_CLOSED_SFP JV</t>
        </is>
      </c>
      <c r="C511" s="2" t="inlineStr">
        <is>
          <t>Site</t>
        </is>
      </c>
      <c r="D511" s="2" t="inlineStr">
        <is>
          <t>L9.J.241209</t>
        </is>
      </c>
      <c r="E511" s="2" t="n">
        <v>7046</v>
      </c>
      <c r="G511" s="2" t="inlineStr">
        <is>
          <t>A JV between Downer, Stantec and Abergeldie where Downer is the Principal Contractor - closed this location in Envizi and opened up locations from each project.</t>
        </is>
      </c>
      <c r="M511" s="2" t="inlineStr">
        <is>
          <t>Victoria</t>
        </is>
      </c>
      <c r="N511" s="2" t="inlineStr">
        <is>
          <t>Australia</t>
        </is>
      </c>
      <c r="P511" s="2" t="inlineStr">
        <is>
          <t>Operational Control</t>
        </is>
      </c>
      <c r="Q511" s="2" t="inlineStr">
        <is>
          <t>Operational Control</t>
        </is>
      </c>
      <c r="R511" s="2" t="inlineStr">
        <is>
          <t>Energy and Utilities (EU)</t>
        </is>
      </c>
      <c r="S511" s="2" t="inlineStr">
        <is>
          <t>Downer</t>
        </is>
      </c>
      <c r="T511" s="2" t="n">
        <v>100</v>
      </c>
      <c r="W511" s="2" t="inlineStr">
        <is>
          <t>Classification</t>
        </is>
      </c>
      <c r="X511" s="2" t="n">
        <v>-37.810332</v>
      </c>
      <c r="Y511" s="2" t="n">
        <v>144.947217</v>
      </c>
      <c r="Z511" s="2" t="n">
        <v>310</v>
      </c>
      <c r="AB511" s="11" t="n">
        <v>44742</v>
      </c>
    </row>
    <row r="512">
      <c r="A512" s="2" t="inlineStr">
        <is>
          <t>Downer</t>
        </is>
      </c>
      <c r="B512" s="2" t="inlineStr">
        <is>
          <t>_CLOSED_SI-16004840 - Second Ponds School</t>
        </is>
      </c>
      <c r="C512" s="2" t="inlineStr">
        <is>
          <t>School</t>
        </is>
      </c>
      <c r="D512" s="2" t="inlineStr">
        <is>
          <t>L9.S.16004840</t>
        </is>
      </c>
      <c r="E512" s="2" t="n">
        <v>16004840</v>
      </c>
      <c r="M512" s="2" t="inlineStr">
        <is>
          <t>New South Wales</t>
        </is>
      </c>
      <c r="N512" s="2" t="inlineStr">
        <is>
          <t>Australia</t>
        </is>
      </c>
      <c r="P512" s="2" t="inlineStr">
        <is>
          <t>Operational Control</t>
        </is>
      </c>
      <c r="Q512" s="2" t="inlineStr">
        <is>
          <t>Operational Control</t>
        </is>
      </c>
      <c r="R512" s="2" t="inlineStr">
        <is>
          <t>Social Infra &amp; Citizen Serv (SICS)</t>
        </is>
      </c>
      <c r="S512" s="2" t="inlineStr">
        <is>
          <t>Downer</t>
        </is>
      </c>
      <c r="T512" s="2" t="n">
        <v>100</v>
      </c>
      <c r="W512" s="2" t="inlineStr">
        <is>
          <t>Classification</t>
        </is>
      </c>
      <c r="Z512" s="2" t="n">
        <v>731</v>
      </c>
    </row>
    <row r="513">
      <c r="A513" s="2" t="inlineStr">
        <is>
          <t>Downer</t>
        </is>
      </c>
      <c r="B513" s="2" t="inlineStr">
        <is>
          <t>_CLOSED_Silverwater</t>
        </is>
      </c>
      <c r="C513" s="2" t="inlineStr">
        <is>
          <t>Operations Center</t>
        </is>
      </c>
      <c r="D513" s="2" t="inlineStr">
        <is>
          <t>L9.J.170201</t>
        </is>
      </c>
      <c r="E513" s="2" t="n">
        <v>353</v>
      </c>
      <c r="G513" s="2" t="inlineStr">
        <is>
          <t>Facility replaced Gladesville.</t>
        </is>
      </c>
      <c r="H513" s="2" t="inlineStr">
        <is>
          <t>83 Egerton st</t>
        </is>
      </c>
      <c r="I513" s="2" t="inlineStr">
        <is>
          <t>Silverwater</t>
        </is>
      </c>
      <c r="J513" s="2" t="inlineStr">
        <is>
          <t>NSW</t>
        </is>
      </c>
      <c r="K513" s="2" t="n">
        <v>2128</v>
      </c>
      <c r="L513" s="2" t="inlineStr">
        <is>
          <t>Australia</t>
        </is>
      </c>
      <c r="M513" s="2" t="inlineStr">
        <is>
          <t>Lidcombe</t>
        </is>
      </c>
      <c r="N513" s="2" t="inlineStr">
        <is>
          <t>Australia</t>
        </is>
      </c>
      <c r="P513" s="2" t="inlineStr">
        <is>
          <t>Operational Control</t>
        </is>
      </c>
      <c r="Q513" s="2" t="inlineStr">
        <is>
          <t>Operational Control</t>
        </is>
      </c>
      <c r="R513" s="2" t="inlineStr">
        <is>
          <t>Transport &amp; Infrastructure (T&amp;I)</t>
        </is>
      </c>
      <c r="S513" s="2" t="inlineStr">
        <is>
          <t>Downer</t>
        </is>
      </c>
      <c r="T513" s="2" t="n">
        <v>100</v>
      </c>
      <c r="W513" s="2" t="inlineStr">
        <is>
          <t>Classification</t>
        </is>
      </c>
      <c r="X513" s="2" t="n">
        <v>-33.833519</v>
      </c>
      <c r="Y513" s="2" t="n">
        <v>151.043634</v>
      </c>
      <c r="Z513" s="2" t="n">
        <v>310</v>
      </c>
    </row>
    <row r="514">
      <c r="A514" s="2" t="inlineStr">
        <is>
          <t>Downer</t>
        </is>
      </c>
      <c r="B514" s="2" t="inlineStr">
        <is>
          <t>_CLOSED_Singapore</t>
        </is>
      </c>
      <c r="C514" s="2" t="inlineStr">
        <is>
          <t>Other</t>
        </is>
      </c>
      <c r="D514" s="2" t="inlineStr">
        <is>
          <t>L9.J.115</t>
        </is>
      </c>
      <c r="E514" s="2" t="n">
        <v>1001</v>
      </c>
      <c r="F514" s="2" t="n">
        <v>83</v>
      </c>
      <c r="G514" s="2" t="inlineStr">
        <is>
          <t>Moved to new office where electricity included in office rental.  No car from Jun-19</t>
        </is>
      </c>
      <c r="H514" s="2" t="inlineStr">
        <is>
          <t>11 Lorong 3 Toa Payoh, #03-16</t>
        </is>
      </c>
      <c r="J514" s="2" t="inlineStr">
        <is>
          <t>Singapore</t>
        </is>
      </c>
      <c r="L514" s="2" t="inlineStr">
        <is>
          <t>Singapore</t>
        </is>
      </c>
      <c r="M514" s="2" t="inlineStr">
        <is>
          <t>Singapore City</t>
        </is>
      </c>
      <c r="N514" s="2" t="inlineStr">
        <is>
          <t>Singapore</t>
        </is>
      </c>
      <c r="P514" s="2" t="inlineStr">
        <is>
          <t>Operational Control</t>
        </is>
      </c>
      <c r="Q514" s="2" t="inlineStr">
        <is>
          <t>Operational Control</t>
        </is>
      </c>
      <c r="R514" s="2" t="inlineStr">
        <is>
          <t>Corporate</t>
        </is>
      </c>
      <c r="S514" s="2" t="inlineStr">
        <is>
          <t>Downer</t>
        </is>
      </c>
      <c r="T514" s="2" t="n">
        <v>100</v>
      </c>
      <c r="W514" s="2" t="inlineStr">
        <is>
          <t>Classification</t>
        </is>
      </c>
      <c r="X514" s="2" t="n">
        <v>1.337395</v>
      </c>
      <c r="Y514" s="2" t="n">
        <v>103.848454</v>
      </c>
      <c r="Z514" s="2" t="n">
        <v>310</v>
      </c>
    </row>
    <row r="515">
      <c r="A515" s="2" t="inlineStr">
        <is>
          <t>Downer</t>
        </is>
      </c>
      <c r="B515" s="2" t="inlineStr">
        <is>
          <t>_CLOSED_Spotless - Melbourne (549 St Kilda Road)</t>
        </is>
      </c>
      <c r="C515" s="2" t="inlineStr">
        <is>
          <t>Office</t>
        </is>
      </c>
      <c r="D515" s="2" t="inlineStr">
        <is>
          <t>L9.WAU.000886</t>
        </is>
      </c>
      <c r="E515" s="2" t="inlineStr">
        <is>
          <t>L9.WAU.000886</t>
        </is>
      </c>
      <c r="M515" s="2" t="inlineStr">
        <is>
          <t>South Melbourne</t>
        </is>
      </c>
      <c r="N515" s="2" t="inlineStr">
        <is>
          <t>Australia</t>
        </is>
      </c>
      <c r="P515" s="2" t="inlineStr">
        <is>
          <t>Operational Control</t>
        </is>
      </c>
      <c r="Q515" s="2" t="inlineStr">
        <is>
          <t>Operational Control</t>
        </is>
      </c>
      <c r="R515" s="2" t="inlineStr">
        <is>
          <t>Corporate</t>
        </is>
      </c>
      <c r="S515" s="2" t="inlineStr">
        <is>
          <t>Downer</t>
        </is>
      </c>
      <c r="T515" s="2" t="n">
        <v>100</v>
      </c>
      <c r="W515" s="2" t="inlineStr">
        <is>
          <t>Classification</t>
        </is>
      </c>
      <c r="AB515" s="11" t="n">
        <v>44231</v>
      </c>
    </row>
    <row r="516">
      <c r="A516" s="2" t="inlineStr">
        <is>
          <t>Downer</t>
        </is>
      </c>
      <c r="B516" s="2" t="inlineStr">
        <is>
          <t>_CLOSED_Spotless - Mount Louisa</t>
        </is>
      </c>
      <c r="C516" s="2" t="inlineStr">
        <is>
          <t>Retail, Warehouse</t>
        </is>
      </c>
      <c r="D516" s="2" t="inlineStr">
        <is>
          <t>L9.J.10920060</t>
        </is>
      </c>
      <c r="E516" s="2" t="n">
        <v>9034</v>
      </c>
      <c r="G516" s="2" t="inlineStr">
        <is>
          <t>Moved to "AD&amp;S - Circuit Shaw Warehouse".</t>
        </is>
      </c>
      <c r="H516" s="2" t="inlineStr">
        <is>
          <t>Units 23&amp;24, 547-593 Woolcock Street</t>
        </is>
      </c>
      <c r="I516" s="2" t="inlineStr">
        <is>
          <t>Mt Louisa</t>
        </is>
      </c>
      <c r="J516" s="2" t="inlineStr">
        <is>
          <t>QLD</t>
        </is>
      </c>
      <c r="K516" s="2" t="n">
        <v>4814</v>
      </c>
      <c r="M516" s="2" t="inlineStr">
        <is>
          <t>Queensland</t>
        </is>
      </c>
      <c r="N516" s="2" t="inlineStr">
        <is>
          <t>Australia</t>
        </is>
      </c>
      <c r="P516" s="2" t="inlineStr">
        <is>
          <t>Operational Control</t>
        </is>
      </c>
      <c r="Q516" s="2" t="inlineStr">
        <is>
          <t>Operational Control</t>
        </is>
      </c>
      <c r="R516" s="2" t="inlineStr">
        <is>
          <t>Corporate</t>
        </is>
      </c>
      <c r="S516" s="2" t="inlineStr">
        <is>
          <t>Downer</t>
        </is>
      </c>
      <c r="T516" s="2" t="n">
        <v>100</v>
      </c>
      <c r="W516" s="2" t="inlineStr">
        <is>
          <t>Classification</t>
        </is>
      </c>
      <c r="X516" s="2" t="n">
        <v>-19.265533</v>
      </c>
      <c r="Y516" s="2" t="n">
        <v>146.74235</v>
      </c>
      <c r="Z516" s="2" t="n">
        <v>530</v>
      </c>
    </row>
    <row r="517">
      <c r="A517" s="2" t="inlineStr">
        <is>
          <t>Downer</t>
        </is>
      </c>
      <c r="B517" s="2" t="inlineStr">
        <is>
          <t xml:space="preserve">_CLOSED_Spotless Corporate - Offices (Gladesville </t>
        </is>
      </c>
      <c r="C517" s="2" t="inlineStr">
        <is>
          <t>Branch Office</t>
        </is>
      </c>
      <c r="D517" s="2" t="inlineStr">
        <is>
          <t>L9.S.11000740</t>
        </is>
      </c>
      <c r="E517" s="2" t="n">
        <v>9022</v>
      </c>
      <c r="G517" s="2" t="inlineStr">
        <is>
          <t>Please refer to the 'Gladesville' location for all active accounts</t>
        </is>
      </c>
      <c r="H517" s="2" t="inlineStr">
        <is>
          <t>Unit 2a 436-484 Victoria Rd</t>
        </is>
      </c>
      <c r="I517" s="2" t="inlineStr">
        <is>
          <t>Gladesville</t>
        </is>
      </c>
      <c r="J517" s="2" t="inlineStr">
        <is>
          <t>NSW</t>
        </is>
      </c>
      <c r="K517" s="2" t="n">
        <v>2111</v>
      </c>
      <c r="M517" s="2" t="inlineStr">
        <is>
          <t>New South Wales</t>
        </is>
      </c>
      <c r="N517" s="2" t="inlineStr">
        <is>
          <t>Australia</t>
        </is>
      </c>
      <c r="P517" s="2" t="inlineStr">
        <is>
          <t>Operational Control</t>
        </is>
      </c>
      <c r="Q517" s="2" t="inlineStr">
        <is>
          <t>Operational Control</t>
        </is>
      </c>
      <c r="R517" s="2" t="inlineStr">
        <is>
          <t>Corporate</t>
        </is>
      </c>
      <c r="S517" s="2" t="inlineStr">
        <is>
          <t>Downer</t>
        </is>
      </c>
      <c r="T517" s="2" t="n">
        <v>100</v>
      </c>
      <c r="W517" s="2" t="inlineStr">
        <is>
          <t>Classification</t>
        </is>
      </c>
      <c r="X517" s="2" t="n">
        <v>-33.823739</v>
      </c>
      <c r="Y517" s="2" t="n">
        <v>151.122894</v>
      </c>
      <c r="Z517" s="2" t="n">
        <v>729</v>
      </c>
      <c r="AB517" s="11" t="n">
        <v>41820</v>
      </c>
    </row>
    <row r="518">
      <c r="A518" s="2" t="inlineStr">
        <is>
          <t>Downer</t>
        </is>
      </c>
      <c r="B518" s="2" t="inlineStr">
        <is>
          <t>_CLOSED_St Marys - Gallipoli St</t>
        </is>
      </c>
      <c r="C518" s="2" t="inlineStr">
        <is>
          <t>Retail, Warehouse</t>
        </is>
      </c>
      <c r="D518" s="2" t="inlineStr">
        <is>
          <t>L9.S.3174.45002095</t>
        </is>
      </c>
      <c r="E518" s="2" t="n">
        <v>9035</v>
      </c>
      <c r="H518" s="2" t="inlineStr">
        <is>
          <t>13-15 Gallipoli St</t>
        </is>
      </c>
      <c r="I518" s="2" t="inlineStr">
        <is>
          <t>St Marys</t>
        </is>
      </c>
      <c r="J518" s="2" t="inlineStr">
        <is>
          <t>NSW</t>
        </is>
      </c>
      <c r="K518" s="2" t="n">
        <v>2760</v>
      </c>
      <c r="M518" s="2" t="inlineStr">
        <is>
          <t>Sydney</t>
        </is>
      </c>
      <c r="N518" s="2" t="inlineStr">
        <is>
          <t>Australia</t>
        </is>
      </c>
      <c r="P518" s="2" t="inlineStr">
        <is>
          <t>Operational Control</t>
        </is>
      </c>
      <c r="Q518" s="2" t="inlineStr">
        <is>
          <t>Operational Control</t>
        </is>
      </c>
      <c r="R518" s="2" t="inlineStr">
        <is>
          <t>Social Infra &amp; Citizen Serv (SICS)</t>
        </is>
      </c>
      <c r="S518" s="2" t="inlineStr">
        <is>
          <t>Downer</t>
        </is>
      </c>
      <c r="T518" s="2" t="n">
        <v>100</v>
      </c>
      <c r="W518" s="2" t="inlineStr">
        <is>
          <t>Classification</t>
        </is>
      </c>
      <c r="X518" s="2" t="n">
        <v>-33.781378</v>
      </c>
      <c r="Y518" s="2" t="n">
        <v>150.769378</v>
      </c>
      <c r="Z518" s="2" t="n">
        <v>530</v>
      </c>
      <c r="AB518" s="11" t="n">
        <v>45107</v>
      </c>
    </row>
    <row r="519">
      <c r="A519" s="2" t="inlineStr">
        <is>
          <t>Downer</t>
        </is>
      </c>
      <c r="B519" s="2" t="inlineStr">
        <is>
          <t>_CLOSED_Strathpine</t>
        </is>
      </c>
      <c r="C519" s="2" t="inlineStr">
        <is>
          <t>Asphalt Plant</t>
        </is>
      </c>
      <c r="D519" s="2" t="inlineStr">
        <is>
          <t>L9.J.17040614</t>
        </is>
      </c>
      <c r="E519" s="2" t="n">
        <v>276</v>
      </c>
      <c r="H519" s="2" t="inlineStr">
        <is>
          <t>121 Kremzow Road</t>
        </is>
      </c>
      <c r="I519" s="2" t="inlineStr">
        <is>
          <t>Strathpine</t>
        </is>
      </c>
      <c r="J519" s="2" t="inlineStr">
        <is>
          <t>QLD</t>
        </is>
      </c>
      <c r="K519" s="2" t="n">
        <v>4500</v>
      </c>
      <c r="L519" s="2" t="inlineStr">
        <is>
          <t>Australia</t>
        </is>
      </c>
      <c r="M519" s="2" t="inlineStr">
        <is>
          <t>Queensland</t>
        </is>
      </c>
      <c r="N519" s="2" t="inlineStr">
        <is>
          <t>Australia</t>
        </is>
      </c>
      <c r="P519" s="2" t="inlineStr">
        <is>
          <t>Operational Control</t>
        </is>
      </c>
      <c r="Q519" s="2" t="inlineStr">
        <is>
          <t>Operational Control</t>
        </is>
      </c>
      <c r="R519" s="2" t="inlineStr">
        <is>
          <t>Transport &amp; Infrastructure (T&amp;I)</t>
        </is>
      </c>
      <c r="S519" s="2" t="inlineStr">
        <is>
          <t>Downer</t>
        </is>
      </c>
      <c r="T519" s="2" t="n">
        <v>100</v>
      </c>
      <c r="W519" s="2" t="inlineStr">
        <is>
          <t>Classification</t>
        </is>
      </c>
      <c r="X519" s="2" t="n">
        <v>-27.315</v>
      </c>
      <c r="Y519" s="2" t="n">
        <v>152.994</v>
      </c>
      <c r="Z519" s="2" t="n">
        <v>170</v>
      </c>
      <c r="AB519" s="11" t="n">
        <v>44377</v>
      </c>
    </row>
    <row r="520">
      <c r="A520" s="2" t="inlineStr">
        <is>
          <t>Downer</t>
        </is>
      </c>
      <c r="B520" s="2" t="inlineStr">
        <is>
          <t>_CLOSED_Subcontractors - AU - Energy Networks</t>
        </is>
      </c>
      <c r="C520" s="2" t="inlineStr">
        <is>
          <t>Other</t>
        </is>
      </c>
      <c r="D520" s="2" t="inlineStr">
        <is>
          <t>L9.J.229</t>
        </is>
      </c>
      <c r="E520" s="2" t="inlineStr">
        <is>
          <t>L9.J.229</t>
        </is>
      </c>
      <c r="M520" s="2" t="inlineStr">
        <is>
          <t>New South Wales</t>
        </is>
      </c>
      <c r="N520" s="2" t="inlineStr">
        <is>
          <t>Australia</t>
        </is>
      </c>
      <c r="P520" s="2" t="inlineStr">
        <is>
          <t>Operational Control</t>
        </is>
      </c>
      <c r="Q520" s="2" t="inlineStr">
        <is>
          <t>Operational Control</t>
        </is>
      </c>
      <c r="R520" s="2" t="inlineStr">
        <is>
          <t>Energy and Utilities (EU)</t>
        </is>
      </c>
      <c r="S520" s="2" t="inlineStr">
        <is>
          <t>Downer</t>
        </is>
      </c>
      <c r="T520" s="2" t="n">
        <v>100</v>
      </c>
      <c r="W520" s="2" t="inlineStr">
        <is>
          <t>Classification</t>
        </is>
      </c>
      <c r="AB520" s="11" t="n">
        <v>45473</v>
      </c>
    </row>
    <row r="521">
      <c r="A521" s="2" t="inlineStr">
        <is>
          <t>Downer</t>
        </is>
      </c>
      <c r="B521" s="2" t="inlineStr">
        <is>
          <t>_CLOSED_Subcontractors - AU - Power Projects</t>
        </is>
      </c>
      <c r="C521" s="2" t="inlineStr">
        <is>
          <t>Other</t>
        </is>
      </c>
      <c r="D521" s="2" t="inlineStr">
        <is>
          <t>L9.J.37220002</t>
        </is>
      </c>
      <c r="E521" s="2" t="inlineStr">
        <is>
          <t>L9.J.37220002</t>
        </is>
      </c>
      <c r="F521" s="2" t="inlineStr">
        <is>
          <t>Australian Subcontractors Power Projects</t>
        </is>
      </c>
      <c r="M521" s="2" t="inlineStr">
        <is>
          <t>New South Wales</t>
        </is>
      </c>
      <c r="N521" s="2" t="inlineStr">
        <is>
          <t>Australia</t>
        </is>
      </c>
      <c r="P521" s="2" t="inlineStr">
        <is>
          <t>Operational Control</t>
        </is>
      </c>
      <c r="Q521" s="2" t="inlineStr">
        <is>
          <t>Operational Control</t>
        </is>
      </c>
      <c r="R521" s="2" t="inlineStr">
        <is>
          <t>Energy and Utilities (EU)</t>
        </is>
      </c>
      <c r="S521" s="2" t="inlineStr">
        <is>
          <t>Downer</t>
        </is>
      </c>
      <c r="T521" s="2" t="n">
        <v>100</v>
      </c>
      <c r="W521" s="2" t="inlineStr">
        <is>
          <t>Classification</t>
        </is>
      </c>
      <c r="AB521" s="11" t="n">
        <v>45473</v>
      </c>
    </row>
    <row r="522">
      <c r="A522" s="2" t="inlineStr">
        <is>
          <t>Downer</t>
        </is>
      </c>
      <c r="B522" s="2" t="inlineStr">
        <is>
          <t>_CLOSED_Subcontractors - AU - Telco</t>
        </is>
      </c>
      <c r="C522" s="2" t="inlineStr">
        <is>
          <t>Other</t>
        </is>
      </c>
      <c r="D522" s="2" t="inlineStr">
        <is>
          <t>L9.J.23440176</t>
        </is>
      </c>
      <c r="E522" s="2" t="inlineStr">
        <is>
          <t>L9.J.23440176</t>
        </is>
      </c>
      <c r="M522" s="2" t="inlineStr">
        <is>
          <t>New South Wales</t>
        </is>
      </c>
      <c r="N522" s="2" t="inlineStr">
        <is>
          <t>Australia</t>
        </is>
      </c>
      <c r="P522" s="2" t="inlineStr">
        <is>
          <t>Operational Control</t>
        </is>
      </c>
      <c r="Q522" s="2" t="inlineStr">
        <is>
          <t>Operational Control</t>
        </is>
      </c>
      <c r="R522" s="2" t="inlineStr">
        <is>
          <t>Energy and Utilities (EU)</t>
        </is>
      </c>
      <c r="S522" s="2" t="inlineStr">
        <is>
          <t>Downer</t>
        </is>
      </c>
      <c r="T522" s="2" t="n">
        <v>100</v>
      </c>
      <c r="W522" s="2" t="inlineStr">
        <is>
          <t>Classification</t>
        </is>
      </c>
      <c r="AB522" s="11" t="n">
        <v>45473</v>
      </c>
    </row>
    <row r="523">
      <c r="A523" s="2" t="inlineStr">
        <is>
          <t>Downer</t>
        </is>
      </c>
      <c r="B523" s="2" t="inlineStr">
        <is>
          <t>_CLOSED_Subcontractors - AU - Water Services</t>
        </is>
      </c>
      <c r="C523" s="2" t="inlineStr">
        <is>
          <t>Other</t>
        </is>
      </c>
      <c r="D523" s="2" t="inlineStr">
        <is>
          <t>L9.J.24160191</t>
        </is>
      </c>
      <c r="E523" s="2" t="inlineStr">
        <is>
          <t>L9.J.24160191</t>
        </is>
      </c>
      <c r="M523" s="2" t="inlineStr">
        <is>
          <t>New South Wales</t>
        </is>
      </c>
      <c r="N523" s="2" t="inlineStr">
        <is>
          <t>Australia</t>
        </is>
      </c>
      <c r="P523" s="2" t="inlineStr">
        <is>
          <t>Operational Control</t>
        </is>
      </c>
      <c r="Q523" s="2" t="inlineStr">
        <is>
          <t>Operational Control</t>
        </is>
      </c>
      <c r="R523" s="2" t="inlineStr">
        <is>
          <t>Energy and Utilities (EU)</t>
        </is>
      </c>
      <c r="S523" s="2" t="inlineStr">
        <is>
          <t>Downer</t>
        </is>
      </c>
      <c r="T523" s="2" t="n">
        <v>100</v>
      </c>
      <c r="W523" s="2" t="inlineStr">
        <is>
          <t>Classification</t>
        </is>
      </c>
      <c r="AB523" s="11" t="n">
        <v>45473</v>
      </c>
    </row>
    <row r="524">
      <c r="A524" s="2" t="inlineStr">
        <is>
          <t>Downer</t>
        </is>
      </c>
      <c r="B524" s="2" t="inlineStr">
        <is>
          <t>_CLOSED_Subcontractors - NZ - Energy Networks</t>
        </is>
      </c>
      <c r="C524" s="2" t="inlineStr">
        <is>
          <t>Other</t>
        </is>
      </c>
      <c r="D524" s="2" t="inlineStr">
        <is>
          <t>L9.DNZJ.1551</t>
        </is>
      </c>
      <c r="E524" s="2" t="inlineStr">
        <is>
          <t>L9.DNZJ.1551</t>
        </is>
      </c>
      <c r="M524" s="2" t="inlineStr">
        <is>
          <t>Auckland</t>
        </is>
      </c>
      <c r="N524" s="2" t="inlineStr">
        <is>
          <t>New Zealand</t>
        </is>
      </c>
      <c r="P524" s="2" t="inlineStr">
        <is>
          <t>Operational Control</t>
        </is>
      </c>
      <c r="Q524" s="2" t="inlineStr">
        <is>
          <t>Operational Control</t>
        </is>
      </c>
      <c r="R524" s="2" t="inlineStr">
        <is>
          <t>Energy and Utilities (EU)</t>
        </is>
      </c>
      <c r="S524" s="2" t="inlineStr">
        <is>
          <t>Downer</t>
        </is>
      </c>
      <c r="T524" s="2" t="n">
        <v>100</v>
      </c>
      <c r="W524" s="2" t="inlineStr">
        <is>
          <t>Classification</t>
        </is>
      </c>
      <c r="AB524" s="11" t="n">
        <v>45473</v>
      </c>
    </row>
    <row r="525">
      <c r="A525" s="2" t="inlineStr">
        <is>
          <t>Downer</t>
        </is>
      </c>
      <c r="B525" s="2" t="inlineStr">
        <is>
          <t>_CLOSED_Subcontractors - NZ - Telco</t>
        </is>
      </c>
      <c r="C525" s="2" t="inlineStr">
        <is>
          <t>Other</t>
        </is>
      </c>
      <c r="D525" s="2" t="inlineStr">
        <is>
          <t>L9.DNZ.810.10.035</t>
        </is>
      </c>
      <c r="E525" s="2" t="inlineStr">
        <is>
          <t>L9.DNZ.810.10.035</t>
        </is>
      </c>
      <c r="M525" s="2" t="inlineStr">
        <is>
          <t>Auckland</t>
        </is>
      </c>
      <c r="N525" s="2" t="inlineStr">
        <is>
          <t>New Zealand</t>
        </is>
      </c>
      <c r="P525" s="2" t="inlineStr">
        <is>
          <t>Operational Control</t>
        </is>
      </c>
      <c r="Q525" s="2" t="inlineStr">
        <is>
          <t>Operational Control</t>
        </is>
      </c>
      <c r="R525" s="2" t="inlineStr">
        <is>
          <t>Energy and Utilities (EU)</t>
        </is>
      </c>
      <c r="S525" s="2" t="inlineStr">
        <is>
          <t>Downer</t>
        </is>
      </c>
      <c r="T525" s="2" t="n">
        <v>100</v>
      </c>
      <c r="W525" s="2" t="inlineStr">
        <is>
          <t>Classification</t>
        </is>
      </c>
      <c r="AB525" s="11" t="n">
        <v>45473</v>
      </c>
    </row>
    <row r="526">
      <c r="A526" s="2" t="inlineStr">
        <is>
          <t>Downer</t>
        </is>
      </c>
      <c r="B526" s="2" t="inlineStr">
        <is>
          <t>_CLOSED_Subcontractors - NZ - Water Services</t>
        </is>
      </c>
      <c r="C526" s="2" t="inlineStr">
        <is>
          <t>Other</t>
        </is>
      </c>
      <c r="D526" s="2" t="inlineStr">
        <is>
          <t>L9.DNZJ.56150</t>
        </is>
      </c>
      <c r="E526" s="2" t="inlineStr">
        <is>
          <t>L9.DNZJ.56150</t>
        </is>
      </c>
      <c r="M526" s="2" t="inlineStr">
        <is>
          <t>Auckland</t>
        </is>
      </c>
      <c r="N526" s="2" t="inlineStr">
        <is>
          <t>New Zealand</t>
        </is>
      </c>
      <c r="P526" s="2" t="inlineStr">
        <is>
          <t>Operational Control</t>
        </is>
      </c>
      <c r="Q526" s="2" t="inlineStr">
        <is>
          <t>Operational Control</t>
        </is>
      </c>
      <c r="R526" s="2" t="inlineStr">
        <is>
          <t>Energy and Utilities (EU)</t>
        </is>
      </c>
      <c r="S526" s="2" t="inlineStr">
        <is>
          <t>Downer</t>
        </is>
      </c>
      <c r="T526" s="2" t="n">
        <v>100</v>
      </c>
      <c r="W526" s="2" t="inlineStr">
        <is>
          <t>Classification</t>
        </is>
      </c>
      <c r="AB526" s="11" t="n">
        <v>45473</v>
      </c>
    </row>
    <row r="527">
      <c r="A527" s="2" t="inlineStr">
        <is>
          <t>Downer</t>
        </is>
      </c>
      <c r="B527" s="2" t="inlineStr">
        <is>
          <t>_CLOSED_Support_Corp_Comms</t>
        </is>
      </c>
      <c r="C527" s="2" t="inlineStr">
        <is>
          <t>Other</t>
        </is>
      </c>
      <c r="D527" s="2" t="inlineStr">
        <is>
          <t>L9.DNZJ.9032</t>
        </is>
      </c>
      <c r="E527" s="2" t="n">
        <v>5007</v>
      </c>
      <c r="G527" s="2" t="inlineStr">
        <is>
          <t>Corporate Central Support Services / Shared Services - New facilities established for more granular reporting and to reflect new structure for FY17. See facility named "NZ-Central Services (IT/NSC)" for historical data.</t>
        </is>
      </c>
      <c r="H527" s="2" t="inlineStr">
        <is>
          <t>130 Kerrs Rd</t>
        </is>
      </c>
      <c r="I527" s="2" t="inlineStr">
        <is>
          <t>Wiri</t>
        </is>
      </c>
      <c r="J527" s="2" t="inlineStr">
        <is>
          <t>Auckland</t>
        </is>
      </c>
      <c r="K527" s="2" t="n">
        <v>2104</v>
      </c>
      <c r="L527" s="2" t="inlineStr">
        <is>
          <t>New Zealand</t>
        </is>
      </c>
      <c r="M527" s="2" t="inlineStr">
        <is>
          <t>Manurewa</t>
        </is>
      </c>
      <c r="N527" s="2" t="inlineStr">
        <is>
          <t>New Zealand</t>
        </is>
      </c>
      <c r="P527" s="2" t="inlineStr">
        <is>
          <t>Operational Control</t>
        </is>
      </c>
      <c r="Q527" s="2" t="inlineStr">
        <is>
          <t>Operational Control</t>
        </is>
      </c>
      <c r="R527" s="2" t="inlineStr">
        <is>
          <t>Corporate</t>
        </is>
      </c>
      <c r="S527" s="2" t="inlineStr">
        <is>
          <t>Downer</t>
        </is>
      </c>
      <c r="T527" s="2" t="n">
        <v>100</v>
      </c>
      <c r="W527" s="2" t="inlineStr">
        <is>
          <t>Classification</t>
        </is>
      </c>
      <c r="X527" s="2" t="n">
        <v>-37.008338</v>
      </c>
      <c r="Y527" s="2" t="n">
        <v>174.870574</v>
      </c>
      <c r="Z527" s="2" t="n">
        <v>729</v>
      </c>
      <c r="AA527" s="11" t="n">
        <v>42917</v>
      </c>
    </row>
    <row r="528">
      <c r="A528" s="2" t="inlineStr">
        <is>
          <t>Downer</t>
        </is>
      </c>
      <c r="B528" s="2" t="inlineStr">
        <is>
          <t>_CLOSED_Support_Corp_HR Ops</t>
        </is>
      </c>
      <c r="C528" s="2" t="inlineStr">
        <is>
          <t>Other</t>
        </is>
      </c>
      <c r="D528" s="2" t="inlineStr">
        <is>
          <t>L9.DNZJ.9033</t>
        </is>
      </c>
      <c r="E528" s="2" t="n">
        <v>5008</v>
      </c>
      <c r="G528" s="2" t="inlineStr">
        <is>
          <t>Corporate Central Support Services / Shared Services - New facilities established for more granular reporting and to reflect new structure for FY17. See facility named "NZ-Central Services (IT/NSC)" for historical data.</t>
        </is>
      </c>
      <c r="H528" s="2" t="inlineStr">
        <is>
          <t>130 Kerrs Rd</t>
        </is>
      </c>
      <c r="I528" s="2" t="inlineStr">
        <is>
          <t>Wiri</t>
        </is>
      </c>
      <c r="J528" s="2" t="inlineStr">
        <is>
          <t>Auckland</t>
        </is>
      </c>
      <c r="K528" s="2" t="n">
        <v>110</v>
      </c>
      <c r="L528" s="2" t="inlineStr">
        <is>
          <t>New Zealand</t>
        </is>
      </c>
      <c r="M528" s="2" t="inlineStr">
        <is>
          <t>Manurewa</t>
        </is>
      </c>
      <c r="N528" s="2" t="inlineStr">
        <is>
          <t>New Zealand</t>
        </is>
      </c>
      <c r="P528" s="2" t="inlineStr">
        <is>
          <t>Operational Control</t>
        </is>
      </c>
      <c r="Q528" s="2" t="inlineStr">
        <is>
          <t>Operational Control</t>
        </is>
      </c>
      <c r="R528" s="2" t="inlineStr">
        <is>
          <t>Corporate</t>
        </is>
      </c>
      <c r="S528" s="2" t="inlineStr">
        <is>
          <t>Downer</t>
        </is>
      </c>
      <c r="T528" s="2" t="n">
        <v>100</v>
      </c>
      <c r="W528" s="2" t="inlineStr">
        <is>
          <t>Classification</t>
        </is>
      </c>
      <c r="X528" s="2" t="n">
        <v>-37.008338</v>
      </c>
      <c r="Y528" s="2" t="n">
        <v>174.870574</v>
      </c>
      <c r="Z528" s="2" t="n">
        <v>729</v>
      </c>
      <c r="AA528" s="11" t="n">
        <v>42917</v>
      </c>
    </row>
    <row r="529">
      <c r="A529" s="2" t="inlineStr">
        <is>
          <t>Downer</t>
        </is>
      </c>
      <c r="B529" s="2" t="inlineStr">
        <is>
          <t>_CLOSED_Support_Corp_HSE</t>
        </is>
      </c>
      <c r="C529" s="2" t="inlineStr">
        <is>
          <t>Other</t>
        </is>
      </c>
      <c r="D529" s="2" t="inlineStr">
        <is>
          <t>L9.DNZJ.9025</t>
        </is>
      </c>
      <c r="E529" s="2" t="n">
        <v>5001</v>
      </c>
      <c r="G529" s="2" t="inlineStr">
        <is>
          <t>Corporate Central Support Services / Shared Services - New facilities established for more granular reporting and to reflect new structure for FY17. See facility named "NZ-Central Services (IT/NSC)" for historical data.</t>
        </is>
      </c>
      <c r="H529" s="2" t="inlineStr">
        <is>
          <t>130 Kerrs Rd</t>
        </is>
      </c>
      <c r="I529" s="2" t="inlineStr">
        <is>
          <t>Wiri</t>
        </is>
      </c>
      <c r="J529" s="2" t="inlineStr">
        <is>
          <t>Auckland</t>
        </is>
      </c>
      <c r="K529" s="2" t="n">
        <v>2104</v>
      </c>
      <c r="L529" s="2" t="inlineStr">
        <is>
          <t>New Zealand</t>
        </is>
      </c>
      <c r="M529" s="2" t="inlineStr">
        <is>
          <t>Manurewa</t>
        </is>
      </c>
      <c r="N529" s="2" t="inlineStr">
        <is>
          <t>New Zealand</t>
        </is>
      </c>
      <c r="P529" s="2" t="inlineStr">
        <is>
          <t>Operational Control</t>
        </is>
      </c>
      <c r="Q529" s="2" t="inlineStr">
        <is>
          <t>Operational Control</t>
        </is>
      </c>
      <c r="R529" s="2" t="inlineStr">
        <is>
          <t>Corporate</t>
        </is>
      </c>
      <c r="S529" s="2" t="inlineStr">
        <is>
          <t>Downer</t>
        </is>
      </c>
      <c r="T529" s="2" t="n">
        <v>100</v>
      </c>
      <c r="W529" s="2" t="inlineStr">
        <is>
          <t>Classification</t>
        </is>
      </c>
      <c r="X529" s="2" t="n">
        <v>-37.008338</v>
      </c>
      <c r="Y529" s="2" t="n">
        <v>174.870574</v>
      </c>
      <c r="Z529" s="2" t="n">
        <v>729</v>
      </c>
      <c r="AA529" s="11" t="n">
        <v>42917</v>
      </c>
    </row>
    <row r="530">
      <c r="A530" s="2" t="inlineStr">
        <is>
          <t>Downer</t>
        </is>
      </c>
      <c r="B530" s="2" t="inlineStr">
        <is>
          <t>_CLOSED_Support_Corp_Property</t>
        </is>
      </c>
      <c r="C530" s="2" t="inlineStr">
        <is>
          <t>Other</t>
        </is>
      </c>
      <c r="D530" s="2" t="inlineStr">
        <is>
          <t>L9.DNZJ.91145</t>
        </is>
      </c>
      <c r="E530" s="2" t="inlineStr">
        <is>
          <t>L9.DNZJ.9030</t>
        </is>
      </c>
      <c r="F530" s="2" t="inlineStr">
        <is>
          <t>L9.DNZJ.9030</t>
        </is>
      </c>
      <c r="G530" s="2" t="inlineStr">
        <is>
          <t>Corporate Central Support Services / Shared Services - New facilities established for more granular reporting and to reflect new structure for FY17. See facility named "NZ-Central Services (IT/NSC)" for historical data.</t>
        </is>
      </c>
      <c r="H530" s="2" t="inlineStr">
        <is>
          <t>130 Kerrs Rd</t>
        </is>
      </c>
      <c r="I530" s="2" t="inlineStr">
        <is>
          <t>Wiri</t>
        </is>
      </c>
      <c r="J530" s="2" t="inlineStr">
        <is>
          <t>Auckland</t>
        </is>
      </c>
      <c r="K530" s="2" t="n">
        <v>1061</v>
      </c>
      <c r="L530" s="2" t="inlineStr">
        <is>
          <t>New Zealand</t>
        </is>
      </c>
      <c r="M530" s="2" t="inlineStr">
        <is>
          <t>Manurewa</t>
        </is>
      </c>
      <c r="N530" s="2" t="inlineStr">
        <is>
          <t>New Zealand</t>
        </is>
      </c>
      <c r="P530" s="2" t="inlineStr">
        <is>
          <t>Operational Control</t>
        </is>
      </c>
      <c r="Q530" s="2" t="inlineStr">
        <is>
          <t>Operational Control</t>
        </is>
      </c>
      <c r="R530" s="2" t="inlineStr">
        <is>
          <t>Corporate</t>
        </is>
      </c>
      <c r="S530" s="2" t="inlineStr">
        <is>
          <t>Downer</t>
        </is>
      </c>
      <c r="T530" s="2" t="n">
        <v>100</v>
      </c>
      <c r="W530" s="2" t="inlineStr">
        <is>
          <t>Classification</t>
        </is>
      </c>
      <c r="X530" s="2" t="n">
        <v>-37.008338</v>
      </c>
      <c r="Y530" s="2" t="n">
        <v>174.870574</v>
      </c>
      <c r="Z530" s="2" t="n">
        <v>729</v>
      </c>
      <c r="AA530" s="11" t="n">
        <v>42917</v>
      </c>
    </row>
    <row r="531">
      <c r="A531" s="2" t="inlineStr">
        <is>
          <t>Downer</t>
        </is>
      </c>
      <c r="B531" s="2" t="inlineStr">
        <is>
          <t>_CLOSED_Support_F_Corporate</t>
        </is>
      </c>
      <c r="C531" s="2" t="inlineStr">
        <is>
          <t>Office</t>
        </is>
      </c>
      <c r="D531" s="2" t="inlineStr">
        <is>
          <t>L9.DNZJ.65000</t>
        </is>
      </c>
      <c r="E531" s="2" t="n">
        <v>5293</v>
      </c>
      <c r="G531" s="2" t="inlineStr">
        <is>
          <t>Support services for the Health branch of Hospitality and Soft Services - provides catering, cleaning services to various clients across NZ (hospitals)</t>
        </is>
      </c>
      <c r="M531" s="2" t="inlineStr">
        <is>
          <t>Auckland City</t>
        </is>
      </c>
      <c r="N531" s="2" t="inlineStr">
        <is>
          <t>New Zealand</t>
        </is>
      </c>
      <c r="P531" s="2" t="inlineStr">
        <is>
          <t>Operational Control</t>
        </is>
      </c>
      <c r="Q531" s="2" t="inlineStr">
        <is>
          <t>Operational Control</t>
        </is>
      </c>
      <c r="R531" s="2" t="inlineStr">
        <is>
          <t>Social Infra &amp; Citizen Serv (SICS)</t>
        </is>
      </c>
      <c r="S531" s="2" t="inlineStr">
        <is>
          <t>Downer</t>
        </is>
      </c>
      <c r="T531" s="2" t="n">
        <v>100</v>
      </c>
      <c r="W531" s="2" t="inlineStr">
        <is>
          <t>Classification</t>
        </is>
      </c>
      <c r="Z531" s="2" t="n">
        <v>731</v>
      </c>
    </row>
    <row r="532">
      <c r="A532" s="2" t="inlineStr">
        <is>
          <t>Downer</t>
        </is>
      </c>
      <c r="B532" s="2" t="inlineStr">
        <is>
          <t>_CLOSED_Support_T_Asphalt Plants</t>
        </is>
      </c>
      <c r="C532" s="2" t="inlineStr">
        <is>
          <t>Other</t>
        </is>
      </c>
      <c r="D532" s="2" t="inlineStr">
        <is>
          <t>L9.DNZJ.3500</t>
        </is>
      </c>
      <c r="E532" s="2" t="n">
        <v>5096</v>
      </c>
      <c r="F532" s="2" t="n">
        <v>898129</v>
      </c>
      <c r="G532" s="2" t="inlineStr">
        <is>
          <t>Support Services for TS - New facilities established for more granular reporting and to reflect new structure for FY17. See facility named "NZ-Infrastructure Services" for historical data.</t>
        </is>
      </c>
      <c r="H532" s="2" t="inlineStr">
        <is>
          <t>NZ Wide - Head Office - 130 Kerrs Rd</t>
        </is>
      </c>
      <c r="I532" s="2" t="inlineStr">
        <is>
          <t>Wiri</t>
        </is>
      </c>
      <c r="J532" s="2" t="inlineStr">
        <is>
          <t>Auckland</t>
        </is>
      </c>
      <c r="K532" s="2" t="n">
        <v>3116</v>
      </c>
      <c r="L532" s="2" t="inlineStr">
        <is>
          <t>New Zealand</t>
        </is>
      </c>
      <c r="M532" s="2" t="inlineStr">
        <is>
          <t>Manurewa</t>
        </is>
      </c>
      <c r="N532" s="2" t="inlineStr">
        <is>
          <t>New Zealand</t>
        </is>
      </c>
      <c r="P532" s="2" t="inlineStr">
        <is>
          <t>Operational Control</t>
        </is>
      </c>
      <c r="Q532" s="2" t="inlineStr">
        <is>
          <t>Operational Control</t>
        </is>
      </c>
      <c r="R532" s="2" t="inlineStr">
        <is>
          <t>Transport &amp; Infrastructure (T&amp;I)</t>
        </is>
      </c>
      <c r="S532" s="2" t="inlineStr">
        <is>
          <t>Downer</t>
        </is>
      </c>
      <c r="T532" s="2" t="n">
        <v>100</v>
      </c>
      <c r="U532" s="2" t="inlineStr">
        <is>
          <t>1899/12/31</t>
        </is>
      </c>
      <c r="W532" s="2" t="inlineStr">
        <is>
          <t>Classification</t>
        </is>
      </c>
      <c r="X532" s="2" t="n">
        <v>-37.008338</v>
      </c>
      <c r="Y532" s="2" t="n">
        <v>174.870574</v>
      </c>
      <c r="Z532" s="2" t="n">
        <v>729</v>
      </c>
      <c r="AA532" s="11" t="n">
        <v>42917</v>
      </c>
    </row>
    <row r="533">
      <c r="A533" s="2" t="inlineStr">
        <is>
          <t>Downer</t>
        </is>
      </c>
      <c r="B533" s="2" t="inlineStr">
        <is>
          <t>_CLOSED_Support_T_Bitumen</t>
        </is>
      </c>
      <c r="C533" s="2" t="inlineStr">
        <is>
          <t>Other</t>
        </is>
      </c>
      <c r="D533" s="2" t="inlineStr">
        <is>
          <t>L9.DNZJ.3022</t>
        </is>
      </c>
      <c r="E533" s="2" t="n">
        <v>5097</v>
      </c>
      <c r="G533" s="2" t="inlineStr">
        <is>
          <t>Support Services for TS - New facilities established for more granular reporting and to reflect new structure for FY17. See facility named "NZ-Infrastructure Services" for historical data.</t>
        </is>
      </c>
      <c r="H533" s="2" t="inlineStr">
        <is>
          <t>9 Owens Place, Mt Maunganui</t>
        </is>
      </c>
      <c r="I533" s="2" t="inlineStr">
        <is>
          <t>Tauranga</t>
        </is>
      </c>
      <c r="J533" s="2" t="inlineStr">
        <is>
          <t>Bay of Plenty</t>
        </is>
      </c>
      <c r="K533" s="2" t="n">
        <v>3200</v>
      </c>
      <c r="L533" s="2" t="inlineStr">
        <is>
          <t>New Zealand</t>
        </is>
      </c>
      <c r="M533" s="2" t="inlineStr">
        <is>
          <t>Tauranga</t>
        </is>
      </c>
      <c r="N533" s="2" t="inlineStr">
        <is>
          <t>New Zealand</t>
        </is>
      </c>
      <c r="P533" s="2" t="inlineStr">
        <is>
          <t>Operational Control</t>
        </is>
      </c>
      <c r="Q533" s="2" t="inlineStr">
        <is>
          <t>Operational Control</t>
        </is>
      </c>
      <c r="R533" s="2" t="inlineStr">
        <is>
          <t>Transport &amp; Infrastructure (T&amp;I)</t>
        </is>
      </c>
      <c r="S533" s="2" t="inlineStr">
        <is>
          <t>Downer</t>
        </is>
      </c>
      <c r="T533" s="2" t="n">
        <v>100</v>
      </c>
      <c r="U533" s="2" t="inlineStr">
        <is>
          <t>1899/12/31</t>
        </is>
      </c>
      <c r="W533" s="2" t="inlineStr">
        <is>
          <t>Classification</t>
        </is>
      </c>
      <c r="X533" s="2" t="n">
        <v>-37.6782938</v>
      </c>
      <c r="Y533" s="2" t="n">
        <v>176.222364299999</v>
      </c>
      <c r="Z533" s="2" t="n">
        <v>729</v>
      </c>
      <c r="AA533" s="11" t="n">
        <v>42917</v>
      </c>
    </row>
    <row r="534">
      <c r="A534" s="2" t="inlineStr">
        <is>
          <t>Downer</t>
        </is>
      </c>
      <c r="B534" s="2" t="inlineStr">
        <is>
          <t>_CLOSED_Support_T_Bitumen_Technical</t>
        </is>
      </c>
      <c r="C534" s="2" t="inlineStr">
        <is>
          <t>Other</t>
        </is>
      </c>
      <c r="D534" s="2" t="inlineStr">
        <is>
          <t>L9.DNZJ.3005</t>
        </is>
      </c>
      <c r="E534" s="2" t="n">
        <v>5098</v>
      </c>
      <c r="G534" s="2" t="inlineStr">
        <is>
          <t>Support Services for TS - New facilities established for more granular reporting and to reflect new structure for FY17. See facility named "NZ-Infrastructure Services" for historical data.</t>
        </is>
      </c>
      <c r="H534" s="2" t="inlineStr">
        <is>
          <t>9 Owens Place, Mt Maunganui</t>
        </is>
      </c>
      <c r="I534" s="2" t="inlineStr">
        <is>
          <t>Tauranga</t>
        </is>
      </c>
      <c r="J534" s="2" t="inlineStr">
        <is>
          <t>Bay of Plenty</t>
        </is>
      </c>
      <c r="K534" s="2" t="n">
        <v>2104</v>
      </c>
      <c r="L534" s="2" t="inlineStr">
        <is>
          <t>New Zealand</t>
        </is>
      </c>
      <c r="M534" s="2" t="inlineStr">
        <is>
          <t>Tauranga</t>
        </is>
      </c>
      <c r="N534" s="2" t="inlineStr">
        <is>
          <t>New Zealand</t>
        </is>
      </c>
      <c r="P534" s="2" t="inlineStr">
        <is>
          <t>Operational Control</t>
        </is>
      </c>
      <c r="Q534" s="2" t="inlineStr">
        <is>
          <t>Operational Control</t>
        </is>
      </c>
      <c r="R534" s="2" t="inlineStr">
        <is>
          <t>Transport &amp; Infrastructure (T&amp;I)</t>
        </is>
      </c>
      <c r="S534" s="2" t="inlineStr">
        <is>
          <t>Downer</t>
        </is>
      </c>
      <c r="T534" s="2" t="n">
        <v>100</v>
      </c>
      <c r="U534" s="2" t="inlineStr">
        <is>
          <t>1899/12/31</t>
        </is>
      </c>
      <c r="W534" s="2" t="inlineStr">
        <is>
          <t>Classification</t>
        </is>
      </c>
      <c r="X534" s="2" t="n">
        <v>-37.6782938</v>
      </c>
      <c r="Y534" s="2" t="n">
        <v>176.222364299999</v>
      </c>
      <c r="Z534" s="2" t="n">
        <v>729</v>
      </c>
      <c r="AA534" s="11" t="n">
        <v>42917</v>
      </c>
    </row>
    <row r="535">
      <c r="A535" s="2" t="inlineStr">
        <is>
          <t>Downer</t>
        </is>
      </c>
      <c r="B535" s="2" t="inlineStr">
        <is>
          <t>_CLOSED_Support_T_Central North</t>
        </is>
      </c>
      <c r="C535" s="2" t="inlineStr">
        <is>
          <t>Other</t>
        </is>
      </c>
      <c r="D535" s="2" t="inlineStr">
        <is>
          <t>L9.DNZJ.55932</t>
        </is>
      </c>
      <c r="E535" s="2" t="n">
        <v>5099</v>
      </c>
      <c r="G535" s="2" t="inlineStr">
        <is>
          <t>Support Services for TS - New facilities established for more granular reporting and to reflect new structure for FY17. See facility named "NZ-Infrastructure Services" for historical data.</t>
        </is>
      </c>
      <c r="H535" s="2" t="inlineStr">
        <is>
          <t>16 Manchester Place, Te Rapa</t>
        </is>
      </c>
      <c r="I535" s="2" t="inlineStr">
        <is>
          <t>Hamilton</t>
        </is>
      </c>
      <c r="J535" s="2" t="inlineStr">
        <is>
          <t>Waikato</t>
        </is>
      </c>
      <c r="K535" s="2" t="n">
        <v>8051</v>
      </c>
      <c r="L535" s="2" t="inlineStr">
        <is>
          <t>New Zealand</t>
        </is>
      </c>
      <c r="M535" s="2" t="inlineStr">
        <is>
          <t>Hamilton</t>
        </is>
      </c>
      <c r="N535" s="2" t="inlineStr">
        <is>
          <t>New Zealand</t>
        </is>
      </c>
      <c r="P535" s="2" t="inlineStr">
        <is>
          <t>Operational Control</t>
        </is>
      </c>
      <c r="Q535" s="2" t="inlineStr">
        <is>
          <t>Operational Control</t>
        </is>
      </c>
      <c r="R535" s="2" t="inlineStr">
        <is>
          <t>Transport &amp; Infrastructure (T&amp;I)</t>
        </is>
      </c>
      <c r="S535" s="2" t="inlineStr">
        <is>
          <t>Downer</t>
        </is>
      </c>
      <c r="T535" s="2" t="n">
        <v>100</v>
      </c>
      <c r="U535" s="2" t="inlineStr">
        <is>
          <t>1899/12/31</t>
        </is>
      </c>
      <c r="W535" s="2" t="inlineStr">
        <is>
          <t>Classification</t>
        </is>
      </c>
      <c r="X535" s="2" t="n">
        <v>-37.754068</v>
      </c>
      <c r="Y535" s="2" t="n">
        <v>175.2370587</v>
      </c>
      <c r="Z535" s="2" t="n">
        <v>729</v>
      </c>
      <c r="AA535" s="11" t="n">
        <v>42917</v>
      </c>
    </row>
    <row r="536">
      <c r="A536" s="2" t="inlineStr">
        <is>
          <t>Downer</t>
        </is>
      </c>
      <c r="B536" s="2" t="inlineStr">
        <is>
          <t>_CLOSED_Support_T_Central-Support</t>
        </is>
      </c>
      <c r="C536" s="2" t="inlineStr">
        <is>
          <t>Other</t>
        </is>
      </c>
      <c r="D536" s="2" t="inlineStr">
        <is>
          <t>L9.DNZJ.55000</t>
        </is>
      </c>
      <c r="E536" s="2" t="n">
        <v>5100</v>
      </c>
      <c r="F536" s="2" t="n">
        <v>898130</v>
      </c>
      <c r="G536" s="2" t="inlineStr">
        <is>
          <t>Support Services for TS - New facilities established for more granular reporting and to reflect new structure for FY17. See facility named "NZ-Infrastructure Services" for historical data.</t>
        </is>
      </c>
      <c r="H536" s="2" t="inlineStr">
        <is>
          <t>NZ Wide - Head Office - 130 Kerrs Rd</t>
        </is>
      </c>
      <c r="I536" s="2" t="inlineStr">
        <is>
          <t>Wiri</t>
        </is>
      </c>
      <c r="J536" s="2" t="inlineStr">
        <is>
          <t>Auckland</t>
        </is>
      </c>
      <c r="K536" s="2" t="n">
        <v>5022</v>
      </c>
      <c r="L536" s="2" t="inlineStr">
        <is>
          <t>New Zealand</t>
        </is>
      </c>
      <c r="M536" s="2" t="inlineStr">
        <is>
          <t>Manurewa</t>
        </is>
      </c>
      <c r="N536" s="2" t="inlineStr">
        <is>
          <t>New Zealand</t>
        </is>
      </c>
      <c r="P536" s="2" t="inlineStr">
        <is>
          <t>Operational Control</t>
        </is>
      </c>
      <c r="Q536" s="2" t="inlineStr">
        <is>
          <t>Operational Control</t>
        </is>
      </c>
      <c r="R536" s="2" t="inlineStr">
        <is>
          <t>Transport &amp; Infrastructure (T&amp;I)</t>
        </is>
      </c>
      <c r="S536" s="2" t="inlineStr">
        <is>
          <t>Downer</t>
        </is>
      </c>
      <c r="T536" s="2" t="n">
        <v>100</v>
      </c>
      <c r="U536" s="2" t="inlineStr">
        <is>
          <t>1899/12/31</t>
        </is>
      </c>
      <c r="W536" s="2" t="inlineStr">
        <is>
          <t>Classification</t>
        </is>
      </c>
      <c r="X536" s="2" t="n">
        <v>-37.008338</v>
      </c>
      <c r="Y536" s="2" t="n">
        <v>174.870574</v>
      </c>
      <c r="Z536" s="2" t="n">
        <v>729</v>
      </c>
      <c r="AA536" s="11" t="n">
        <v>42917</v>
      </c>
    </row>
    <row r="537">
      <c r="A537" s="2" t="inlineStr">
        <is>
          <t>Downer</t>
        </is>
      </c>
      <c r="B537" s="2" t="inlineStr">
        <is>
          <t>_CLOSED_Support_T_Labs</t>
        </is>
      </c>
      <c r="C537" s="2" t="inlineStr">
        <is>
          <t>Other</t>
        </is>
      </c>
      <c r="D537" s="2" t="inlineStr">
        <is>
          <t>L9.DNZJ.3520</t>
        </is>
      </c>
      <c r="E537" s="2" t="n">
        <v>5101</v>
      </c>
      <c r="G537" s="2" t="inlineStr">
        <is>
          <t>Support Services for TS - New facilities established for more granular reporting and to reflect new structure for FY17. See facility named "NZ-Infrastructure Services" for historical data.</t>
        </is>
      </c>
      <c r="H537" s="2" t="inlineStr">
        <is>
          <t>397 Mcleans Island Road, Harewood</t>
        </is>
      </c>
      <c r="I537" s="2" t="inlineStr">
        <is>
          <t>Christchurch</t>
        </is>
      </c>
      <c r="J537" s="2" t="inlineStr">
        <is>
          <t>Canterbury</t>
        </is>
      </c>
      <c r="K537" s="2" t="n">
        <v>1061</v>
      </c>
      <c r="L537" s="2" t="inlineStr">
        <is>
          <t>New Zealand</t>
        </is>
      </c>
      <c r="M537" s="2" t="inlineStr">
        <is>
          <t>Christchurch</t>
        </is>
      </c>
      <c r="N537" s="2" t="inlineStr">
        <is>
          <t>New Zealand</t>
        </is>
      </c>
      <c r="P537" s="2" t="inlineStr">
        <is>
          <t>Operational Control</t>
        </is>
      </c>
      <c r="Q537" s="2" t="inlineStr">
        <is>
          <t>Operational Control</t>
        </is>
      </c>
      <c r="R537" s="2" t="inlineStr">
        <is>
          <t>Transport &amp; Infrastructure (T&amp;I)</t>
        </is>
      </c>
      <c r="S537" s="2" t="inlineStr">
        <is>
          <t>Downer</t>
        </is>
      </c>
      <c r="T537" s="2" t="n">
        <v>100</v>
      </c>
      <c r="U537" s="2" t="inlineStr">
        <is>
          <t>1899/12/31</t>
        </is>
      </c>
      <c r="W537" s="2" t="inlineStr">
        <is>
          <t>Classification</t>
        </is>
      </c>
      <c r="X537" s="2" t="n">
        <v>-43.4764273</v>
      </c>
      <c r="Y537" s="2" t="n">
        <v>172.516733599999</v>
      </c>
      <c r="Z537" s="2" t="n">
        <v>729</v>
      </c>
      <c r="AA537" s="11" t="n">
        <v>42917</v>
      </c>
    </row>
    <row r="538">
      <c r="A538" s="2" t="inlineStr">
        <is>
          <t>Downer</t>
        </is>
      </c>
      <c r="B538" s="2" t="inlineStr">
        <is>
          <t>_CLOSED_Support_T_Lower North</t>
        </is>
      </c>
      <c r="C538" s="2" t="inlineStr">
        <is>
          <t>Other</t>
        </is>
      </c>
      <c r="D538" s="2" t="inlineStr">
        <is>
          <t>L9.DNZJ.55925</t>
        </is>
      </c>
      <c r="E538" s="2" t="n">
        <v>5102</v>
      </c>
      <c r="G538" s="2" t="inlineStr">
        <is>
          <t>Support Services for TS - New facilities established for more granular reporting and to reflect new structure for FY17. See facility named "NZ-Infrastructure Services" for historical data.</t>
        </is>
      </c>
      <c r="H538" s="2" t="inlineStr">
        <is>
          <t>14-16 Makaro Street</t>
        </is>
      </c>
      <c r="I538" s="2" t="inlineStr">
        <is>
          <t>Porirua</t>
        </is>
      </c>
      <c r="J538" s="2" t="inlineStr">
        <is>
          <t>Wellington</t>
        </is>
      </c>
      <c r="K538" s="2" t="n">
        <v>2104</v>
      </c>
      <c r="L538" s="2" t="inlineStr">
        <is>
          <t>New Zealand</t>
        </is>
      </c>
      <c r="M538" s="2" t="inlineStr">
        <is>
          <t>Porirua</t>
        </is>
      </c>
      <c r="N538" s="2" t="inlineStr">
        <is>
          <t>New Zealand</t>
        </is>
      </c>
      <c r="P538" s="2" t="inlineStr">
        <is>
          <t>Operational Control</t>
        </is>
      </c>
      <c r="Q538" s="2" t="inlineStr">
        <is>
          <t>Operational Control</t>
        </is>
      </c>
      <c r="R538" s="2" t="inlineStr">
        <is>
          <t>Transport &amp; Infrastructure (T&amp;I)</t>
        </is>
      </c>
      <c r="S538" s="2" t="inlineStr">
        <is>
          <t>Downer</t>
        </is>
      </c>
      <c r="T538" s="2" t="n">
        <v>100</v>
      </c>
      <c r="U538" s="2" t="inlineStr">
        <is>
          <t>1899/12/31</t>
        </is>
      </c>
      <c r="W538" s="2" t="inlineStr">
        <is>
          <t>Classification</t>
        </is>
      </c>
      <c r="X538" s="2" t="n">
        <v>-41.1375906</v>
      </c>
      <c r="Y538" s="2" t="n">
        <v>174.831221499999</v>
      </c>
      <c r="Z538" s="2" t="n">
        <v>729</v>
      </c>
      <c r="AA538" s="11" t="n">
        <v>42917</v>
      </c>
    </row>
    <row r="539">
      <c r="A539" s="2" t="inlineStr">
        <is>
          <t>Downer</t>
        </is>
      </c>
      <c r="B539" s="2" t="inlineStr">
        <is>
          <t>_CLOSED_Support_T_North</t>
        </is>
      </c>
      <c r="C539" s="2" t="inlineStr">
        <is>
          <t>Other</t>
        </is>
      </c>
      <c r="D539" s="2" t="inlineStr">
        <is>
          <t>L9.DNZJ.8840</t>
        </is>
      </c>
      <c r="E539" s="2" t="n">
        <v>5168</v>
      </c>
      <c r="G539" s="2" t="inlineStr">
        <is>
          <t>Support services for projects located at numerous sites throughout NZ - New facilities established for more granular reporting and to reflect new structure for FY17. See facility named "NZ-Major Projects" for historical data.</t>
        </is>
      </c>
      <c r="H539" s="2" t="inlineStr">
        <is>
          <t>130 Kerrs Road, Wiri</t>
        </is>
      </c>
      <c r="I539" s="2" t="inlineStr">
        <is>
          <t>Auckland</t>
        </is>
      </c>
      <c r="J539" s="2" t="inlineStr">
        <is>
          <t>Auckland</t>
        </is>
      </c>
      <c r="K539" s="2" t="n">
        <v>8051</v>
      </c>
      <c r="L539" s="2" t="inlineStr">
        <is>
          <t>New Zealand</t>
        </is>
      </c>
      <c r="M539" s="2" t="inlineStr">
        <is>
          <t>Manurewa</t>
        </is>
      </c>
      <c r="N539" s="2" t="inlineStr">
        <is>
          <t>New Zealand</t>
        </is>
      </c>
      <c r="P539" s="2" t="inlineStr">
        <is>
          <t>Operational Control</t>
        </is>
      </c>
      <c r="Q539" s="2" t="inlineStr">
        <is>
          <t>Operational Control</t>
        </is>
      </c>
      <c r="R539" s="2" t="inlineStr">
        <is>
          <t>Transport &amp; Infrastructure (T&amp;I)</t>
        </is>
      </c>
      <c r="S539" s="2" t="inlineStr">
        <is>
          <t>Downer</t>
        </is>
      </c>
      <c r="T539" s="2" t="n">
        <v>100</v>
      </c>
      <c r="U539" s="2" t="inlineStr">
        <is>
          <t>1899/12/31</t>
        </is>
      </c>
      <c r="W539" s="2" t="inlineStr">
        <is>
          <t>Classification</t>
        </is>
      </c>
      <c r="X539" s="2" t="n">
        <v>-37.0083383</v>
      </c>
      <c r="Y539" s="2" t="n">
        <v>174.870573599999</v>
      </c>
      <c r="Z539" s="2" t="n">
        <v>310</v>
      </c>
      <c r="AA539" s="11" t="n">
        <v>42917</v>
      </c>
    </row>
    <row r="540">
      <c r="A540" s="2" t="inlineStr">
        <is>
          <t>Downer</t>
        </is>
      </c>
      <c r="B540" s="2" t="inlineStr">
        <is>
          <t>_CLOSED_Support_T_Northern</t>
        </is>
      </c>
      <c r="C540" s="2" t="inlineStr">
        <is>
          <t>Other</t>
        </is>
      </c>
      <c r="D540" s="2" t="inlineStr">
        <is>
          <t>L9.DNZJ.55924</t>
        </is>
      </c>
      <c r="E540" s="2" t="n">
        <v>5103</v>
      </c>
      <c r="G540" s="2" t="inlineStr">
        <is>
          <t>Support Services for TS - New facilities established for more granular reporting and to reflect new structure for FY17. See facility named "NZ-Infrastructure Services" for historical data.</t>
        </is>
      </c>
      <c r="H540" s="2" t="inlineStr">
        <is>
          <t>645 Great South Rd, Penrose</t>
        </is>
      </c>
      <c r="I540" s="2" t="inlineStr">
        <is>
          <t>Auckland</t>
        </is>
      </c>
      <c r="J540" s="2" t="inlineStr">
        <is>
          <t>Auckland</t>
        </is>
      </c>
      <c r="K540" s="2" t="n">
        <v>8051</v>
      </c>
      <c r="L540" s="2" t="inlineStr">
        <is>
          <t>New Zealand</t>
        </is>
      </c>
      <c r="M540" s="2" t="inlineStr">
        <is>
          <t>Panmure</t>
        </is>
      </c>
      <c r="N540" s="2" t="inlineStr">
        <is>
          <t>New Zealand</t>
        </is>
      </c>
      <c r="P540" s="2" t="inlineStr">
        <is>
          <t>Operational Control</t>
        </is>
      </c>
      <c r="Q540" s="2" t="inlineStr">
        <is>
          <t>Operational Control</t>
        </is>
      </c>
      <c r="R540" s="2" t="inlineStr">
        <is>
          <t>Transport &amp; Infrastructure (T&amp;I)</t>
        </is>
      </c>
      <c r="S540" s="2" t="inlineStr">
        <is>
          <t>Downer</t>
        </is>
      </c>
      <c r="T540" s="2" t="n">
        <v>100</v>
      </c>
      <c r="U540" s="2" t="inlineStr">
        <is>
          <t>1899/12/31</t>
        </is>
      </c>
      <c r="W540" s="2" t="inlineStr">
        <is>
          <t>Classification</t>
        </is>
      </c>
      <c r="X540" s="2" t="n">
        <v>-36.9152136</v>
      </c>
      <c r="Y540" s="2" t="n">
        <v>174.820280899999</v>
      </c>
      <c r="Z540" s="2" t="n">
        <v>729</v>
      </c>
      <c r="AA540" s="11" t="n">
        <v>42917</v>
      </c>
    </row>
    <row r="541">
      <c r="A541" s="2" t="inlineStr">
        <is>
          <t>Downer</t>
        </is>
      </c>
      <c r="B541" s="2" t="inlineStr">
        <is>
          <t>_CLOSED_Support_T_OSM</t>
        </is>
      </c>
      <c r="C541" s="2" t="inlineStr">
        <is>
          <t>Other</t>
        </is>
      </c>
      <c r="D541" s="2" t="inlineStr">
        <is>
          <t>L9.DNZJ.55411</t>
        </is>
      </c>
      <c r="E541" s="2" t="inlineStr">
        <is>
          <t>L9.DNZJ.55411</t>
        </is>
      </c>
      <c r="G541" s="2" t="inlineStr">
        <is>
          <t>Outside Space Management (Gardening) - New facilities established for more granular reporting and to reflect new structure for FY17. See facility named "NZ-Infrastructure Services" for historical data.</t>
        </is>
      </c>
      <c r="H541" s="2" t="inlineStr">
        <is>
          <t>58 Taurikura Drive, Tauriko</t>
        </is>
      </c>
      <c r="I541" s="2" t="inlineStr">
        <is>
          <t>Tauranga</t>
        </is>
      </c>
      <c r="J541" s="2" t="inlineStr">
        <is>
          <t>Bay of Plenty</t>
        </is>
      </c>
      <c r="K541" s="2" t="n">
        <v>9494</v>
      </c>
      <c r="L541" s="2" t="inlineStr">
        <is>
          <t>New Zealand</t>
        </is>
      </c>
      <c r="M541" s="2" t="inlineStr">
        <is>
          <t>Tauranga</t>
        </is>
      </c>
      <c r="N541" s="2" t="inlineStr">
        <is>
          <t>New Zealand</t>
        </is>
      </c>
      <c r="P541" s="2" t="inlineStr">
        <is>
          <t>Operational Control</t>
        </is>
      </c>
      <c r="Q541" s="2" t="inlineStr">
        <is>
          <t>Operational Control</t>
        </is>
      </c>
      <c r="R541" s="2" t="inlineStr">
        <is>
          <t>Transport &amp; Infrastructure (T&amp;I)</t>
        </is>
      </c>
      <c r="S541" s="2" t="inlineStr">
        <is>
          <t>Downer</t>
        </is>
      </c>
      <c r="T541" s="2" t="n">
        <v>100</v>
      </c>
      <c r="W541" s="2" t="inlineStr">
        <is>
          <t>Classification</t>
        </is>
      </c>
      <c r="X541" s="2" t="n">
        <v>-37.7421669999999</v>
      </c>
      <c r="Y541" s="2" t="n">
        <v>176.101698899999</v>
      </c>
      <c r="Z541" s="2" t="n">
        <v>731</v>
      </c>
      <c r="AA541" s="11" t="n">
        <v>42917</v>
      </c>
    </row>
    <row r="542">
      <c r="A542" s="2" t="inlineStr">
        <is>
          <t>Downer</t>
        </is>
      </c>
      <c r="B542" s="2" t="inlineStr">
        <is>
          <t>_CLOSED_Support_T_Plant</t>
        </is>
      </c>
      <c r="C542" s="2" t="inlineStr">
        <is>
          <t>Other</t>
        </is>
      </c>
      <c r="D542" s="2" t="inlineStr">
        <is>
          <t>L9.DNZJ.1923</t>
        </is>
      </c>
      <c r="E542" s="2" t="n">
        <v>5104</v>
      </c>
      <c r="G542" s="2" t="inlineStr">
        <is>
          <t>Support Services for TS - New facilities established for more granular reporting and to reflect new structure for FY17. See facility named "NZ-Infrastructure Services" for historical data.</t>
        </is>
      </c>
      <c r="H542" s="2" t="inlineStr">
        <is>
          <t>NZ Wide - Head Office - 130 Kerrs Rd</t>
        </is>
      </c>
      <c r="I542" s="2" t="inlineStr">
        <is>
          <t>Wiri</t>
        </is>
      </c>
      <c r="J542" s="2" t="inlineStr">
        <is>
          <t>Auckland</t>
        </is>
      </c>
      <c r="K542" s="2" t="n">
        <v>5022</v>
      </c>
      <c r="L542" s="2" t="inlineStr">
        <is>
          <t>New Zealand</t>
        </is>
      </c>
      <c r="M542" s="2" t="inlineStr">
        <is>
          <t>Manurewa</t>
        </is>
      </c>
      <c r="N542" s="2" t="inlineStr">
        <is>
          <t>New Zealand</t>
        </is>
      </c>
      <c r="P542" s="2" t="inlineStr">
        <is>
          <t>Operational Control</t>
        </is>
      </c>
      <c r="Q542" s="2" t="inlineStr">
        <is>
          <t>Operational Control</t>
        </is>
      </c>
      <c r="R542" s="2" t="inlineStr">
        <is>
          <t>Transport &amp; Infrastructure (T&amp;I)</t>
        </is>
      </c>
      <c r="S542" s="2" t="inlineStr">
        <is>
          <t>Downer</t>
        </is>
      </c>
      <c r="T542" s="2" t="n">
        <v>100</v>
      </c>
      <c r="U542" s="2" t="inlineStr">
        <is>
          <t>1899/12/31</t>
        </is>
      </c>
      <c r="W542" s="2" t="inlineStr">
        <is>
          <t>Classification</t>
        </is>
      </c>
      <c r="X542" s="2" t="n">
        <v>-37.008338</v>
      </c>
      <c r="Y542" s="2" t="n">
        <v>174.870574</v>
      </c>
      <c r="Z542" s="2" t="n">
        <v>729</v>
      </c>
      <c r="AA542" s="11" t="n">
        <v>42917</v>
      </c>
    </row>
    <row r="543">
      <c r="A543" s="2" t="inlineStr">
        <is>
          <t>Downer</t>
        </is>
      </c>
      <c r="B543" s="2" t="inlineStr">
        <is>
          <t>_CLOSED_Support_T_South</t>
        </is>
      </c>
      <c r="C543" s="2" t="inlineStr">
        <is>
          <t>Other</t>
        </is>
      </c>
      <c r="D543" s="2" t="inlineStr">
        <is>
          <t>L9.DNZJ.8104</t>
        </is>
      </c>
      <c r="E543" s="2" t="n">
        <v>5167</v>
      </c>
      <c r="G543" s="2" t="inlineStr">
        <is>
          <t>Support services for projects located at numerous sites throughout NZ - New facilities established for more granular reporting and to reflect new structure for FY17. See facility named "NZ-Major Projects" for historical data.</t>
        </is>
      </c>
      <c r="H543" s="2" t="inlineStr">
        <is>
          <t>397 Mcleans Island Rd, Harewood</t>
        </is>
      </c>
      <c r="I543" s="2" t="inlineStr">
        <is>
          <t>Christchurch</t>
        </is>
      </c>
      <c r="J543" s="2" t="inlineStr">
        <is>
          <t>Canterbury</t>
        </is>
      </c>
      <c r="K543" s="2" t="n">
        <v>1640</v>
      </c>
      <c r="L543" s="2" t="inlineStr">
        <is>
          <t>New Zealand</t>
        </is>
      </c>
      <c r="M543" s="2" t="inlineStr">
        <is>
          <t>Christchurch</t>
        </is>
      </c>
      <c r="N543" s="2" t="inlineStr">
        <is>
          <t>New Zealand</t>
        </is>
      </c>
      <c r="P543" s="2" t="inlineStr">
        <is>
          <t>Operational Control</t>
        </is>
      </c>
      <c r="Q543" s="2" t="inlineStr">
        <is>
          <t>Operational Control</t>
        </is>
      </c>
      <c r="R543" s="2" t="inlineStr">
        <is>
          <t>Transport &amp; Infrastructure (T&amp;I)</t>
        </is>
      </c>
      <c r="S543" s="2" t="inlineStr">
        <is>
          <t>Downer</t>
        </is>
      </c>
      <c r="T543" s="2" t="n">
        <v>100</v>
      </c>
      <c r="U543" s="2" t="inlineStr">
        <is>
          <t>1899/12/31</t>
        </is>
      </c>
      <c r="W543" s="2" t="inlineStr">
        <is>
          <t>Classification</t>
        </is>
      </c>
      <c r="X543" s="2" t="n">
        <v>-43.4764273</v>
      </c>
      <c r="Y543" s="2" t="n">
        <v>172.516733599999</v>
      </c>
      <c r="Z543" s="2" t="n">
        <v>310</v>
      </c>
      <c r="AA543" s="11" t="n">
        <v>42917</v>
      </c>
    </row>
    <row r="544">
      <c r="A544" s="2" t="inlineStr">
        <is>
          <t>Downer</t>
        </is>
      </c>
      <c r="B544" s="2" t="inlineStr">
        <is>
          <t>_CLOSED_Support_T_Southern</t>
        </is>
      </c>
      <c r="C544" s="2" t="inlineStr">
        <is>
          <t>Other</t>
        </is>
      </c>
      <c r="D544" s="2" t="inlineStr">
        <is>
          <t>L9.DNZJ.55926</t>
        </is>
      </c>
      <c r="E544" s="2" t="n">
        <v>5105</v>
      </c>
      <c r="G544" s="2" t="inlineStr">
        <is>
          <t>Support Services for TS - New facilities established for more granular reporting and to reflect new structure for FY17. See facility named "NZ-Infrastructure Services" for historical data.</t>
        </is>
      </c>
      <c r="H544" s="2" t="inlineStr">
        <is>
          <t>397 Mcleans Island Road, Harewood</t>
        </is>
      </c>
      <c r="I544" s="2" t="inlineStr">
        <is>
          <t>Christchurch</t>
        </is>
      </c>
      <c r="J544" s="2" t="inlineStr">
        <is>
          <t>Canterbury</t>
        </is>
      </c>
      <c r="K544" s="2" t="n">
        <v>3200</v>
      </c>
      <c r="L544" s="2" t="inlineStr">
        <is>
          <t>New Zealand</t>
        </is>
      </c>
      <c r="M544" s="2" t="inlineStr">
        <is>
          <t>Christchurch</t>
        </is>
      </c>
      <c r="N544" s="2" t="inlineStr">
        <is>
          <t>New Zealand</t>
        </is>
      </c>
      <c r="P544" s="2" t="inlineStr">
        <is>
          <t>Operational Control</t>
        </is>
      </c>
      <c r="Q544" s="2" t="inlineStr">
        <is>
          <t>Operational Control</t>
        </is>
      </c>
      <c r="R544" s="2" t="inlineStr">
        <is>
          <t>Transport &amp; Infrastructure (T&amp;I)</t>
        </is>
      </c>
      <c r="S544" s="2" t="inlineStr">
        <is>
          <t>Downer</t>
        </is>
      </c>
      <c r="T544" s="2" t="n">
        <v>100</v>
      </c>
      <c r="U544" s="2" t="inlineStr">
        <is>
          <t>1899/12/31</t>
        </is>
      </c>
      <c r="W544" s="2" t="inlineStr">
        <is>
          <t>Classification</t>
        </is>
      </c>
      <c r="X544" s="2" t="n">
        <v>-43.4764273</v>
      </c>
      <c r="Y544" s="2" t="n">
        <v>172.516733599999</v>
      </c>
      <c r="Z544" s="2" t="n">
        <v>729</v>
      </c>
      <c r="AA544" s="11" t="n">
        <v>42917</v>
      </c>
    </row>
    <row r="545">
      <c r="A545" s="2" t="inlineStr">
        <is>
          <t>Downer</t>
        </is>
      </c>
      <c r="B545" s="2" t="inlineStr">
        <is>
          <t>_CLOSED_Support_T_TRC</t>
        </is>
      </c>
      <c r="C545" s="2" t="inlineStr">
        <is>
          <t>Office</t>
        </is>
      </c>
      <c r="D545" s="2" t="inlineStr">
        <is>
          <t>L9.DNZJ.1935</t>
        </is>
      </c>
      <c r="E545" s="2" t="n">
        <v>5305</v>
      </c>
      <c r="F545" s="2" t="n">
        <v>5305</v>
      </c>
      <c r="M545" s="2" t="inlineStr">
        <is>
          <t>Southland</t>
        </is>
      </c>
      <c r="N545" s="2" t="inlineStr">
        <is>
          <t>New Zealand</t>
        </is>
      </c>
      <c r="P545" s="2" t="inlineStr">
        <is>
          <t>Operational Control</t>
        </is>
      </c>
      <c r="Q545" s="2" t="inlineStr">
        <is>
          <t>Operational Control</t>
        </is>
      </c>
      <c r="R545" s="2" t="inlineStr">
        <is>
          <t>Transport &amp; Infrastructure (T&amp;I)</t>
        </is>
      </c>
      <c r="S545" s="2" t="inlineStr">
        <is>
          <t>Downer</t>
        </is>
      </c>
      <c r="T545" s="2" t="n">
        <v>100</v>
      </c>
      <c r="U545" s="2" t="inlineStr">
        <is>
          <t>1899/12/31</t>
        </is>
      </c>
      <c r="W545" s="2" t="inlineStr">
        <is>
          <t>Classification</t>
        </is>
      </c>
    </row>
    <row r="546">
      <c r="A546" s="2" t="inlineStr">
        <is>
          <t>Downer</t>
        </is>
      </c>
      <c r="B546" s="2" t="inlineStr">
        <is>
          <t>_CLOSED_Support_U_Business-Support</t>
        </is>
      </c>
      <c r="C546" s="2" t="inlineStr">
        <is>
          <t>Office</t>
        </is>
      </c>
      <c r="D546" s="2" t="inlineStr">
        <is>
          <t>L9.DNZJ.561671</t>
        </is>
      </c>
      <c r="E546" s="2" t="inlineStr">
        <is>
          <t>L9.DNZJ.561671</t>
        </is>
      </c>
      <c r="G546" s="2" t="inlineStr">
        <is>
          <t>Support Services for Utilities Business - New facilities established for more granular reporting and to reflect new structure for FY17. See facility named "NZ-Technology Solutions &amp; Corporate Services" for historical data.</t>
        </is>
      </c>
      <c r="H546" s="2" t="inlineStr">
        <is>
          <t>130 Kerrs Rd</t>
        </is>
      </c>
      <c r="I546" s="2" t="inlineStr">
        <is>
          <t>Wiri</t>
        </is>
      </c>
      <c r="J546" s="2" t="inlineStr">
        <is>
          <t>Auckland</t>
        </is>
      </c>
      <c r="K546" s="2" t="n">
        <v>2104</v>
      </c>
      <c r="L546" s="2" t="inlineStr">
        <is>
          <t>New Zealand</t>
        </is>
      </c>
      <c r="M546" s="2" t="inlineStr">
        <is>
          <t>Manurewa</t>
        </is>
      </c>
      <c r="N546" s="2" t="inlineStr">
        <is>
          <t>New Zealand</t>
        </is>
      </c>
      <c r="P546" s="2" t="inlineStr">
        <is>
          <t>Operational Control</t>
        </is>
      </c>
      <c r="Q546" s="2" t="inlineStr">
        <is>
          <t>Operational Control</t>
        </is>
      </c>
      <c r="R546" s="2" t="inlineStr">
        <is>
          <t>Energy and Utilities (EU)</t>
        </is>
      </c>
      <c r="S546" s="2" t="inlineStr">
        <is>
          <t>Downer</t>
        </is>
      </c>
      <c r="T546" s="2" t="n">
        <v>100</v>
      </c>
      <c r="W546" s="2" t="inlineStr">
        <is>
          <t>Classification</t>
        </is>
      </c>
      <c r="X546" s="2" t="n">
        <v>-37.008126</v>
      </c>
      <c r="Y546" s="2" t="n">
        <v>174.87054</v>
      </c>
      <c r="Z546" s="2" t="n">
        <v>729</v>
      </c>
      <c r="AA546" s="11" t="n">
        <v>42917</v>
      </c>
    </row>
    <row r="547">
      <c r="A547" s="2" t="inlineStr">
        <is>
          <t>Downer</t>
        </is>
      </c>
      <c r="B547" s="2" t="inlineStr">
        <is>
          <t>_CLOSED_Support_U_D&amp;B</t>
        </is>
      </c>
      <c r="C547" s="2" t="inlineStr">
        <is>
          <t>Other</t>
        </is>
      </c>
      <c r="D547" s="2" t="inlineStr">
        <is>
          <t>L9.DNZ.810.10.105</t>
        </is>
      </c>
      <c r="E547" s="2" t="n">
        <v>5129</v>
      </c>
      <c r="G547" s="2" t="inlineStr">
        <is>
          <t>Support Services for Utilities Business - New facilities established for more granular reporting and to reflect new structure for FY17. See facility named "NZ-Technology Solutions &amp; Corporate Services" for historical data.</t>
        </is>
      </c>
      <c r="H547" s="2" t="inlineStr">
        <is>
          <t>130 Kerrs Rd</t>
        </is>
      </c>
      <c r="I547" s="2" t="inlineStr">
        <is>
          <t>Wiri</t>
        </is>
      </c>
      <c r="J547" s="2" t="inlineStr">
        <is>
          <t>Auckland</t>
        </is>
      </c>
      <c r="K547" s="2" t="n">
        <v>2104</v>
      </c>
      <c r="L547" s="2" t="inlineStr">
        <is>
          <t>New Zealand</t>
        </is>
      </c>
      <c r="M547" s="2" t="inlineStr">
        <is>
          <t>Manurewa</t>
        </is>
      </c>
      <c r="N547" s="2" t="inlineStr">
        <is>
          <t>New Zealand</t>
        </is>
      </c>
      <c r="P547" s="2" t="inlineStr">
        <is>
          <t>Operational Control</t>
        </is>
      </c>
      <c r="Q547" s="2" t="inlineStr">
        <is>
          <t>Operational Control</t>
        </is>
      </c>
      <c r="R547" s="2" t="inlineStr">
        <is>
          <t>Energy and Utilities (EU)</t>
        </is>
      </c>
      <c r="S547" s="2" t="inlineStr">
        <is>
          <t>Downer</t>
        </is>
      </c>
      <c r="T547" s="2" t="n">
        <v>100</v>
      </c>
      <c r="W547" s="2" t="inlineStr">
        <is>
          <t>Classification</t>
        </is>
      </c>
      <c r="X547" s="2" t="n">
        <v>-37.008126</v>
      </c>
      <c r="Y547" s="2" t="n">
        <v>174.87054</v>
      </c>
      <c r="Z547" s="2" t="n">
        <v>729</v>
      </c>
      <c r="AA547" s="11" t="n">
        <v>42917</v>
      </c>
    </row>
    <row r="548">
      <c r="A548" s="2" t="inlineStr">
        <is>
          <t>Downer</t>
        </is>
      </c>
      <c r="B548" s="2" t="inlineStr">
        <is>
          <t>_CLOSED_Support_U_O&amp;M</t>
        </is>
      </c>
      <c r="C548" s="2" t="inlineStr">
        <is>
          <t>Other</t>
        </is>
      </c>
      <c r="D548" s="2" t="inlineStr">
        <is>
          <t>L9.DNZ.810.10.037</t>
        </is>
      </c>
      <c r="E548" s="2" t="n">
        <v>5130</v>
      </c>
      <c r="G548" s="2" t="inlineStr">
        <is>
          <t>Support Services for Utilities Business - New facilities established for more granular reporting and to reflect new structure for FY17. See facility named "NZ-Technology Solutions &amp; Corporate Services" for historical data.</t>
        </is>
      </c>
      <c r="H548" s="2" t="inlineStr">
        <is>
          <t>NZ Wide - Head Office - 130 Kerrs Rd</t>
        </is>
      </c>
      <c r="I548" s="2" t="inlineStr">
        <is>
          <t>Wiri</t>
        </is>
      </c>
      <c r="J548" s="2" t="inlineStr">
        <is>
          <t>Auckland</t>
        </is>
      </c>
      <c r="K548" s="2" t="n">
        <v>2104</v>
      </c>
      <c r="L548" s="2" t="inlineStr">
        <is>
          <t>New Zealand</t>
        </is>
      </c>
      <c r="M548" s="2" t="inlineStr">
        <is>
          <t>Manurewa</t>
        </is>
      </c>
      <c r="N548" s="2" t="inlineStr">
        <is>
          <t>New Zealand</t>
        </is>
      </c>
      <c r="P548" s="2" t="inlineStr">
        <is>
          <t>Operational Control</t>
        </is>
      </c>
      <c r="Q548" s="2" t="inlineStr">
        <is>
          <t>Operational Control</t>
        </is>
      </c>
      <c r="R548" s="2" t="inlineStr">
        <is>
          <t>Energy and Utilities (EU)</t>
        </is>
      </c>
      <c r="S548" s="2" t="inlineStr">
        <is>
          <t>Downer</t>
        </is>
      </c>
      <c r="T548" s="2" t="n">
        <v>100</v>
      </c>
      <c r="W548" s="2" t="inlineStr">
        <is>
          <t>Classification</t>
        </is>
      </c>
      <c r="X548" s="2" t="n">
        <v>-37.008126</v>
      </c>
      <c r="Y548" s="2" t="n">
        <v>174.87054</v>
      </c>
      <c r="Z548" s="2" t="n">
        <v>729</v>
      </c>
      <c r="AA548" s="11" t="n">
        <v>42917</v>
      </c>
    </row>
    <row r="549">
      <c r="A549" s="2" t="inlineStr">
        <is>
          <t>Downer</t>
        </is>
      </c>
      <c r="B549" s="2" t="inlineStr">
        <is>
          <t>_CLOSED_Support_U_P&amp;G_Electricity</t>
        </is>
      </c>
      <c r="C549" s="2" t="inlineStr">
        <is>
          <t>Other</t>
        </is>
      </c>
      <c r="D549" s="2" t="inlineStr">
        <is>
          <t>L9.DNZJ.561671</t>
        </is>
      </c>
      <c r="E549" s="2" t="inlineStr">
        <is>
          <t>L9.DNZJ.561671</t>
        </is>
      </c>
      <c r="G549" s="2" t="inlineStr">
        <is>
          <t>Support Services for Utilities P&amp;G Business - New facilities established for more granular reporting and to reflect new structure for FY17. See facility named "NZ-Technology Solutions &amp; Corporate Services" for historical data.</t>
        </is>
      </c>
      <c r="H549" s="2" t="inlineStr">
        <is>
          <t>130 Kerrs Rd</t>
        </is>
      </c>
      <c r="I549" s="2" t="inlineStr">
        <is>
          <t>Wiri</t>
        </is>
      </c>
      <c r="J549" s="2" t="inlineStr">
        <is>
          <t>Auckland</t>
        </is>
      </c>
      <c r="K549" s="2" t="n">
        <v>5010</v>
      </c>
      <c r="L549" s="2" t="inlineStr">
        <is>
          <t>New Zealand</t>
        </is>
      </c>
      <c r="M549" s="2" t="inlineStr">
        <is>
          <t>Manurewa</t>
        </is>
      </c>
      <c r="N549" s="2" t="inlineStr">
        <is>
          <t>New Zealand</t>
        </is>
      </c>
      <c r="P549" s="2" t="inlineStr">
        <is>
          <t>Operational Control</t>
        </is>
      </c>
      <c r="Q549" s="2" t="inlineStr">
        <is>
          <t>Operational Control</t>
        </is>
      </c>
      <c r="R549" s="2" t="inlineStr">
        <is>
          <t>Energy and Utilities (EU)</t>
        </is>
      </c>
      <c r="S549" s="2" t="inlineStr">
        <is>
          <t>Downer</t>
        </is>
      </c>
      <c r="T549" s="2" t="n">
        <v>100</v>
      </c>
      <c r="W549" s="2" t="inlineStr">
        <is>
          <t>Classification</t>
        </is>
      </c>
      <c r="X549" s="2" t="n">
        <v>-37.008126</v>
      </c>
      <c r="Y549" s="2" t="n">
        <v>174.87054</v>
      </c>
      <c r="Z549" s="2" t="n">
        <v>310</v>
      </c>
      <c r="AA549" s="11" t="n">
        <v>42917</v>
      </c>
    </row>
    <row r="550">
      <c r="A550" s="2" t="inlineStr">
        <is>
          <t>Downer</t>
        </is>
      </c>
      <c r="B550" s="2" t="inlineStr">
        <is>
          <t>_CLOSED_Support_U_P&amp;G_Gas</t>
        </is>
      </c>
      <c r="C550" s="2" t="inlineStr">
        <is>
          <t>Other</t>
        </is>
      </c>
      <c r="D550" s="2" t="inlineStr">
        <is>
          <t>L9.DUN.50112</t>
        </is>
      </c>
      <c r="E550" s="2" t="inlineStr">
        <is>
          <t>L9.DUN.50112</t>
        </is>
      </c>
      <c r="F550" s="2" t="inlineStr">
        <is>
          <t>L9.DUN.50112</t>
        </is>
      </c>
      <c r="G550" s="2" t="inlineStr">
        <is>
          <t>Support Services for Utilities P&amp;G Business - New facilities established for more granular reporting and to reflect new structure for FY17. See facility named "NZ-Technology Solutions &amp; Corporate Services" for historical data.</t>
        </is>
      </c>
      <c r="H550" s="2" t="inlineStr">
        <is>
          <t>101 Port Ave, Seaview</t>
        </is>
      </c>
      <c r="I550" s="2" t="inlineStr">
        <is>
          <t>Lower Hutt</t>
        </is>
      </c>
      <c r="J550" s="2" t="inlineStr">
        <is>
          <t>Wellington</t>
        </is>
      </c>
      <c r="K550" s="2" t="n">
        <v>5810</v>
      </c>
      <c r="L550" s="2" t="inlineStr">
        <is>
          <t>New Zealand</t>
        </is>
      </c>
      <c r="M550" s="2" t="inlineStr">
        <is>
          <t>Lower Hutt</t>
        </is>
      </c>
      <c r="N550" s="2" t="inlineStr">
        <is>
          <t>New Zealand</t>
        </is>
      </c>
      <c r="P550" s="2" t="inlineStr">
        <is>
          <t>Operational Control</t>
        </is>
      </c>
      <c r="Q550" s="2" t="inlineStr">
        <is>
          <t>Operational Control</t>
        </is>
      </c>
      <c r="R550" s="2" t="inlineStr">
        <is>
          <t>Energy and Utilities (EU)</t>
        </is>
      </c>
      <c r="S550" s="2" t="inlineStr">
        <is>
          <t>Downer</t>
        </is>
      </c>
      <c r="T550" s="2" t="n">
        <v>100</v>
      </c>
      <c r="W550" s="2" t="inlineStr">
        <is>
          <t>Classification</t>
        </is>
      </c>
      <c r="X550" s="2" t="n">
        <v>-41.2320491</v>
      </c>
      <c r="Y550" s="2" t="n">
        <v>174.9143794</v>
      </c>
      <c r="Z550" s="2" t="n">
        <v>310</v>
      </c>
      <c r="AA550" s="11" t="n">
        <v>42917</v>
      </c>
    </row>
    <row r="551">
      <c r="A551" s="2" t="inlineStr">
        <is>
          <t>Downer</t>
        </is>
      </c>
      <c r="B551" s="2" t="inlineStr">
        <is>
          <t>_CLOSED_Surfacing_Central</t>
        </is>
      </c>
      <c r="C551" s="2" t="inlineStr">
        <is>
          <t>Other</t>
        </is>
      </c>
      <c r="D551" s="2" t="inlineStr">
        <is>
          <t>L9.DNZJ.55863</t>
        </is>
      </c>
      <c r="E551" s="2" t="n">
        <v>5106</v>
      </c>
      <c r="G551" s="2" t="inlineStr">
        <is>
          <t>Asphalt Surfacing for Road Construction - New facilities established for more granular reporting and to reflect new structure for FY17. See facility named "NZ-Infrastructure Services" for historical data.</t>
        </is>
      </c>
      <c r="H551" s="2" t="inlineStr">
        <is>
          <t>14-16 Makaro Street</t>
        </is>
      </c>
      <c r="I551" s="2" t="inlineStr">
        <is>
          <t>Porirua</t>
        </is>
      </c>
      <c r="J551" s="2" t="inlineStr">
        <is>
          <t>Wellington</t>
        </is>
      </c>
      <c r="K551" s="2" t="n">
        <v>3200</v>
      </c>
      <c r="L551" s="2" t="inlineStr">
        <is>
          <t>New Zealand</t>
        </is>
      </c>
      <c r="M551" s="2" t="inlineStr">
        <is>
          <t>Porirua</t>
        </is>
      </c>
      <c r="N551" s="2" t="inlineStr">
        <is>
          <t>New Zealand</t>
        </is>
      </c>
      <c r="P551" s="2" t="inlineStr">
        <is>
          <t>Operational Control</t>
        </is>
      </c>
      <c r="Q551" s="2" t="inlineStr">
        <is>
          <t>Operational Control</t>
        </is>
      </c>
      <c r="R551" s="2" t="inlineStr">
        <is>
          <t>Transport &amp; Infrastructure (T&amp;I)</t>
        </is>
      </c>
      <c r="S551" s="2" t="inlineStr">
        <is>
          <t>Downer</t>
        </is>
      </c>
      <c r="T551" s="2" t="n">
        <v>100</v>
      </c>
      <c r="U551" s="2" t="inlineStr">
        <is>
          <t>1899/12/31</t>
        </is>
      </c>
      <c r="W551" s="2" t="inlineStr">
        <is>
          <t>Classification</t>
        </is>
      </c>
      <c r="X551" s="2" t="n">
        <v>-41.1375906</v>
      </c>
      <c r="Y551" s="2" t="n">
        <v>174.831221499999</v>
      </c>
      <c r="Z551" s="2" t="n">
        <v>310</v>
      </c>
      <c r="AA551" s="11" t="n">
        <v>42917</v>
      </c>
    </row>
    <row r="552">
      <c r="A552" s="2" t="inlineStr">
        <is>
          <t>Downer</t>
        </is>
      </c>
      <c r="B552" s="2" t="inlineStr">
        <is>
          <t>_CLOSED_Surfacing_Central_Nth (Paving)</t>
        </is>
      </c>
      <c r="C552" s="2" t="inlineStr">
        <is>
          <t>Other</t>
        </is>
      </c>
      <c r="D552" s="2" t="inlineStr">
        <is>
          <t>L9.DNZJ.55810</t>
        </is>
      </c>
      <c r="E552" s="2" t="n">
        <v>5107</v>
      </c>
      <c r="G552" s="2" t="inlineStr">
        <is>
          <t>Asphalt Surfacing for Road Construction - New facilities established for more granular reporting and to reflect new structure for FY17. See facility named "NZ-Infrastructure Services" for historical data.</t>
        </is>
      </c>
      <c r="H552" s="2" t="inlineStr">
        <is>
          <t>16 Manchester Place, Te Rapa</t>
        </is>
      </c>
      <c r="I552" s="2" t="inlineStr">
        <is>
          <t>Hamilton</t>
        </is>
      </c>
      <c r="J552" s="2" t="inlineStr">
        <is>
          <t>Waikato</t>
        </is>
      </c>
      <c r="K552" s="2" t="n">
        <v>1061</v>
      </c>
      <c r="L552" s="2" t="inlineStr">
        <is>
          <t>New Zealand</t>
        </is>
      </c>
      <c r="M552" s="2" t="inlineStr">
        <is>
          <t>Hamilton</t>
        </is>
      </c>
      <c r="N552" s="2" t="inlineStr">
        <is>
          <t>New Zealand</t>
        </is>
      </c>
      <c r="P552" s="2" t="inlineStr">
        <is>
          <t>Operational Control</t>
        </is>
      </c>
      <c r="Q552" s="2" t="inlineStr">
        <is>
          <t>Operational Control</t>
        </is>
      </c>
      <c r="R552" s="2" t="inlineStr">
        <is>
          <t>Transport &amp; Infrastructure (T&amp;I)</t>
        </is>
      </c>
      <c r="S552" s="2" t="inlineStr">
        <is>
          <t>Downer</t>
        </is>
      </c>
      <c r="T552" s="2" t="n">
        <v>100</v>
      </c>
      <c r="U552" s="2" t="inlineStr">
        <is>
          <t>1899/12/31</t>
        </is>
      </c>
      <c r="W552" s="2" t="inlineStr">
        <is>
          <t>Classification</t>
        </is>
      </c>
      <c r="X552" s="2" t="n">
        <v>-37.754068</v>
      </c>
      <c r="Y552" s="2" t="n">
        <v>175.2370587</v>
      </c>
      <c r="Z552" s="2" t="n">
        <v>310</v>
      </c>
      <c r="AA552" s="11" t="n">
        <v>42917</v>
      </c>
    </row>
    <row r="553">
      <c r="A553" s="2" t="inlineStr">
        <is>
          <t>Downer</t>
        </is>
      </c>
      <c r="B553" s="2" t="inlineStr">
        <is>
          <t>_CLOSED_Surfacing_Central_Nth (Sealing)</t>
        </is>
      </c>
      <c r="C553" s="2" t="inlineStr">
        <is>
          <t>Other</t>
        </is>
      </c>
      <c r="D553" s="2" t="inlineStr">
        <is>
          <t>L9.DNZJ.55833</t>
        </is>
      </c>
      <c r="E553" s="2" t="n">
        <v>5108</v>
      </c>
      <c r="G553" s="2" t="inlineStr">
        <is>
          <t>Asphalt Surfacing for Road Construction - New facilities established for more granular reporting and to reflect new structure for FY17. See facility named "NZ-Infrastructure Services" for historical data.</t>
        </is>
      </c>
      <c r="H553" s="2" t="inlineStr">
        <is>
          <t>16 Manchester Place, Te Rapa</t>
        </is>
      </c>
      <c r="I553" s="2" t="inlineStr">
        <is>
          <t>Hamilton</t>
        </is>
      </c>
      <c r="J553" s="2" t="inlineStr">
        <is>
          <t>Waikato</t>
        </is>
      </c>
      <c r="K553" s="2" t="n">
        <v>1061</v>
      </c>
      <c r="L553" s="2" t="inlineStr">
        <is>
          <t>New Zealand</t>
        </is>
      </c>
      <c r="M553" s="2" t="inlineStr">
        <is>
          <t>Hamilton</t>
        </is>
      </c>
      <c r="N553" s="2" t="inlineStr">
        <is>
          <t>New Zealand</t>
        </is>
      </c>
      <c r="P553" s="2" t="inlineStr">
        <is>
          <t>Operational Control</t>
        </is>
      </c>
      <c r="Q553" s="2" t="inlineStr">
        <is>
          <t>Operational Control</t>
        </is>
      </c>
      <c r="R553" s="2" t="inlineStr">
        <is>
          <t>Transport &amp; Infrastructure (T&amp;I)</t>
        </is>
      </c>
      <c r="S553" s="2" t="inlineStr">
        <is>
          <t>Downer</t>
        </is>
      </c>
      <c r="T553" s="2" t="n">
        <v>100</v>
      </c>
      <c r="U553" s="2" t="inlineStr">
        <is>
          <t>1899/12/31</t>
        </is>
      </c>
      <c r="W553" s="2" t="inlineStr">
        <is>
          <t>Classification</t>
        </is>
      </c>
      <c r="X553" s="2" t="n">
        <v>-37.754068</v>
      </c>
      <c r="Y553" s="2" t="n">
        <v>175.2370587</v>
      </c>
      <c r="Z553" s="2" t="n">
        <v>310</v>
      </c>
      <c r="AA553" s="11" t="n">
        <v>42917</v>
      </c>
    </row>
    <row r="554">
      <c r="A554" s="2" t="inlineStr">
        <is>
          <t>Downer</t>
        </is>
      </c>
      <c r="B554" s="2" t="inlineStr">
        <is>
          <t>_CLOSED_Surfacing_North (Paving)</t>
        </is>
      </c>
      <c r="C554" s="2" t="inlineStr">
        <is>
          <t>Other</t>
        </is>
      </c>
      <c r="D554" s="2" t="inlineStr">
        <is>
          <t>L9.DNZJ.55834</t>
        </is>
      </c>
      <c r="E554" s="2" t="n">
        <v>5109</v>
      </c>
      <c r="G554" s="2" t="inlineStr">
        <is>
          <t>Asphalt Surfacing for Road Construction - New facilities established for more granular reporting and to reflect new structure for FY17. See facility named "NZ-Infrastructure Services" for historical data.</t>
        </is>
      </c>
      <c r="H554" s="2" t="inlineStr">
        <is>
          <t>645 Great South Rd, Penrose</t>
        </is>
      </c>
      <c r="I554" s="2" t="inlineStr">
        <is>
          <t>Auckland</t>
        </is>
      </c>
      <c r="J554" s="2" t="inlineStr">
        <is>
          <t>Auckland</t>
        </is>
      </c>
      <c r="K554" s="2" t="n">
        <v>8051</v>
      </c>
      <c r="L554" s="2" t="inlineStr">
        <is>
          <t>New Zealand</t>
        </is>
      </c>
      <c r="M554" s="2" t="inlineStr">
        <is>
          <t>Panmure</t>
        </is>
      </c>
      <c r="N554" s="2" t="inlineStr">
        <is>
          <t>New Zealand</t>
        </is>
      </c>
      <c r="P554" s="2" t="inlineStr">
        <is>
          <t>Operational Control</t>
        </is>
      </c>
      <c r="Q554" s="2" t="inlineStr">
        <is>
          <t>Operational Control</t>
        </is>
      </c>
      <c r="R554" s="2" t="inlineStr">
        <is>
          <t>Transport &amp; Infrastructure (T&amp;I)</t>
        </is>
      </c>
      <c r="S554" s="2" t="inlineStr">
        <is>
          <t>Downer</t>
        </is>
      </c>
      <c r="T554" s="2" t="n">
        <v>100</v>
      </c>
      <c r="U554" s="2" t="inlineStr">
        <is>
          <t>1899/12/31</t>
        </is>
      </c>
      <c r="W554" s="2" t="inlineStr">
        <is>
          <t>Classification</t>
        </is>
      </c>
      <c r="X554" s="2" t="n">
        <v>-36.9152136</v>
      </c>
      <c r="Y554" s="2" t="n">
        <v>174.820280899999</v>
      </c>
      <c r="Z554" s="2" t="n">
        <v>310</v>
      </c>
      <c r="AA554" s="11" t="n">
        <v>42917</v>
      </c>
    </row>
    <row r="555">
      <c r="A555" s="2" t="inlineStr">
        <is>
          <t>Downer</t>
        </is>
      </c>
      <c r="B555" s="2" t="inlineStr">
        <is>
          <t>_CLOSED_Surfacing_North (Sealing)</t>
        </is>
      </c>
      <c r="C555" s="2" t="inlineStr">
        <is>
          <t>Other</t>
        </is>
      </c>
      <c r="D555" s="2" t="inlineStr">
        <is>
          <t>L9.DNZJ.55832</t>
        </is>
      </c>
      <c r="E555" s="2" t="n">
        <v>5110</v>
      </c>
      <c r="G555" s="2" t="inlineStr">
        <is>
          <t>Asphalt Surfacing for Road Construction - New facilities established for more granular reporting and to reflect new structure for FY17. See facility named "NZ-Infrastructure Services" for historical data.</t>
        </is>
      </c>
      <c r="H555" s="2" t="inlineStr">
        <is>
          <t>645 Great South Rd, Penrose</t>
        </is>
      </c>
      <c r="I555" s="2" t="inlineStr">
        <is>
          <t>Auckland</t>
        </is>
      </c>
      <c r="J555" s="2" t="inlineStr">
        <is>
          <t>Auckland</t>
        </is>
      </c>
      <c r="K555" s="2" t="n">
        <v>8051</v>
      </c>
      <c r="L555" s="2" t="inlineStr">
        <is>
          <t>New Zealand</t>
        </is>
      </c>
      <c r="M555" s="2" t="inlineStr">
        <is>
          <t>Panmure</t>
        </is>
      </c>
      <c r="N555" s="2" t="inlineStr">
        <is>
          <t>New Zealand</t>
        </is>
      </c>
      <c r="P555" s="2" t="inlineStr">
        <is>
          <t>Operational Control</t>
        </is>
      </c>
      <c r="Q555" s="2" t="inlineStr">
        <is>
          <t>Operational Control</t>
        </is>
      </c>
      <c r="R555" s="2" t="inlineStr">
        <is>
          <t>Transport &amp; Infrastructure (T&amp;I)</t>
        </is>
      </c>
      <c r="S555" s="2" t="inlineStr">
        <is>
          <t>Downer</t>
        </is>
      </c>
      <c r="T555" s="2" t="n">
        <v>100</v>
      </c>
      <c r="U555" s="2" t="inlineStr">
        <is>
          <t>1899/12/31</t>
        </is>
      </c>
      <c r="W555" s="2" t="inlineStr">
        <is>
          <t>Classification</t>
        </is>
      </c>
      <c r="X555" s="2" t="n">
        <v>-36.9152136</v>
      </c>
      <c r="Y555" s="2" t="n">
        <v>174.820280899999</v>
      </c>
      <c r="Z555" s="2" t="n">
        <v>310</v>
      </c>
      <c r="AA555" s="11" t="n">
        <v>42917</v>
      </c>
    </row>
    <row r="556">
      <c r="A556" s="2" t="inlineStr">
        <is>
          <t>Downer</t>
        </is>
      </c>
      <c r="B556" s="2" t="inlineStr">
        <is>
          <t>_CLOSED_Surfacing_South (Paving)</t>
        </is>
      </c>
      <c r="C556" s="2" t="inlineStr">
        <is>
          <t>Other</t>
        </is>
      </c>
      <c r="D556" s="2" t="inlineStr">
        <is>
          <t>L9.DNZJ.55892</t>
        </is>
      </c>
      <c r="E556" s="2" t="n">
        <v>5111</v>
      </c>
      <c r="G556" s="2" t="inlineStr">
        <is>
          <t>Asphalt Surfacing for Road Construction - New facilities established for more granular reporting and to reflect new structure for FY17. See facility named "NZ-Infrastructure Services" for historical data.</t>
        </is>
      </c>
      <c r="H556" s="2" t="inlineStr">
        <is>
          <t>397 Mcleans Island Road, Harewood</t>
        </is>
      </c>
      <c r="I556" s="2" t="inlineStr">
        <is>
          <t>Christchurch</t>
        </is>
      </c>
      <c r="J556" s="2" t="inlineStr">
        <is>
          <t>Canterbury</t>
        </is>
      </c>
      <c r="K556" s="2" t="n">
        <v>1061</v>
      </c>
      <c r="L556" s="2" t="inlineStr">
        <is>
          <t>New Zealand</t>
        </is>
      </c>
      <c r="M556" s="2" t="inlineStr">
        <is>
          <t>Christchurch</t>
        </is>
      </c>
      <c r="N556" s="2" t="inlineStr">
        <is>
          <t>New Zealand</t>
        </is>
      </c>
      <c r="P556" s="2" t="inlineStr">
        <is>
          <t>Operational Control</t>
        </is>
      </c>
      <c r="Q556" s="2" t="inlineStr">
        <is>
          <t>Operational Control</t>
        </is>
      </c>
      <c r="R556" s="2" t="inlineStr">
        <is>
          <t>Transport &amp; Infrastructure (T&amp;I)</t>
        </is>
      </c>
      <c r="S556" s="2" t="inlineStr">
        <is>
          <t>Downer</t>
        </is>
      </c>
      <c r="T556" s="2" t="n">
        <v>100</v>
      </c>
      <c r="U556" s="2" t="inlineStr">
        <is>
          <t>1899/12/31</t>
        </is>
      </c>
      <c r="W556" s="2" t="inlineStr">
        <is>
          <t>Classification</t>
        </is>
      </c>
      <c r="X556" s="2" t="n">
        <v>-43.4764273</v>
      </c>
      <c r="Y556" s="2" t="n">
        <v>172.516733599999</v>
      </c>
      <c r="Z556" s="2" t="n">
        <v>310</v>
      </c>
      <c r="AA556" s="11" t="n">
        <v>42917</v>
      </c>
    </row>
    <row r="557">
      <c r="A557" s="2" t="inlineStr">
        <is>
          <t>Downer</t>
        </is>
      </c>
      <c r="B557" s="2" t="inlineStr">
        <is>
          <t>_CLOSED_Surfacing_South (Sealing)</t>
        </is>
      </c>
      <c r="C557" s="2" t="inlineStr">
        <is>
          <t>Other</t>
        </is>
      </c>
      <c r="D557" s="2" t="inlineStr">
        <is>
          <t>L9.DNZJ.55895</t>
        </is>
      </c>
      <c r="E557" s="2" t="n">
        <v>5112</v>
      </c>
      <c r="G557" s="2" t="inlineStr">
        <is>
          <t>Asphalt Surfacing for Road Construction - New facilities established for more granular reporting and to reflect new structure for FY17. See facility named "NZ-Infrastructure Services" for historical data.</t>
        </is>
      </c>
      <c r="H557" s="2" t="inlineStr">
        <is>
          <t>397 Mcleans Island Road, Harewood</t>
        </is>
      </c>
      <c r="I557" s="2" t="inlineStr">
        <is>
          <t>Christchurch</t>
        </is>
      </c>
      <c r="J557" s="2" t="inlineStr">
        <is>
          <t>Canterbury</t>
        </is>
      </c>
      <c r="K557" s="2" t="n">
        <v>3171</v>
      </c>
      <c r="L557" s="2" t="inlineStr">
        <is>
          <t>New Zealand</t>
        </is>
      </c>
      <c r="M557" s="2" t="inlineStr">
        <is>
          <t>Christchurch</t>
        </is>
      </c>
      <c r="N557" s="2" t="inlineStr">
        <is>
          <t>New Zealand</t>
        </is>
      </c>
      <c r="P557" s="2" t="inlineStr">
        <is>
          <t>Operational Control</t>
        </is>
      </c>
      <c r="Q557" s="2" t="inlineStr">
        <is>
          <t>Operational Control</t>
        </is>
      </c>
      <c r="R557" s="2" t="inlineStr">
        <is>
          <t>Transport &amp; Infrastructure (T&amp;I)</t>
        </is>
      </c>
      <c r="S557" s="2" t="inlineStr">
        <is>
          <t>Downer</t>
        </is>
      </c>
      <c r="T557" s="2" t="n">
        <v>100</v>
      </c>
      <c r="U557" s="2" t="inlineStr">
        <is>
          <t>1899/12/31</t>
        </is>
      </c>
      <c r="W557" s="2" t="inlineStr">
        <is>
          <t>Classification</t>
        </is>
      </c>
      <c r="X557" s="2" t="n">
        <v>-43.4764273</v>
      </c>
      <c r="Y557" s="2" t="n">
        <v>172.516733599999</v>
      </c>
      <c r="Z557" s="2" t="n">
        <v>310</v>
      </c>
      <c r="AA557" s="11" t="n">
        <v>42917</v>
      </c>
    </row>
    <row r="558">
      <c r="A558" s="2" t="inlineStr">
        <is>
          <t>Downer</t>
        </is>
      </c>
      <c r="B558" s="2" t="inlineStr">
        <is>
          <t>_CLOSED_Sydney Metro Upgrades - P5</t>
        </is>
      </c>
      <c r="C558" s="2" t="inlineStr">
        <is>
          <t>Construction Site</t>
        </is>
      </c>
      <c r="D558" s="2" t="inlineStr">
        <is>
          <t>L9.J.20041099</t>
        </is>
      </c>
      <c r="G558" s="2" t="inlineStr">
        <is>
          <t>Upgrades of 3 stations: Dulwich Hill; Campsie; Punchbowl</t>
        </is>
      </c>
      <c r="H558" s="2" t="inlineStr">
        <is>
          <t>99 Bridge Road</t>
        </is>
      </c>
      <c r="I558" s="2" t="inlineStr">
        <is>
          <t>Belmore</t>
        </is>
      </c>
      <c r="J558" s="2" t="inlineStr">
        <is>
          <t>NSW</t>
        </is>
      </c>
      <c r="K558" s="2" t="n">
        <v>2192</v>
      </c>
      <c r="M558" s="2" t="inlineStr">
        <is>
          <t>Sydney</t>
        </is>
      </c>
      <c r="N558" s="2" t="inlineStr">
        <is>
          <t>Australia</t>
        </is>
      </c>
      <c r="P558" s="2" t="inlineStr">
        <is>
          <t>Operational Control</t>
        </is>
      </c>
      <c r="Q558" s="2" t="inlineStr">
        <is>
          <t>Operational Control</t>
        </is>
      </c>
      <c r="R558" s="2" t="inlineStr">
        <is>
          <t>DT Infrastructure (pre Sept 23 divestment)</t>
        </is>
      </c>
      <c r="S558" s="2" t="inlineStr">
        <is>
          <t>Downer</t>
        </is>
      </c>
      <c r="T558" s="2" t="n">
        <v>100</v>
      </c>
      <c r="V558" s="11" t="n">
        <v>45199</v>
      </c>
      <c r="W558" s="2" t="inlineStr">
        <is>
          <t>Classification</t>
        </is>
      </c>
      <c r="AB558" s="11" t="n">
        <v>45198</v>
      </c>
    </row>
    <row r="559">
      <c r="A559" s="2" t="inlineStr">
        <is>
          <t>Downer</t>
        </is>
      </c>
      <c r="B559" s="2" t="inlineStr">
        <is>
          <t>_CLOSED_Sydney Metro Upgrades - P6</t>
        </is>
      </c>
      <c r="C559" s="2" t="inlineStr">
        <is>
          <t>Construction Site</t>
        </is>
      </c>
      <c r="D559" s="2" t="inlineStr">
        <is>
          <t>L9.J.20041100</t>
        </is>
      </c>
      <c r="E559" s="2" t="inlineStr">
        <is>
          <t>IP-20041100</t>
        </is>
      </c>
      <c r="G559" s="2" t="inlineStr">
        <is>
          <t>Upgrades of 3 stations: Hurlstone Park; Wiley Park; Belmore</t>
        </is>
      </c>
      <c r="M559" s="2" t="inlineStr">
        <is>
          <t>New South Wales</t>
        </is>
      </c>
      <c r="N559" s="2" t="inlineStr">
        <is>
          <t>Australia</t>
        </is>
      </c>
      <c r="P559" s="2" t="inlineStr">
        <is>
          <t>Operational Control</t>
        </is>
      </c>
      <c r="Q559" s="2" t="inlineStr">
        <is>
          <t>Operational Control</t>
        </is>
      </c>
      <c r="R559" s="2" t="inlineStr">
        <is>
          <t>DT Infrastructure (pre Sept 23 divestment)</t>
        </is>
      </c>
      <c r="S559" s="2" t="inlineStr">
        <is>
          <t>Downer</t>
        </is>
      </c>
      <c r="T559" s="2" t="n">
        <v>100</v>
      </c>
      <c r="V559" s="11" t="n">
        <v>45199</v>
      </c>
      <c r="W559" s="2" t="inlineStr">
        <is>
          <t>Classification</t>
        </is>
      </c>
      <c r="AB559" s="11" t="n">
        <v>45198</v>
      </c>
    </row>
    <row r="560">
      <c r="A560" s="2" t="inlineStr">
        <is>
          <t>Downer</t>
        </is>
      </c>
      <c r="B560" s="2" t="inlineStr">
        <is>
          <t>_CLOSED_T_Auckland</t>
        </is>
      </c>
      <c r="C560" s="2" t="inlineStr">
        <is>
          <t>Other</t>
        </is>
      </c>
      <c r="D560" s="2" t="inlineStr">
        <is>
          <t>L9.DNZJ.55804</t>
        </is>
      </c>
      <c r="E560" s="2" t="n">
        <v>5113</v>
      </c>
      <c r="G560" s="2" t="inlineStr">
        <is>
          <t>Construction and Maintenance of Transport Infrastructure - New facilities established for more granular reporting and to reflect new structure for FY17. See facility named "NZ-Infrastructure Services" for historical data.</t>
        </is>
      </c>
      <c r="H560" s="2" t="inlineStr">
        <is>
          <t>645 Great South Rd, Penrose</t>
        </is>
      </c>
      <c r="I560" s="2" t="inlineStr">
        <is>
          <t>Auckland</t>
        </is>
      </c>
      <c r="J560" s="2" t="inlineStr">
        <is>
          <t>Auckland</t>
        </is>
      </c>
      <c r="K560" s="2" t="n">
        <v>8051</v>
      </c>
      <c r="L560" s="2" t="inlineStr">
        <is>
          <t>New Zealand</t>
        </is>
      </c>
      <c r="M560" s="2" t="inlineStr">
        <is>
          <t>Panmure</t>
        </is>
      </c>
      <c r="N560" s="2" t="inlineStr">
        <is>
          <t>New Zealand</t>
        </is>
      </c>
      <c r="P560" s="2" t="inlineStr">
        <is>
          <t>Operational Control</t>
        </is>
      </c>
      <c r="Q560" s="2" t="inlineStr">
        <is>
          <t>Operational Control</t>
        </is>
      </c>
      <c r="R560" s="2" t="inlineStr">
        <is>
          <t>Transport &amp; Infrastructure (T&amp;I)</t>
        </is>
      </c>
      <c r="S560" s="2" t="inlineStr">
        <is>
          <t>Downer</t>
        </is>
      </c>
      <c r="T560" s="2" t="n">
        <v>100</v>
      </c>
      <c r="U560" s="2" t="inlineStr">
        <is>
          <t>1899/12/31</t>
        </is>
      </c>
      <c r="W560" s="2" t="inlineStr">
        <is>
          <t>Classification</t>
        </is>
      </c>
      <c r="X560" s="2" t="n">
        <v>-36.9152136</v>
      </c>
      <c r="Y560" s="2" t="n">
        <v>174.820280899999</v>
      </c>
      <c r="Z560" s="2" t="n">
        <v>310</v>
      </c>
      <c r="AA560" s="11" t="n">
        <v>42917</v>
      </c>
    </row>
    <row r="561">
      <c r="A561" s="2" t="inlineStr">
        <is>
          <t>Downer</t>
        </is>
      </c>
      <c r="B561" s="2" t="inlineStr">
        <is>
          <t>_CLOSED_T_Bay of Plenty</t>
        </is>
      </c>
      <c r="C561" s="2" t="inlineStr">
        <is>
          <t>Other</t>
        </is>
      </c>
      <c r="D561" s="2" t="inlineStr">
        <is>
          <t>L9.DNZJ.55812</t>
        </is>
      </c>
      <c r="E561" s="2" t="n">
        <v>5114</v>
      </c>
      <c r="G561" s="2" t="inlineStr">
        <is>
          <t>Construction and Maintenance of Transport Infrastructure - New facilities established for more granular reporting and to reflect new structure for FY17. See facility named "NZ-Infrastructure Services" for historical data.</t>
        </is>
      </c>
      <c r="H561" s="2" t="inlineStr">
        <is>
          <t>58 Taurikura Drive, Tauriko</t>
        </is>
      </c>
      <c r="I561" s="2" t="inlineStr">
        <is>
          <t>Tauranga</t>
        </is>
      </c>
      <c r="J561" s="2" t="inlineStr">
        <is>
          <t>Bay of Plenty</t>
        </is>
      </c>
      <c r="K561" s="2" t="n">
        <v>3920</v>
      </c>
      <c r="L561" s="2" t="inlineStr">
        <is>
          <t>New Zealand</t>
        </is>
      </c>
      <c r="M561" s="2" t="inlineStr">
        <is>
          <t>Tauranga</t>
        </is>
      </c>
      <c r="N561" s="2" t="inlineStr">
        <is>
          <t>New Zealand</t>
        </is>
      </c>
      <c r="P561" s="2" t="inlineStr">
        <is>
          <t>Operational Control</t>
        </is>
      </c>
      <c r="Q561" s="2" t="inlineStr">
        <is>
          <t>Operational Control</t>
        </is>
      </c>
      <c r="R561" s="2" t="inlineStr">
        <is>
          <t>Transport &amp; Infrastructure (T&amp;I)</t>
        </is>
      </c>
      <c r="S561" s="2" t="inlineStr">
        <is>
          <t>Downer</t>
        </is>
      </c>
      <c r="T561" s="2" t="n">
        <v>100</v>
      </c>
      <c r="U561" s="2" t="inlineStr">
        <is>
          <t>1899/12/31</t>
        </is>
      </c>
      <c r="W561" s="2" t="inlineStr">
        <is>
          <t>Classification</t>
        </is>
      </c>
      <c r="X561" s="2" t="n">
        <v>-37.7421669999999</v>
      </c>
      <c r="Y561" s="2" t="n">
        <v>176.101698899999</v>
      </c>
      <c r="Z561" s="2" t="n">
        <v>310</v>
      </c>
      <c r="AA561" s="11" t="n">
        <v>42917</v>
      </c>
    </row>
    <row r="562">
      <c r="A562" s="2" t="inlineStr">
        <is>
          <t>Downer</t>
        </is>
      </c>
      <c r="B562" s="2" t="inlineStr">
        <is>
          <t>_CLOSED_T_Canterbury</t>
        </is>
      </c>
      <c r="C562" s="2" t="inlineStr">
        <is>
          <t>Other</t>
        </is>
      </c>
      <c r="D562" s="2" t="inlineStr">
        <is>
          <t>L9.DNZJ.55880</t>
        </is>
      </c>
      <c r="E562" s="2" t="n">
        <v>5115</v>
      </c>
      <c r="G562" s="2" t="inlineStr">
        <is>
          <t>Construction and Maintenance of Transport Infrastructure - New facilities established for more granular reporting and to reflect new structure for FY17. See facility named "NZ-Infrastructure Services" for historical data.</t>
        </is>
      </c>
      <c r="H562" s="2" t="inlineStr">
        <is>
          <t>397 Mcleans Island Road, Harewood</t>
        </is>
      </c>
      <c r="I562" s="2" t="inlineStr">
        <is>
          <t>Christchurch</t>
        </is>
      </c>
      <c r="J562" s="2" t="inlineStr">
        <is>
          <t>Canterbury</t>
        </is>
      </c>
      <c r="K562" s="2" t="n">
        <v>4175</v>
      </c>
      <c r="L562" s="2" t="inlineStr">
        <is>
          <t>New Zealand</t>
        </is>
      </c>
      <c r="M562" s="2" t="inlineStr">
        <is>
          <t>Christchurch</t>
        </is>
      </c>
      <c r="N562" s="2" t="inlineStr">
        <is>
          <t>New Zealand</t>
        </is>
      </c>
      <c r="P562" s="2" t="inlineStr">
        <is>
          <t>Operational Control</t>
        </is>
      </c>
      <c r="Q562" s="2" t="inlineStr">
        <is>
          <t>Operational Control</t>
        </is>
      </c>
      <c r="R562" s="2" t="inlineStr">
        <is>
          <t>Transport &amp; Infrastructure (T&amp;I)</t>
        </is>
      </c>
      <c r="S562" s="2" t="inlineStr">
        <is>
          <t>Downer</t>
        </is>
      </c>
      <c r="T562" s="2" t="n">
        <v>100</v>
      </c>
      <c r="U562" s="2" t="inlineStr">
        <is>
          <t>1899/12/31</t>
        </is>
      </c>
      <c r="W562" s="2" t="inlineStr">
        <is>
          <t>Classification</t>
        </is>
      </c>
      <c r="X562" s="2" t="n">
        <v>-43.4764273</v>
      </c>
      <c r="Y562" s="2" t="n">
        <v>172.516733599999</v>
      </c>
      <c r="Z562" s="2" t="n">
        <v>310</v>
      </c>
      <c r="AA562" s="11" t="n">
        <v>42917</v>
      </c>
    </row>
    <row r="563">
      <c r="A563" s="2" t="inlineStr">
        <is>
          <t>Downer</t>
        </is>
      </c>
      <c r="B563" s="2" t="inlineStr">
        <is>
          <t>_CLOSED_T_Central North</t>
        </is>
      </c>
      <c r="C563" s="2" t="inlineStr">
        <is>
          <t>Other</t>
        </is>
      </c>
      <c r="D563" s="2" t="inlineStr">
        <is>
          <t>L9.DNZJ.55823</t>
        </is>
      </c>
      <c r="E563" s="2" t="n">
        <v>5116</v>
      </c>
      <c r="G563" s="2" t="inlineStr">
        <is>
          <t>Construction and Maintenance of Transport Infrastructure - New facilities established for more granular reporting and to reflect new structure for FY17. See facility named "NZ-Infrastructure Services" for historical data.</t>
        </is>
      </c>
      <c r="H563" s="2" t="inlineStr">
        <is>
          <t>58 Kururau Road</t>
        </is>
      </c>
      <c r="I563" s="2" t="inlineStr">
        <is>
          <t>Taumarunui</t>
        </is>
      </c>
      <c r="J563" s="2" t="inlineStr">
        <is>
          <t>Manawatu-Wanganui</t>
        </is>
      </c>
      <c r="K563" s="2" t="n">
        <v>4501</v>
      </c>
      <c r="L563" s="2" t="inlineStr">
        <is>
          <t>New Zealand</t>
        </is>
      </c>
      <c r="M563" s="2" t="inlineStr">
        <is>
          <t>Taumarunui</t>
        </is>
      </c>
      <c r="N563" s="2" t="inlineStr">
        <is>
          <t>New Zealand</t>
        </is>
      </c>
      <c r="P563" s="2" t="inlineStr">
        <is>
          <t>Operational Control</t>
        </is>
      </c>
      <c r="Q563" s="2" t="inlineStr">
        <is>
          <t>Operational Control</t>
        </is>
      </c>
      <c r="R563" s="2" t="inlineStr">
        <is>
          <t>Transport &amp; Infrastructure (T&amp;I)</t>
        </is>
      </c>
      <c r="S563" s="2" t="inlineStr">
        <is>
          <t>Downer</t>
        </is>
      </c>
      <c r="T563" s="2" t="n">
        <v>100</v>
      </c>
      <c r="U563" s="2" t="inlineStr">
        <is>
          <t>1899/12/31</t>
        </is>
      </c>
      <c r="W563" s="2" t="inlineStr">
        <is>
          <t>Classification</t>
        </is>
      </c>
      <c r="X563" s="2" t="n">
        <v>-38.8897055</v>
      </c>
      <c r="Y563" s="2" t="n">
        <v>175.246212499999</v>
      </c>
      <c r="Z563" s="2" t="n">
        <v>310</v>
      </c>
      <c r="AA563" s="11" t="n">
        <v>42917</v>
      </c>
    </row>
    <row r="564">
      <c r="A564" s="2" t="inlineStr">
        <is>
          <t>Downer</t>
        </is>
      </c>
      <c r="B564" s="2" t="inlineStr">
        <is>
          <t>_CLOSED_T_East Coast</t>
        </is>
      </c>
      <c r="C564" s="2" t="inlineStr">
        <is>
          <t>Other</t>
        </is>
      </c>
      <c r="D564" s="2" t="inlineStr">
        <is>
          <t>L9.DNZJ.55850</t>
        </is>
      </c>
      <c r="E564" s="2" t="n">
        <v>5117</v>
      </c>
      <c r="G564" s="2" t="inlineStr">
        <is>
          <t>Construction and Maintenance of Transport Infrastructure - New facilities established for more granular reporting and to reflect new structure for FY17. See facility named "NZ-Infrastructure Services" for historical data.</t>
        </is>
      </c>
      <c r="H564" s="2" t="inlineStr">
        <is>
          <t>1436 Omahu Road, Twyford</t>
        </is>
      </c>
      <c r="I564" s="2" t="inlineStr">
        <is>
          <t>Hastings</t>
        </is>
      </c>
      <c r="J564" s="2" t="inlineStr">
        <is>
          <t>Hawkes's Bay</t>
        </is>
      </c>
      <c r="K564" s="2" t="n">
        <v>110</v>
      </c>
      <c r="L564" s="2" t="inlineStr">
        <is>
          <t>New Zealand</t>
        </is>
      </c>
      <c r="M564" s="2" t="inlineStr">
        <is>
          <t>Hastings</t>
        </is>
      </c>
      <c r="N564" s="2" t="inlineStr">
        <is>
          <t>New Zealand</t>
        </is>
      </c>
      <c r="P564" s="2" t="inlineStr">
        <is>
          <t>Operational Control</t>
        </is>
      </c>
      <c r="Q564" s="2" t="inlineStr">
        <is>
          <t>Operational Control</t>
        </is>
      </c>
      <c r="R564" s="2" t="inlineStr">
        <is>
          <t>Transport &amp; Infrastructure (T&amp;I)</t>
        </is>
      </c>
      <c r="S564" s="2" t="inlineStr">
        <is>
          <t>Downer</t>
        </is>
      </c>
      <c r="T564" s="2" t="n">
        <v>100</v>
      </c>
      <c r="U564" s="2" t="inlineStr">
        <is>
          <t>1899/12/31</t>
        </is>
      </c>
      <c r="W564" s="2" t="inlineStr">
        <is>
          <t>Classification</t>
        </is>
      </c>
      <c r="X564" s="2" t="n">
        <v>-39.6113005</v>
      </c>
      <c r="Y564" s="2" t="n">
        <v>176.7880201</v>
      </c>
      <c r="Z564" s="2" t="n">
        <v>310</v>
      </c>
      <c r="AA564" s="11" t="n">
        <v>42917</v>
      </c>
    </row>
    <row r="565">
      <c r="A565" s="2" t="inlineStr">
        <is>
          <t>Downer</t>
        </is>
      </c>
      <c r="B565" s="2" t="inlineStr">
        <is>
          <t>_CLOSED_T_Mid Central</t>
        </is>
      </c>
      <c r="C565" s="2" t="inlineStr">
        <is>
          <t>Other</t>
        </is>
      </c>
      <c r="D565" s="2" t="inlineStr">
        <is>
          <t>L9.DNZJ.55855</t>
        </is>
      </c>
      <c r="E565" s="2" t="n">
        <v>5118</v>
      </c>
      <c r="G565" s="2" t="inlineStr">
        <is>
          <t>Construction and Maintenance of Transport Infrastructure - New facilities established for more granular reporting and to reflect new structure for FY17. See facility named "NZ-Infrastructure Services" for historical data.</t>
        </is>
      </c>
      <c r="H565" s="2" t="inlineStr">
        <is>
          <t>501 Heads Rd, Castlecliff</t>
        </is>
      </c>
      <c r="I565" s="2" t="inlineStr">
        <is>
          <t>Wanganui</t>
        </is>
      </c>
      <c r="J565" s="2" t="inlineStr">
        <is>
          <t>Manawatu-Wanganui</t>
        </is>
      </c>
      <c r="K565" s="2" t="n">
        <v>9018</v>
      </c>
      <c r="L565" s="2" t="inlineStr">
        <is>
          <t>New Zealand</t>
        </is>
      </c>
      <c r="M565" s="2" t="inlineStr">
        <is>
          <t>Manawatu-Wanganui</t>
        </is>
      </c>
      <c r="N565" s="2" t="inlineStr">
        <is>
          <t>New Zealand</t>
        </is>
      </c>
      <c r="P565" s="2" t="inlineStr">
        <is>
          <t>Operational Control</t>
        </is>
      </c>
      <c r="Q565" s="2" t="inlineStr">
        <is>
          <t>Operational Control</t>
        </is>
      </c>
      <c r="R565" s="2" t="inlineStr">
        <is>
          <t>Transport &amp; Infrastructure (T&amp;I)</t>
        </is>
      </c>
      <c r="S565" s="2" t="inlineStr">
        <is>
          <t>Downer</t>
        </is>
      </c>
      <c r="T565" s="2" t="n">
        <v>100</v>
      </c>
      <c r="U565" s="2" t="inlineStr">
        <is>
          <t>1899/12/31</t>
        </is>
      </c>
      <c r="W565" s="2" t="inlineStr">
        <is>
          <t>Classification</t>
        </is>
      </c>
      <c r="X565" s="2" t="n">
        <v>-39.9436207999999</v>
      </c>
      <c r="Y565" s="2" t="n">
        <v>174.9952482</v>
      </c>
      <c r="Z565" s="2" t="n">
        <v>310</v>
      </c>
      <c r="AA565" s="11" t="n">
        <v>42917</v>
      </c>
    </row>
    <row r="566">
      <c r="A566" s="2" t="inlineStr">
        <is>
          <t>Downer</t>
        </is>
      </c>
      <c r="B566" s="2" t="inlineStr">
        <is>
          <t>_CLOSED_T_Millings</t>
        </is>
      </c>
      <c r="C566" s="2" t="inlineStr">
        <is>
          <t>Operations Center</t>
        </is>
      </c>
      <c r="D566" s="2" t="inlineStr">
        <is>
          <t>L9.DNZJ.3516</t>
        </is>
      </c>
      <c r="E566" s="2" t="n">
        <v>5287</v>
      </c>
      <c r="G566" s="2" t="inlineStr">
        <is>
          <t>Milling crew previously reporting under Penrose Deport - now assigned to head office</t>
        </is>
      </c>
      <c r="M566" s="2" t="inlineStr">
        <is>
          <t>Auckland City</t>
        </is>
      </c>
      <c r="N566" s="2" t="inlineStr">
        <is>
          <t>New Zealand</t>
        </is>
      </c>
      <c r="P566" s="2" t="inlineStr">
        <is>
          <t>Operational Control</t>
        </is>
      </c>
      <c r="Q566" s="2" t="inlineStr">
        <is>
          <t>Operational Control</t>
        </is>
      </c>
      <c r="R566" s="2" t="inlineStr">
        <is>
          <t>Transport &amp; Infrastructure (T&amp;I)</t>
        </is>
      </c>
      <c r="S566" s="2" t="inlineStr">
        <is>
          <t>Downer</t>
        </is>
      </c>
      <c r="T566" s="2" t="n">
        <v>100</v>
      </c>
      <c r="U566" s="2" t="inlineStr">
        <is>
          <t>1899/12/31</t>
        </is>
      </c>
      <c r="W566" s="2" t="inlineStr">
        <is>
          <t>Classification</t>
        </is>
      </c>
    </row>
    <row r="567">
      <c r="A567" s="2" t="inlineStr">
        <is>
          <t>Downer</t>
        </is>
      </c>
      <c r="B567" s="2" t="inlineStr">
        <is>
          <t>_CLOSED_T_MiniTankers</t>
        </is>
      </c>
      <c r="C567" s="2" t="inlineStr">
        <is>
          <t>Other</t>
        </is>
      </c>
      <c r="D567" s="2" t="inlineStr">
        <is>
          <t>L9.DNZJ.55000</t>
        </is>
      </c>
      <c r="E567" s="2" t="n">
        <v>5333</v>
      </c>
      <c r="G567" s="2" t="inlineStr">
        <is>
          <t>Minitanker Charges</t>
        </is>
      </c>
      <c r="M567" s="2" t="inlineStr">
        <is>
          <t>Auckland</t>
        </is>
      </c>
      <c r="N567" s="2" t="inlineStr">
        <is>
          <t>New Zealand</t>
        </is>
      </c>
      <c r="P567" s="2" t="inlineStr">
        <is>
          <t>Operational Control</t>
        </is>
      </c>
      <c r="Q567" s="2" t="inlineStr">
        <is>
          <t>Operational Control</t>
        </is>
      </c>
      <c r="R567" s="2" t="inlineStr">
        <is>
          <t>Transport &amp; Infrastructure (T&amp;I)</t>
        </is>
      </c>
      <c r="S567" s="2" t="inlineStr">
        <is>
          <t>Downer</t>
        </is>
      </c>
      <c r="T567" s="2" t="n">
        <v>100</v>
      </c>
      <c r="U567" s="2" t="inlineStr">
        <is>
          <t>1899/12/31</t>
        </is>
      </c>
      <c r="W567" s="2" t="inlineStr">
        <is>
          <t>Classification</t>
        </is>
      </c>
    </row>
    <row r="568">
      <c r="A568" s="2" t="inlineStr">
        <is>
          <t>Downer</t>
        </is>
      </c>
      <c r="B568" s="2" t="inlineStr">
        <is>
          <t>_CLOSED_T_North_Balance of Plant Turitea</t>
        </is>
      </c>
      <c r="C568" s="2" t="inlineStr">
        <is>
          <t>Construction Site</t>
        </is>
      </c>
      <c r="D568" s="2" t="inlineStr">
        <is>
          <t>L9.DNZJ.352401</t>
        </is>
      </c>
      <c r="E568" s="2" t="inlineStr">
        <is>
          <t>L9.DNZJ.352401</t>
        </is>
      </c>
      <c r="M568" s="2" t="inlineStr">
        <is>
          <t>Manawatu-Wanganui</t>
        </is>
      </c>
      <c r="N568" s="2" t="inlineStr">
        <is>
          <t>New Zealand</t>
        </is>
      </c>
      <c r="P568" s="2" t="inlineStr">
        <is>
          <t>Operational Control</t>
        </is>
      </c>
      <c r="Q568" s="2" t="inlineStr">
        <is>
          <t>Operational Control</t>
        </is>
      </c>
      <c r="R568" s="2" t="inlineStr">
        <is>
          <t>Transport &amp; Infrastructure (T&amp;I)</t>
        </is>
      </c>
      <c r="S568" s="2" t="inlineStr">
        <is>
          <t>Downer</t>
        </is>
      </c>
      <c r="T568" s="2" t="n">
        <v>100</v>
      </c>
      <c r="U568" s="2" t="inlineStr">
        <is>
          <t>1899/12/31</t>
        </is>
      </c>
      <c r="W568" s="2" t="inlineStr">
        <is>
          <t>Classification</t>
        </is>
      </c>
    </row>
    <row r="569">
      <c r="A569" s="2" t="inlineStr">
        <is>
          <t>Downer</t>
        </is>
      </c>
      <c r="B569" s="2" t="inlineStr">
        <is>
          <t>_CLOSED_T_North_Calliope South Wharf Upgrade</t>
        </is>
      </c>
      <c r="C569" s="2" t="inlineStr">
        <is>
          <t>Construction Site</t>
        </is>
      </c>
      <c r="D569" s="2" t="inlineStr">
        <is>
          <t>L9.DNZJ.DN1166</t>
        </is>
      </c>
      <c r="E569" s="2" t="n">
        <v>5315</v>
      </c>
      <c r="M569" s="2" t="inlineStr">
        <is>
          <t>Auckland</t>
        </is>
      </c>
      <c r="N569" s="2" t="inlineStr">
        <is>
          <t>New Zealand</t>
        </is>
      </c>
      <c r="P569" s="2" t="inlineStr">
        <is>
          <t>Operational Control</t>
        </is>
      </c>
      <c r="Q569" s="2" t="inlineStr">
        <is>
          <t>Operational Control</t>
        </is>
      </c>
      <c r="R569" s="2" t="inlineStr">
        <is>
          <t>Transport &amp; Infrastructure (T&amp;I)</t>
        </is>
      </c>
      <c r="S569" s="2" t="inlineStr">
        <is>
          <t>Downer</t>
        </is>
      </c>
      <c r="T569" s="2" t="n">
        <v>100</v>
      </c>
      <c r="U569" s="2" t="inlineStr">
        <is>
          <t>1899/12/31</t>
        </is>
      </c>
      <c r="W569" s="2" t="inlineStr">
        <is>
          <t>Classification</t>
        </is>
      </c>
    </row>
    <row r="570">
      <c r="A570" s="2" t="inlineStr">
        <is>
          <t>Downer</t>
        </is>
      </c>
      <c r="B570" s="2" t="inlineStr">
        <is>
          <t>_CLOSED_T_North_CRL-C1-JV</t>
        </is>
      </c>
      <c r="C570" s="2" t="inlineStr">
        <is>
          <t>Construction Site</t>
        </is>
      </c>
      <c r="D570" s="2" t="inlineStr">
        <is>
          <t>L9.DNZJ.PN4173</t>
        </is>
      </c>
      <c r="E570" s="2" t="n">
        <v>5298</v>
      </c>
      <c r="G570" s="2" t="inlineStr">
        <is>
          <t>Project Site Office - New facilities established in FY19 as a new JV</t>
        </is>
      </c>
      <c r="M570" s="2" t="inlineStr">
        <is>
          <t>Auckland City</t>
        </is>
      </c>
      <c r="N570" s="2" t="inlineStr">
        <is>
          <t>New Zealand</t>
        </is>
      </c>
      <c r="P570" s="2" t="inlineStr">
        <is>
          <t>Operational Control</t>
        </is>
      </c>
      <c r="Q570" s="2" t="inlineStr">
        <is>
          <t>Operational Control</t>
        </is>
      </c>
      <c r="R570" s="2" t="inlineStr">
        <is>
          <t>Transport &amp; Infrastructure (T&amp;I)</t>
        </is>
      </c>
      <c r="S570" s="2" t="inlineStr">
        <is>
          <t>Downer</t>
        </is>
      </c>
      <c r="T570" s="2" t="n">
        <v>100</v>
      </c>
      <c r="U570" s="2" t="inlineStr">
        <is>
          <t>1899/12/31</t>
        </is>
      </c>
      <c r="W570" s="2" t="inlineStr">
        <is>
          <t>Classification</t>
        </is>
      </c>
      <c r="Z570" s="2" t="n">
        <v>310</v>
      </c>
    </row>
    <row r="571">
      <c r="A571" s="2" t="inlineStr">
        <is>
          <t>Downer</t>
        </is>
      </c>
      <c r="B571" s="2" t="inlineStr">
        <is>
          <t>_CLOSED_T_North_CRL-C3-JV</t>
        </is>
      </c>
      <c r="C571" s="2" t="inlineStr">
        <is>
          <t>Construction Site</t>
        </is>
      </c>
      <c r="D571" s="2" t="inlineStr">
        <is>
          <t>L9.DNZJ.PN4201</t>
        </is>
      </c>
      <c r="E571" s="2" t="n">
        <v>5325</v>
      </c>
      <c r="M571" s="2" t="inlineStr">
        <is>
          <t>Auckland City</t>
        </is>
      </c>
      <c r="N571" s="2" t="inlineStr">
        <is>
          <t>New Zealand</t>
        </is>
      </c>
      <c r="P571" s="2" t="inlineStr">
        <is>
          <t>Operational Control</t>
        </is>
      </c>
      <c r="Q571" s="2" t="inlineStr">
        <is>
          <t>Operational Control</t>
        </is>
      </c>
      <c r="R571" s="2" t="inlineStr">
        <is>
          <t>Transport &amp; Infrastructure (T&amp;I)</t>
        </is>
      </c>
      <c r="S571" s="2" t="inlineStr">
        <is>
          <t>Downer</t>
        </is>
      </c>
      <c r="T571" s="2" t="n">
        <v>100</v>
      </c>
      <c r="U571" s="2" t="inlineStr">
        <is>
          <t>1899/12/31</t>
        </is>
      </c>
      <c r="W571" s="2" t="inlineStr">
        <is>
          <t>Classification</t>
        </is>
      </c>
    </row>
    <row r="572">
      <c r="A572" s="2" t="inlineStr">
        <is>
          <t>Downer</t>
        </is>
      </c>
      <c r="B572" s="2" t="inlineStr">
        <is>
          <t>_CLOSED_T_North_Downtown IDP-JV</t>
        </is>
      </c>
      <c r="C572" s="2" t="inlineStr">
        <is>
          <t>Construction Site</t>
        </is>
      </c>
      <c r="D572" s="2" t="inlineStr">
        <is>
          <t>L9.DNZJ.PN4197</t>
        </is>
      </c>
      <c r="E572" s="2" t="n">
        <v>5314</v>
      </c>
      <c r="M572" s="2" t="inlineStr">
        <is>
          <t>Auckland</t>
        </is>
      </c>
      <c r="N572" s="2" t="inlineStr">
        <is>
          <t>New Zealand</t>
        </is>
      </c>
      <c r="P572" s="2" t="inlineStr">
        <is>
          <t>Operational Control</t>
        </is>
      </c>
      <c r="Q572" s="2" t="inlineStr">
        <is>
          <t>Operational Control</t>
        </is>
      </c>
      <c r="R572" s="2" t="inlineStr">
        <is>
          <t>Transport &amp; Infrastructure (T&amp;I)</t>
        </is>
      </c>
      <c r="S572" s="2" t="inlineStr">
        <is>
          <t>Downer</t>
        </is>
      </c>
      <c r="T572" s="2" t="n">
        <v>100</v>
      </c>
      <c r="U572" s="2" t="inlineStr">
        <is>
          <t>1899/12/31</t>
        </is>
      </c>
      <c r="W572" s="2" t="inlineStr">
        <is>
          <t>Classification</t>
        </is>
      </c>
    </row>
    <row r="573">
      <c r="A573" s="2" t="inlineStr">
        <is>
          <t>Downer</t>
        </is>
      </c>
      <c r="B573" s="2" t="inlineStr">
        <is>
          <t>_CLOSED_T_North_Longswamp</t>
        </is>
      </c>
      <c r="C573" s="2" t="inlineStr">
        <is>
          <t>Other</t>
        </is>
      </c>
      <c r="D573" s="2" t="inlineStr">
        <is>
          <t>L9.DNZJ.PN4172</t>
        </is>
      </c>
      <c r="E573" s="2" t="n">
        <v>5176</v>
      </c>
      <c r="G573" s="2" t="inlineStr">
        <is>
          <t>Project Site Office - New facilities established for more granular reporting and to reflect new structure for FY17. See facility named "NZ-Major Projects" for historical data. - NZTA</t>
        </is>
      </c>
      <c r="H573" s="2" t="inlineStr">
        <is>
          <t>5 Paddy Road, Te Kauwhata, Waikato, 3782</t>
        </is>
      </c>
      <c r="I573" s="2" t="inlineStr">
        <is>
          <t>Hamilton / Te Kauwhata</t>
        </is>
      </c>
      <c r="J573" s="2" t="inlineStr">
        <is>
          <t>Waikato</t>
        </is>
      </c>
      <c r="K573" s="2" t="n">
        <v>612</v>
      </c>
      <c r="L573" s="2" t="inlineStr">
        <is>
          <t>New Zealand</t>
        </is>
      </c>
      <c r="M573" s="2" t="inlineStr">
        <is>
          <t>Te Kauwhata</t>
        </is>
      </c>
      <c r="N573" s="2" t="inlineStr">
        <is>
          <t>New Zealand</t>
        </is>
      </c>
      <c r="P573" s="2" t="inlineStr">
        <is>
          <t>Operational Control</t>
        </is>
      </c>
      <c r="Q573" s="2" t="inlineStr">
        <is>
          <t>Operational Control</t>
        </is>
      </c>
      <c r="R573" s="2" t="inlineStr">
        <is>
          <t>Transport &amp; Infrastructure (T&amp;I)</t>
        </is>
      </c>
      <c r="S573" s="2" t="inlineStr">
        <is>
          <t>Downer</t>
        </is>
      </c>
      <c r="T573" s="2" t="n">
        <v>100</v>
      </c>
      <c r="U573" s="2" t="inlineStr">
        <is>
          <t>1899/12/31</t>
        </is>
      </c>
      <c r="W573" s="2" t="inlineStr">
        <is>
          <t>Classification</t>
        </is>
      </c>
      <c r="X573" s="2" t="n">
        <v>-37.3925959</v>
      </c>
      <c r="Y573" s="2" t="n">
        <v>175.1118617</v>
      </c>
      <c r="Z573" s="2" t="n">
        <v>310</v>
      </c>
      <c r="AA573" s="11" t="n">
        <v>42917</v>
      </c>
    </row>
    <row r="574">
      <c r="A574" s="2" t="inlineStr">
        <is>
          <t>Downer</t>
        </is>
      </c>
      <c r="B574" s="2" t="inlineStr">
        <is>
          <t>_CLOSED_T_North_MPA Costs-JV</t>
        </is>
      </c>
      <c r="C574" s="2" t="inlineStr">
        <is>
          <t>Construction Site</t>
        </is>
      </c>
      <c r="D574" s="2" t="inlineStr">
        <is>
          <t>L9.DNZJ.883004</t>
        </is>
      </c>
      <c r="E574" s="2" t="n">
        <v>5297</v>
      </c>
      <c r="G574" s="2" t="inlineStr">
        <is>
          <t>Project Site Office - New facilities established in FY19 as a new JV</t>
        </is>
      </c>
      <c r="M574" s="2" t="inlineStr">
        <is>
          <t>Wellington</t>
        </is>
      </c>
      <c r="N574" s="2" t="inlineStr">
        <is>
          <t>New Zealand</t>
        </is>
      </c>
      <c r="P574" s="2" t="inlineStr">
        <is>
          <t>Operational Control</t>
        </is>
      </c>
      <c r="Q574" s="2" t="inlineStr">
        <is>
          <t>Operational Control</t>
        </is>
      </c>
      <c r="R574" s="2" t="inlineStr">
        <is>
          <t>Transport &amp; Infrastructure (T&amp;I)</t>
        </is>
      </c>
      <c r="S574" s="2" t="inlineStr">
        <is>
          <t>Downer</t>
        </is>
      </c>
      <c r="T574" s="2" t="n">
        <v>100</v>
      </c>
      <c r="U574" s="2" t="inlineStr">
        <is>
          <t>1899/12/31</t>
        </is>
      </c>
      <c r="W574" s="2" t="inlineStr">
        <is>
          <t>Classification</t>
        </is>
      </c>
      <c r="Z574" s="2" t="n">
        <v>310</v>
      </c>
    </row>
    <row r="575">
      <c r="A575" s="2" t="inlineStr">
        <is>
          <t>Downer</t>
        </is>
      </c>
      <c r="B575" s="2" t="inlineStr">
        <is>
          <t>_CLOSED_T_North_Mt Messenger-JV</t>
        </is>
      </c>
      <c r="C575" s="2" t="inlineStr">
        <is>
          <t>Construction Site</t>
        </is>
      </c>
      <c r="D575" s="2" t="inlineStr">
        <is>
          <t>L9.DNZJ.551528</t>
        </is>
      </c>
      <c r="E575" s="2" t="n">
        <v>5281</v>
      </c>
      <c r="G575" s="2" t="inlineStr">
        <is>
          <t>Project Site Office - New facilities established in FY19 as a new contract</t>
        </is>
      </c>
      <c r="M575" s="2" t="inlineStr">
        <is>
          <t>Wellington</t>
        </is>
      </c>
      <c r="N575" s="2" t="inlineStr">
        <is>
          <t>New Zealand</t>
        </is>
      </c>
      <c r="P575" s="2" t="inlineStr">
        <is>
          <t>Operational Control</t>
        </is>
      </c>
      <c r="Q575" s="2" t="inlineStr">
        <is>
          <t>Operational Control</t>
        </is>
      </c>
      <c r="R575" s="2" t="inlineStr">
        <is>
          <t>Transport &amp; Infrastructure (T&amp;I)</t>
        </is>
      </c>
      <c r="S575" s="2" t="inlineStr">
        <is>
          <t>Downer</t>
        </is>
      </c>
      <c r="T575" s="2" t="n">
        <v>100</v>
      </c>
      <c r="U575" s="2" t="inlineStr">
        <is>
          <t>1899/12/31</t>
        </is>
      </c>
      <c r="W575" s="2" t="inlineStr">
        <is>
          <t>Classification</t>
        </is>
      </c>
    </row>
    <row r="576">
      <c r="A576" s="2" t="inlineStr">
        <is>
          <t>Downer</t>
        </is>
      </c>
      <c r="B576" s="2" t="inlineStr">
        <is>
          <t>_CLOSED_T_North_Pukete 3 WWTW Upgrade</t>
        </is>
      </c>
      <c r="C576" s="2" t="inlineStr">
        <is>
          <t>Construction Site</t>
        </is>
      </c>
      <c r="D576" s="2" t="inlineStr">
        <is>
          <t>L9.DNZJ.DN1162</t>
        </is>
      </c>
      <c r="E576" s="2" t="n">
        <v>5284</v>
      </c>
      <c r="G576" s="2" t="inlineStr">
        <is>
          <t>Project Site Office - New facilities established in FY19 as a new contract</t>
        </is>
      </c>
      <c r="M576" s="2" t="inlineStr">
        <is>
          <t>Hamilton</t>
        </is>
      </c>
      <c r="N576" s="2" t="inlineStr">
        <is>
          <t>New Zealand</t>
        </is>
      </c>
      <c r="P576" s="2" t="inlineStr">
        <is>
          <t>Operational Control</t>
        </is>
      </c>
      <c r="Q576" s="2" t="inlineStr">
        <is>
          <t>Operational Control</t>
        </is>
      </c>
      <c r="R576" s="2" t="inlineStr">
        <is>
          <t>Transport &amp; Infrastructure (T&amp;I)</t>
        </is>
      </c>
      <c r="S576" s="2" t="inlineStr">
        <is>
          <t>Downer</t>
        </is>
      </c>
      <c r="T576" s="2" t="n">
        <v>100</v>
      </c>
      <c r="U576" s="2" t="inlineStr">
        <is>
          <t>1899/12/31</t>
        </is>
      </c>
      <c r="W576" s="2" t="inlineStr">
        <is>
          <t>Classification</t>
        </is>
      </c>
    </row>
    <row r="577">
      <c r="A577" s="2" t="inlineStr">
        <is>
          <t>Downer</t>
        </is>
      </c>
      <c r="B577" s="2" t="inlineStr">
        <is>
          <t>_CLOSED_T_North_Residual-Jobs-CWB-JDE</t>
        </is>
      </c>
      <c r="C577" s="2" t="inlineStr">
        <is>
          <t>Other</t>
        </is>
      </c>
      <c r="D577" s="2" t="inlineStr">
        <is>
          <t>L9.DNZJ.MN4153</t>
        </is>
      </c>
      <c r="E577" s="2" t="n">
        <v>5171</v>
      </c>
      <c r="G577" s="2" t="inlineStr">
        <is>
          <t>Support services for projects located at numerous sites throughout NZ - New facilities established for more granular reporting and to reflect new structure for FY17. See facility named "NZ-Major Projects" for historical data.</t>
        </is>
      </c>
      <c r="H577" s="2" t="inlineStr">
        <is>
          <t>130 Kerrs Road Wiri</t>
        </is>
      </c>
      <c r="I577" s="2" t="inlineStr">
        <is>
          <t>Auckland</t>
        </is>
      </c>
      <c r="J577" s="2" t="inlineStr">
        <is>
          <t>Auckland</t>
        </is>
      </c>
      <c r="K577" s="2" t="n">
        <v>1640</v>
      </c>
      <c r="L577" s="2" t="inlineStr">
        <is>
          <t>New Zealand</t>
        </is>
      </c>
      <c r="M577" s="2" t="inlineStr">
        <is>
          <t>Manurewa</t>
        </is>
      </c>
      <c r="N577" s="2" t="inlineStr">
        <is>
          <t>New Zealand</t>
        </is>
      </c>
      <c r="P577" s="2" t="inlineStr">
        <is>
          <t>Operational Control</t>
        </is>
      </c>
      <c r="Q577" s="2" t="inlineStr">
        <is>
          <t>Operational Control</t>
        </is>
      </c>
      <c r="R577" s="2" t="inlineStr">
        <is>
          <t>Transport &amp; Infrastructure (T&amp;I)</t>
        </is>
      </c>
      <c r="S577" s="2" t="inlineStr">
        <is>
          <t>Downer</t>
        </is>
      </c>
      <c r="T577" s="2" t="n">
        <v>100</v>
      </c>
      <c r="U577" s="2" t="inlineStr">
        <is>
          <t>1899/12/31</t>
        </is>
      </c>
      <c r="W577" s="2" t="inlineStr">
        <is>
          <t>Classification</t>
        </is>
      </c>
      <c r="X577" s="2" t="n">
        <v>-37.0083383</v>
      </c>
      <c r="Y577" s="2" t="n">
        <v>174.870573599999</v>
      </c>
      <c r="Z577" s="2" t="n">
        <v>310</v>
      </c>
      <c r="AA577" s="11" t="n">
        <v>42917</v>
      </c>
    </row>
    <row r="578">
      <c r="A578" s="2" t="inlineStr">
        <is>
          <t>Downer</t>
        </is>
      </c>
      <c r="B578" s="2" t="inlineStr">
        <is>
          <t>_CLOSED_T_North_Residual-Jobs-JDE</t>
        </is>
      </c>
      <c r="C578" s="2" t="inlineStr">
        <is>
          <t>Other</t>
        </is>
      </c>
      <c r="D578" s="2" t="inlineStr">
        <is>
          <t>L9.DNZJ.55925</t>
        </is>
      </c>
      <c r="E578" s="2" t="n">
        <v>5169</v>
      </c>
      <c r="G578" s="2" t="inlineStr">
        <is>
          <t>Support services for projects located at numerous sites throughout NZ - New facilities established for more granular reporting and to reflect new structure for FY17. See facility named "NZ-Major Projects" for historical data.</t>
        </is>
      </c>
      <c r="H578" s="2" t="inlineStr">
        <is>
          <t>130 Kerrs Road, Wiri</t>
        </is>
      </c>
      <c r="I578" s="2" t="inlineStr">
        <is>
          <t>Auckland</t>
        </is>
      </c>
      <c r="J578" s="2" t="inlineStr">
        <is>
          <t>Auckland</t>
        </is>
      </c>
      <c r="K578" s="2" t="n">
        <v>1640</v>
      </c>
      <c r="L578" s="2" t="inlineStr">
        <is>
          <t>New Zealand</t>
        </is>
      </c>
      <c r="M578" s="2" t="inlineStr">
        <is>
          <t>Manurewa</t>
        </is>
      </c>
      <c r="N578" s="2" t="inlineStr">
        <is>
          <t>New Zealand</t>
        </is>
      </c>
      <c r="P578" s="2" t="inlineStr">
        <is>
          <t>Operational Control</t>
        </is>
      </c>
      <c r="Q578" s="2" t="inlineStr">
        <is>
          <t>Operational Control</t>
        </is>
      </c>
      <c r="R578" s="2" t="inlineStr">
        <is>
          <t>Transport &amp; Infrastructure (T&amp;I)</t>
        </is>
      </c>
      <c r="S578" s="2" t="inlineStr">
        <is>
          <t>Downer</t>
        </is>
      </c>
      <c r="T578" s="2" t="n">
        <v>100</v>
      </c>
      <c r="U578" s="2" t="inlineStr">
        <is>
          <t>1899/12/31</t>
        </is>
      </c>
      <c r="W578" s="2" t="inlineStr">
        <is>
          <t>Classification</t>
        </is>
      </c>
      <c r="X578" s="2" t="n">
        <v>-37.0083383</v>
      </c>
      <c r="Y578" s="2" t="n">
        <v>174.870573599999</v>
      </c>
      <c r="Z578" s="2" t="n">
        <v>310</v>
      </c>
      <c r="AA578" s="11" t="n">
        <v>42917</v>
      </c>
    </row>
    <row r="579">
      <c r="A579" s="2" t="inlineStr">
        <is>
          <t>Downer</t>
        </is>
      </c>
      <c r="B579" s="2" t="inlineStr">
        <is>
          <t>_CLOSED_T_North_Residual-Jobs-Jobpac</t>
        </is>
      </c>
      <c r="C579" s="2" t="inlineStr">
        <is>
          <t>Other</t>
        </is>
      </c>
      <c r="D579" s="2" t="inlineStr">
        <is>
          <t>L9.DNZJ.DN1171</t>
        </is>
      </c>
      <c r="E579" s="2" t="n">
        <v>5173</v>
      </c>
      <c r="G579" s="2" t="inlineStr">
        <is>
          <t>Support services for projects located at numerous sites throughout NZ - New facilities established for more granular reporting and to reflect new structure for FY17. See facility named "NZ-Major Projects" for historical data.</t>
        </is>
      </c>
      <c r="H579" s="2" t="inlineStr">
        <is>
          <t>130 Kerrs Road Wiri</t>
        </is>
      </c>
      <c r="I579" s="2" t="inlineStr">
        <is>
          <t>Auckland</t>
        </is>
      </c>
      <c r="J579" s="2" t="inlineStr">
        <is>
          <t>Auckland</t>
        </is>
      </c>
      <c r="K579" s="2" t="n">
        <v>2024</v>
      </c>
      <c r="L579" s="2" t="inlineStr">
        <is>
          <t>New Zealand</t>
        </is>
      </c>
      <c r="M579" s="2" t="inlineStr">
        <is>
          <t>Manurewa</t>
        </is>
      </c>
      <c r="N579" s="2" t="inlineStr">
        <is>
          <t>New Zealand</t>
        </is>
      </c>
      <c r="P579" s="2" t="inlineStr">
        <is>
          <t>Operational Control</t>
        </is>
      </c>
      <c r="Q579" s="2" t="inlineStr">
        <is>
          <t>Operational Control</t>
        </is>
      </c>
      <c r="R579" s="2" t="inlineStr">
        <is>
          <t>Transport &amp; Infrastructure (T&amp;I)</t>
        </is>
      </c>
      <c r="S579" s="2" t="inlineStr">
        <is>
          <t>Downer</t>
        </is>
      </c>
      <c r="T579" s="2" t="n">
        <v>100</v>
      </c>
      <c r="U579" s="2" t="inlineStr">
        <is>
          <t>1899/12/31</t>
        </is>
      </c>
      <c r="W579" s="2" t="inlineStr">
        <is>
          <t>Classification</t>
        </is>
      </c>
      <c r="X579" s="2" t="n">
        <v>-37.0083383</v>
      </c>
      <c r="Y579" s="2" t="n">
        <v>174.870573599999</v>
      </c>
      <c r="Z579" s="2" t="n">
        <v>310</v>
      </c>
      <c r="AA579" s="11" t="n">
        <v>42917</v>
      </c>
    </row>
    <row r="580">
      <c r="A580" s="2" t="inlineStr">
        <is>
          <t>Downer</t>
        </is>
      </c>
      <c r="B580" s="2" t="inlineStr">
        <is>
          <t>_CLOSED_T_North_Rimutaka Prison Enhancements</t>
        </is>
      </c>
      <c r="C580" s="2" t="inlineStr">
        <is>
          <t>Construction Site</t>
        </is>
      </c>
      <c r="D580" s="2" t="inlineStr">
        <is>
          <t>L9.DNZJ.DN1167</t>
        </is>
      </c>
      <c r="E580" s="2" t="n">
        <v>5316</v>
      </c>
      <c r="M580" s="2" t="inlineStr">
        <is>
          <t>Wellington</t>
        </is>
      </c>
      <c r="N580" s="2" t="inlineStr">
        <is>
          <t>New Zealand</t>
        </is>
      </c>
      <c r="P580" s="2" t="inlineStr">
        <is>
          <t>Operational Control</t>
        </is>
      </c>
      <c r="Q580" s="2" t="inlineStr">
        <is>
          <t>Operational Control</t>
        </is>
      </c>
      <c r="R580" s="2" t="inlineStr">
        <is>
          <t>Transport &amp; Infrastructure (T&amp;I)</t>
        </is>
      </c>
      <c r="S580" s="2" t="inlineStr">
        <is>
          <t>Downer</t>
        </is>
      </c>
      <c r="T580" s="2" t="n">
        <v>100</v>
      </c>
      <c r="U580" s="2" t="inlineStr">
        <is>
          <t>1899/12/31</t>
        </is>
      </c>
      <c r="W580" s="2" t="inlineStr">
        <is>
          <t>Classification</t>
        </is>
      </c>
    </row>
    <row r="581">
      <c r="A581" s="2" t="inlineStr">
        <is>
          <t>Downer</t>
        </is>
      </c>
      <c r="B581" s="2" t="inlineStr">
        <is>
          <t>_CLOSED_T_North_SH16-Lincoln-Westgate-Upgrade</t>
        </is>
      </c>
      <c r="C581" s="2" t="inlineStr">
        <is>
          <t>Other</t>
        </is>
      </c>
      <c r="D581" s="2" t="inlineStr">
        <is>
          <t>L9.DNZJ.DN1138</t>
        </is>
      </c>
      <c r="E581" s="2" t="n">
        <v>5178</v>
      </c>
      <c r="G581" s="2" t="inlineStr">
        <is>
          <t>Project Site Office - New facilities established for more granular reporting and to reflect new structure for FY17. See facility named "NZ-Major Projects" for historical data. - NZTA</t>
        </is>
      </c>
      <c r="H581" s="2" t="inlineStr">
        <is>
          <t>2 Selwood Road, Henderson</t>
        </is>
      </c>
      <c r="I581" s="2" t="inlineStr">
        <is>
          <t>Auckland</t>
        </is>
      </c>
      <c r="J581" s="2" t="inlineStr">
        <is>
          <t>Auckland</t>
        </is>
      </c>
      <c r="K581" s="2" t="n">
        <v>1022</v>
      </c>
      <c r="L581" s="2" t="inlineStr">
        <is>
          <t>New Zealand</t>
        </is>
      </c>
      <c r="M581" s="2" t="inlineStr">
        <is>
          <t>Whenuapai</t>
        </is>
      </c>
      <c r="N581" s="2" t="inlineStr">
        <is>
          <t>New Zealand</t>
        </is>
      </c>
      <c r="P581" s="2" t="inlineStr">
        <is>
          <t>Operational Control</t>
        </is>
      </c>
      <c r="Q581" s="2" t="inlineStr">
        <is>
          <t>Operational Control</t>
        </is>
      </c>
      <c r="R581" s="2" t="inlineStr">
        <is>
          <t>Transport &amp; Infrastructure (T&amp;I)</t>
        </is>
      </c>
      <c r="S581" s="2" t="inlineStr">
        <is>
          <t>Downer</t>
        </is>
      </c>
      <c r="T581" s="2" t="n">
        <v>100</v>
      </c>
      <c r="U581" s="2" t="inlineStr">
        <is>
          <t>1899/12/31</t>
        </is>
      </c>
      <c r="W581" s="2" t="inlineStr">
        <is>
          <t>Classification</t>
        </is>
      </c>
      <c r="X581" s="2" t="n">
        <v>-36.845991</v>
      </c>
      <c r="Y581" s="2" t="n">
        <v>174.630588</v>
      </c>
      <c r="Z581" s="2" t="n">
        <v>310</v>
      </c>
      <c r="AA581" s="11" t="n">
        <v>42917</v>
      </c>
    </row>
    <row r="582">
      <c r="A582" s="2" t="inlineStr">
        <is>
          <t>Downer</t>
        </is>
      </c>
      <c r="B582" s="2" t="inlineStr">
        <is>
          <t>_CLOSED_T_North_Tarewa Itc - Nrhld Dlvr</t>
        </is>
      </c>
      <c r="C582" s="2" t="inlineStr">
        <is>
          <t>Construction Site</t>
        </is>
      </c>
      <c r="D582" s="2" t="inlineStr">
        <is>
          <t>L9.DNZJ.DN1157</t>
        </is>
      </c>
      <c r="E582" s="2" t="n">
        <v>5282</v>
      </c>
      <c r="G582" s="2" t="inlineStr">
        <is>
          <t>Project Site Office - New facilities established in FY19 as a new contract</t>
        </is>
      </c>
      <c r="M582" s="2" t="inlineStr">
        <is>
          <t>Whangarei</t>
        </is>
      </c>
      <c r="N582" s="2" t="inlineStr">
        <is>
          <t>New Zealand</t>
        </is>
      </c>
      <c r="P582" s="2" t="inlineStr">
        <is>
          <t>Operational Control</t>
        </is>
      </c>
      <c r="Q582" s="2" t="inlineStr">
        <is>
          <t>Operational Control</t>
        </is>
      </c>
      <c r="R582" s="2" t="inlineStr">
        <is>
          <t>Transport &amp; Infrastructure (T&amp;I)</t>
        </is>
      </c>
      <c r="S582" s="2" t="inlineStr">
        <is>
          <t>Downer</t>
        </is>
      </c>
      <c r="T582" s="2" t="n">
        <v>100</v>
      </c>
      <c r="U582" s="2" t="inlineStr">
        <is>
          <t>1899/12/31</t>
        </is>
      </c>
      <c r="W582" s="2" t="inlineStr">
        <is>
          <t>Classification</t>
        </is>
      </c>
    </row>
    <row r="583">
      <c r="A583" s="2" t="inlineStr">
        <is>
          <t>Downer</t>
        </is>
      </c>
      <c r="B583" s="2" t="inlineStr">
        <is>
          <t>_CLOSED_T_North_Western-Springs</t>
        </is>
      </c>
      <c r="C583" s="2" t="inlineStr">
        <is>
          <t>Other</t>
        </is>
      </c>
      <c r="D583" s="2" t="inlineStr">
        <is>
          <t>L9.DNZJ.DN1149</t>
        </is>
      </c>
      <c r="E583" s="2" t="n">
        <v>5180</v>
      </c>
      <c r="G583" s="2" t="inlineStr">
        <is>
          <t>Project Site Office - New facilities established for more granular reporting and to reflect new structure for FY17. See facility named "NZ-Major Projects" for historical data. - Ministry of Education</t>
        </is>
      </c>
      <c r="H583" s="2" t="inlineStr">
        <is>
          <t>100 Motions Road</t>
        </is>
      </c>
      <c r="I583" s="2" t="inlineStr">
        <is>
          <t>Auckland</t>
        </is>
      </c>
      <c r="J583" s="2" t="inlineStr">
        <is>
          <t>Auckland</t>
        </is>
      </c>
      <c r="K583" s="2" t="n">
        <v>7571</v>
      </c>
      <c r="L583" s="2" t="inlineStr">
        <is>
          <t>New Zealand</t>
        </is>
      </c>
      <c r="M583" s="2" t="inlineStr">
        <is>
          <t>Auckland City</t>
        </is>
      </c>
      <c r="N583" s="2" t="inlineStr">
        <is>
          <t>New Zealand</t>
        </is>
      </c>
      <c r="P583" s="2" t="inlineStr">
        <is>
          <t>Operational Control</t>
        </is>
      </c>
      <c r="Q583" s="2" t="inlineStr">
        <is>
          <t>Operational Control</t>
        </is>
      </c>
      <c r="R583" s="2" t="inlineStr">
        <is>
          <t>Transport &amp; Infrastructure (T&amp;I)</t>
        </is>
      </c>
      <c r="S583" s="2" t="inlineStr">
        <is>
          <t>Downer</t>
        </is>
      </c>
      <c r="T583" s="2" t="n">
        <v>100</v>
      </c>
      <c r="U583" s="2" t="inlineStr">
        <is>
          <t>1899/12/31</t>
        </is>
      </c>
      <c r="W583" s="2" t="inlineStr">
        <is>
          <t>Classification</t>
        </is>
      </c>
      <c r="X583" s="2" t="n">
        <v>-36.8626794</v>
      </c>
      <c r="Y583" s="2" t="n">
        <v>174.7172362</v>
      </c>
      <c r="Z583" s="2" t="n">
        <v>310</v>
      </c>
      <c r="AA583" s="11" t="n">
        <v>42917</v>
      </c>
    </row>
    <row r="584">
      <c r="A584" s="2" t="inlineStr">
        <is>
          <t>Downer</t>
        </is>
      </c>
      <c r="B584" s="2" t="inlineStr">
        <is>
          <t>_CLOSED_T_North_Wynyard Quarter Central</t>
        </is>
      </c>
      <c r="C584" s="2" t="inlineStr">
        <is>
          <t>Construction Site</t>
        </is>
      </c>
      <c r="D584" s="2" t="inlineStr">
        <is>
          <t>L9.DNZJ.DN1161</t>
        </is>
      </c>
      <c r="E584" s="2" t="n">
        <v>5283</v>
      </c>
      <c r="G584" s="2" t="inlineStr">
        <is>
          <t>Project Site Office - New facilities established in FY19 as a new contract</t>
        </is>
      </c>
      <c r="M584" s="2" t="inlineStr">
        <is>
          <t>Auckland City</t>
        </is>
      </c>
      <c r="N584" s="2" t="inlineStr">
        <is>
          <t>New Zealand</t>
        </is>
      </c>
      <c r="P584" s="2" t="inlineStr">
        <is>
          <t>Operational Control</t>
        </is>
      </c>
      <c r="Q584" s="2" t="inlineStr">
        <is>
          <t>Operational Control</t>
        </is>
      </c>
      <c r="R584" s="2" t="inlineStr">
        <is>
          <t>Transport &amp; Infrastructure (T&amp;I)</t>
        </is>
      </c>
      <c r="S584" s="2" t="inlineStr">
        <is>
          <t>Downer</t>
        </is>
      </c>
      <c r="T584" s="2" t="n">
        <v>100</v>
      </c>
      <c r="U584" s="2" t="inlineStr">
        <is>
          <t>1899/12/31</t>
        </is>
      </c>
      <c r="W584" s="2" t="inlineStr">
        <is>
          <t>Classification</t>
        </is>
      </c>
    </row>
    <row r="585">
      <c r="A585" s="2" t="inlineStr">
        <is>
          <t>Downer</t>
        </is>
      </c>
      <c r="B585" s="2" t="inlineStr">
        <is>
          <t>_CLOSED_T_Northland</t>
        </is>
      </c>
      <c r="C585" s="2" t="inlineStr">
        <is>
          <t>Other</t>
        </is>
      </c>
      <c r="D585" s="2" t="inlineStr">
        <is>
          <t>L9.DNZJ.55701</t>
        </is>
      </c>
      <c r="E585" s="2" t="n">
        <v>5119</v>
      </c>
      <c r="G585" s="2" t="inlineStr">
        <is>
          <t>Construction and Maintenance of Transport Infrastructure - New facilities established for more granular reporting and to reflect new structure for FY17. See facility named "NZ-Infrastructure Services" for historical data.</t>
        </is>
      </c>
      <c r="H585" s="2" t="inlineStr">
        <is>
          <t>120-122 Port Road</t>
        </is>
      </c>
      <c r="I585" s="2" t="inlineStr">
        <is>
          <t>Whangarei</t>
        </is>
      </c>
      <c r="J585" s="2" t="inlineStr">
        <is>
          <t>Northland</t>
        </is>
      </c>
      <c r="K585" s="2" t="n">
        <v>9600</v>
      </c>
      <c r="L585" s="2" t="inlineStr">
        <is>
          <t>New Zealand</t>
        </is>
      </c>
      <c r="M585" s="2" t="inlineStr">
        <is>
          <t>Whangarei</t>
        </is>
      </c>
      <c r="N585" s="2" t="inlineStr">
        <is>
          <t>New Zealand</t>
        </is>
      </c>
      <c r="P585" s="2" t="inlineStr">
        <is>
          <t>Operational Control</t>
        </is>
      </c>
      <c r="Q585" s="2" t="inlineStr">
        <is>
          <t>Operational Control</t>
        </is>
      </c>
      <c r="R585" s="2" t="inlineStr">
        <is>
          <t>Transport &amp; Infrastructure (T&amp;I)</t>
        </is>
      </c>
      <c r="S585" s="2" t="inlineStr">
        <is>
          <t>Downer</t>
        </is>
      </c>
      <c r="T585" s="2" t="n">
        <v>100</v>
      </c>
      <c r="U585" s="2" t="inlineStr">
        <is>
          <t>1899/12/31</t>
        </is>
      </c>
      <c r="W585" s="2" t="inlineStr">
        <is>
          <t>Classification</t>
        </is>
      </c>
      <c r="X585" s="2" t="n">
        <v>-35.7431694</v>
      </c>
      <c r="Y585" s="2" t="n">
        <v>174.3415903</v>
      </c>
      <c r="Z585" s="2" t="n">
        <v>310</v>
      </c>
      <c r="AA585" s="11" t="n">
        <v>42917</v>
      </c>
    </row>
    <row r="586">
      <c r="A586" s="2" t="inlineStr">
        <is>
          <t>Downer</t>
        </is>
      </c>
      <c r="B586" s="2" t="inlineStr">
        <is>
          <t>_CLOSED_T_Otago</t>
        </is>
      </c>
      <c r="C586" s="2" t="inlineStr">
        <is>
          <t>Other</t>
        </is>
      </c>
      <c r="D586" s="2" t="inlineStr">
        <is>
          <t>L9.DNZJ.55887</t>
        </is>
      </c>
      <c r="E586" s="2" t="n">
        <v>5120</v>
      </c>
      <c r="G586" s="2" t="inlineStr">
        <is>
          <t>Construction and Maintenance of Transport Infrastructure - New facilities established for more granular reporting and to reflect new structure for FY17. See facility named "NZ-Infrastructure Services" for historical data.</t>
        </is>
      </c>
      <c r="H586" s="2" t="inlineStr">
        <is>
          <t>133 Main South Road, Green Island</t>
        </is>
      </c>
      <c r="I586" s="2" t="inlineStr">
        <is>
          <t>Dunedin</t>
        </is>
      </c>
      <c r="J586" s="2" t="inlineStr">
        <is>
          <t>Otago</t>
        </is>
      </c>
      <c r="K586" s="2" t="n">
        <v>4312</v>
      </c>
      <c r="L586" s="2" t="inlineStr">
        <is>
          <t>New Zealand</t>
        </is>
      </c>
      <c r="M586" s="2" t="inlineStr">
        <is>
          <t>Musselburgh</t>
        </is>
      </c>
      <c r="N586" s="2" t="inlineStr">
        <is>
          <t>New Zealand</t>
        </is>
      </c>
      <c r="P586" s="2" t="inlineStr">
        <is>
          <t>Operational Control</t>
        </is>
      </c>
      <c r="Q586" s="2" t="inlineStr">
        <is>
          <t>Operational Control</t>
        </is>
      </c>
      <c r="R586" s="2" t="inlineStr">
        <is>
          <t>Transport &amp; Infrastructure (T&amp;I)</t>
        </is>
      </c>
      <c r="S586" s="2" t="inlineStr">
        <is>
          <t>Downer</t>
        </is>
      </c>
      <c r="T586" s="2" t="n">
        <v>100</v>
      </c>
      <c r="U586" s="2" t="inlineStr">
        <is>
          <t>1899/12/31</t>
        </is>
      </c>
      <c r="W586" s="2" t="inlineStr">
        <is>
          <t>Classification</t>
        </is>
      </c>
      <c r="X586" s="2" t="n">
        <v>-45.9016783</v>
      </c>
      <c r="Y586" s="2" t="n">
        <v>170.4409766</v>
      </c>
      <c r="Z586" s="2" t="n">
        <v>310</v>
      </c>
      <c r="AA586" s="11" t="n">
        <v>42917</v>
      </c>
    </row>
    <row r="587">
      <c r="A587" s="2" t="inlineStr">
        <is>
          <t>Downer</t>
        </is>
      </c>
      <c r="B587" s="2" t="inlineStr">
        <is>
          <t>_CLOSED_T_Pacific</t>
        </is>
      </c>
      <c r="C587" s="2" t="inlineStr">
        <is>
          <t>Unspecified</t>
        </is>
      </c>
      <c r="D587" s="2" t="inlineStr">
        <is>
          <t>L9.DNZJ.PN4201</t>
        </is>
      </c>
      <c r="E587" s="2" t="n">
        <v>5330</v>
      </c>
      <c r="M587" s="2" t="inlineStr">
        <is>
          <t>Auckland</t>
        </is>
      </c>
      <c r="N587" s="2" t="inlineStr">
        <is>
          <t>New Zealand</t>
        </is>
      </c>
      <c r="P587" s="2" t="inlineStr">
        <is>
          <t>Operational Control</t>
        </is>
      </c>
      <c r="Q587" s="2" t="inlineStr">
        <is>
          <t>Operational Control</t>
        </is>
      </c>
      <c r="R587" s="2" t="inlineStr">
        <is>
          <t>Transport &amp; Infrastructure (T&amp;I)</t>
        </is>
      </c>
      <c r="S587" s="2" t="inlineStr">
        <is>
          <t>Downer</t>
        </is>
      </c>
      <c r="T587" s="2" t="n">
        <v>100</v>
      </c>
      <c r="U587" s="2" t="inlineStr">
        <is>
          <t>1899/12/31</t>
        </is>
      </c>
      <c r="W587" s="2" t="inlineStr">
        <is>
          <t>Classification</t>
        </is>
      </c>
    </row>
    <row r="588">
      <c r="A588" s="2" t="inlineStr">
        <is>
          <t>Downer</t>
        </is>
      </c>
      <c r="B588" s="2" t="inlineStr">
        <is>
          <t>_CLOSED_T_South_AAC-Stage-2</t>
        </is>
      </c>
      <c r="C588" s="2" t="inlineStr">
        <is>
          <t>Other</t>
        </is>
      </c>
      <c r="D588" s="2" t="inlineStr">
        <is>
          <t>L9.DNZJ.816513</t>
        </is>
      </c>
      <c r="E588" s="2" t="n">
        <v>5184</v>
      </c>
      <c r="G588" s="2" t="inlineStr">
        <is>
          <t>Project Site Office - New facilities established for more granular reporting and to reflect new structure for FY17. See facility named "NZ-Major Projects" for historical data. - Otakaro</t>
        </is>
      </c>
      <c r="H588" s="2" t="inlineStr">
        <is>
          <t>225 Cashel Street</t>
        </is>
      </c>
      <c r="I588" s="2" t="inlineStr">
        <is>
          <t>Christchurch</t>
        </is>
      </c>
      <c r="J588" s="2" t="inlineStr">
        <is>
          <t>Canterbury</t>
        </is>
      </c>
      <c r="K588" s="2" t="n">
        <v>2104</v>
      </c>
      <c r="L588" s="2" t="inlineStr">
        <is>
          <t>New Zealand</t>
        </is>
      </c>
      <c r="M588" s="2" t="inlineStr">
        <is>
          <t>Christchurch</t>
        </is>
      </c>
      <c r="N588" s="2" t="inlineStr">
        <is>
          <t>New Zealand</t>
        </is>
      </c>
      <c r="P588" s="2" t="inlineStr">
        <is>
          <t>Operational Control</t>
        </is>
      </c>
      <c r="Q588" s="2" t="inlineStr">
        <is>
          <t>Operational Control</t>
        </is>
      </c>
      <c r="R588" s="2" t="inlineStr">
        <is>
          <t>Transport &amp; Infrastructure (T&amp;I)</t>
        </is>
      </c>
      <c r="S588" s="2" t="inlineStr">
        <is>
          <t>Downer</t>
        </is>
      </c>
      <c r="T588" s="2" t="n">
        <v>100</v>
      </c>
      <c r="U588" s="2" t="inlineStr">
        <is>
          <t>1899/12/31</t>
        </is>
      </c>
      <c r="W588" s="2" t="inlineStr">
        <is>
          <t>Classification</t>
        </is>
      </c>
      <c r="X588" s="2" t="n">
        <v>-43.532988</v>
      </c>
      <c r="Y588" s="2" t="n">
        <v>172.643452</v>
      </c>
      <c r="Z588" s="2" t="n">
        <v>310</v>
      </c>
      <c r="AA588" s="11" t="n">
        <v>42917</v>
      </c>
    </row>
    <row r="589">
      <c r="A589" s="2" t="inlineStr">
        <is>
          <t>Downer</t>
        </is>
      </c>
      <c r="B589" s="2" t="inlineStr">
        <is>
          <t>_CLOSED_T_South_Avon-River-Precinct</t>
        </is>
      </c>
      <c r="C589" s="2" t="inlineStr">
        <is>
          <t>Other</t>
        </is>
      </c>
      <c r="D589" s="2" t="inlineStr">
        <is>
          <t>L9.DNZP.DS1145</t>
        </is>
      </c>
      <c r="E589" s="2" t="n">
        <v>5183</v>
      </c>
      <c r="G589" s="2" t="inlineStr">
        <is>
          <t>Project Site Office - New facilities established for more granular reporting and to reflect new structure for FY17. See facility named "NZ-Major Projects" for historical data. - Otakaro</t>
        </is>
      </c>
      <c r="H589" s="2" t="inlineStr">
        <is>
          <t>153 Lichfield Strret</t>
        </is>
      </c>
      <c r="I589" s="2" t="inlineStr">
        <is>
          <t>Christchurch</t>
        </is>
      </c>
      <c r="J589" s="2" t="inlineStr">
        <is>
          <t>Canterbury</t>
        </is>
      </c>
      <c r="K589" s="2" t="n">
        <v>1010</v>
      </c>
      <c r="L589" s="2" t="inlineStr">
        <is>
          <t>New Zealand</t>
        </is>
      </c>
      <c r="M589" s="2" t="inlineStr">
        <is>
          <t>Christchurch</t>
        </is>
      </c>
      <c r="N589" s="2" t="inlineStr">
        <is>
          <t>New Zealand</t>
        </is>
      </c>
      <c r="P589" s="2" t="inlineStr">
        <is>
          <t>Operational Control</t>
        </is>
      </c>
      <c r="Q589" s="2" t="inlineStr">
        <is>
          <t>Operational Control</t>
        </is>
      </c>
      <c r="R589" s="2" t="inlineStr">
        <is>
          <t>Transport &amp; Infrastructure (T&amp;I)</t>
        </is>
      </c>
      <c r="S589" s="2" t="inlineStr">
        <is>
          <t>Downer</t>
        </is>
      </c>
      <c r="T589" s="2" t="n">
        <v>100</v>
      </c>
      <c r="U589" s="2" t="inlineStr">
        <is>
          <t>1899/12/31</t>
        </is>
      </c>
      <c r="W589" s="2" t="inlineStr">
        <is>
          <t>Classification</t>
        </is>
      </c>
      <c r="X589" s="2" t="n">
        <v>-43.534054</v>
      </c>
      <c r="Y589" s="2" t="n">
        <v>172.64341</v>
      </c>
      <c r="Z589" s="2" t="n">
        <v>310</v>
      </c>
      <c r="AA589" s="11" t="n">
        <v>42917</v>
      </c>
    </row>
    <row r="590">
      <c r="A590" s="2" t="inlineStr">
        <is>
          <t>Downer</t>
        </is>
      </c>
      <c r="B590" s="2" t="inlineStr">
        <is>
          <t>_CLOSED_T_South_Central-Plains-Build</t>
        </is>
      </c>
      <c r="C590" s="2" t="inlineStr">
        <is>
          <t>Other</t>
        </is>
      </c>
      <c r="D590" s="2" t="inlineStr">
        <is>
          <t>L9.DNZJ.MS2606</t>
        </is>
      </c>
      <c r="E590" s="2" t="n">
        <v>5182</v>
      </c>
      <c r="G590" s="2" t="inlineStr">
        <is>
          <t>Project Site Office - New facilities established for more granular reporting and to reflect new structure for FY17. See facility named "NZ-Major Projects" for historical data. - Central Plains Water Ltd</t>
        </is>
      </c>
      <c r="H590" s="2" t="inlineStr">
        <is>
          <t>1762 Telegraph Road</t>
        </is>
      </c>
      <c r="I590" s="2" t="inlineStr">
        <is>
          <t>Darfield</t>
        </is>
      </c>
      <c r="J590" s="2" t="inlineStr">
        <is>
          <t>Canterbury</t>
        </is>
      </c>
      <c r="K590" s="2" t="n">
        <v>8011</v>
      </c>
      <c r="L590" s="2" t="inlineStr">
        <is>
          <t>New Zealand</t>
        </is>
      </c>
      <c r="M590" s="2" t="inlineStr">
        <is>
          <t>Darfield</t>
        </is>
      </c>
      <c r="N590" s="2" t="inlineStr">
        <is>
          <t>New Zealand</t>
        </is>
      </c>
      <c r="P590" s="2" t="inlineStr">
        <is>
          <t>Operational Control</t>
        </is>
      </c>
      <c r="Q590" s="2" t="inlineStr">
        <is>
          <t>Operational Control</t>
        </is>
      </c>
      <c r="R590" s="2" t="inlineStr">
        <is>
          <t>Transport &amp; Infrastructure (T&amp;I)</t>
        </is>
      </c>
      <c r="S590" s="2" t="inlineStr">
        <is>
          <t>Downer</t>
        </is>
      </c>
      <c r="T590" s="2" t="n">
        <v>100</v>
      </c>
      <c r="U590" s="2" t="inlineStr">
        <is>
          <t>1899/12/31</t>
        </is>
      </c>
      <c r="W590" s="2" t="inlineStr">
        <is>
          <t>Classification</t>
        </is>
      </c>
      <c r="X590" s="2" t="n">
        <v>-43.50846</v>
      </c>
      <c r="Y590" s="2" t="n">
        <v>172.124382</v>
      </c>
      <c r="Z590" s="2" t="n">
        <v>310</v>
      </c>
      <c r="AA590" s="11" t="n">
        <v>42917</v>
      </c>
    </row>
    <row r="591">
      <c r="A591" s="2" t="inlineStr">
        <is>
          <t>Downer</t>
        </is>
      </c>
      <c r="B591" s="2" t="inlineStr">
        <is>
          <t>_CLOSED_T_South_CPW2</t>
        </is>
      </c>
      <c r="C591" s="2" t="inlineStr">
        <is>
          <t>Construction Site</t>
        </is>
      </c>
      <c r="D591" s="2" t="inlineStr">
        <is>
          <t>L9.DNZJ.PS2630</t>
        </is>
      </c>
      <c r="E591" s="2" t="n">
        <v>5328</v>
      </c>
      <c r="M591" s="2" t="inlineStr">
        <is>
          <t>Southland</t>
        </is>
      </c>
      <c r="N591" s="2" t="inlineStr">
        <is>
          <t>New Zealand</t>
        </is>
      </c>
      <c r="P591" s="2" t="inlineStr">
        <is>
          <t>Operational Control</t>
        </is>
      </c>
      <c r="Q591" s="2" t="inlineStr">
        <is>
          <t>Operational Control</t>
        </is>
      </c>
      <c r="R591" s="2" t="inlineStr">
        <is>
          <t>Transport &amp; Infrastructure (T&amp;I)</t>
        </is>
      </c>
      <c r="S591" s="2" t="inlineStr">
        <is>
          <t>Downer</t>
        </is>
      </c>
      <c r="T591" s="2" t="n">
        <v>100</v>
      </c>
      <c r="U591" s="2" t="inlineStr">
        <is>
          <t>1899/12/31</t>
        </is>
      </c>
      <c r="W591" s="2" t="inlineStr">
        <is>
          <t>Classification</t>
        </is>
      </c>
    </row>
    <row r="592">
      <c r="A592" s="2" t="inlineStr">
        <is>
          <t>Downer</t>
        </is>
      </c>
      <c r="B592" s="2" t="inlineStr">
        <is>
          <t>_CLOSED_T_South_CSM2-JV</t>
        </is>
      </c>
      <c r="C592" s="2" t="inlineStr">
        <is>
          <t>Construction Site</t>
        </is>
      </c>
      <c r="D592" s="2" t="inlineStr">
        <is>
          <t>L9.DNZJ.PS2627</t>
        </is>
      </c>
      <c r="E592" s="2" t="n">
        <v>5302</v>
      </c>
      <c r="G592" s="2" t="inlineStr">
        <is>
          <t>Project Site Office - New facilities established in FY19 as a new JV</t>
        </is>
      </c>
      <c r="M592" s="2" t="inlineStr">
        <is>
          <t>Christchurch</t>
        </is>
      </c>
      <c r="N592" s="2" t="inlineStr">
        <is>
          <t>New Zealand</t>
        </is>
      </c>
      <c r="P592" s="2" t="inlineStr">
        <is>
          <t>Operational Control</t>
        </is>
      </c>
      <c r="Q592" s="2" t="inlineStr">
        <is>
          <t>Operational Control</t>
        </is>
      </c>
      <c r="R592" s="2" t="inlineStr">
        <is>
          <t>Transport &amp; Infrastructure (T&amp;I)</t>
        </is>
      </c>
      <c r="S592" s="2" t="inlineStr">
        <is>
          <t>Downer</t>
        </is>
      </c>
      <c r="T592" s="2" t="n">
        <v>100</v>
      </c>
      <c r="U592" s="2" t="inlineStr">
        <is>
          <t>1899/12/31</t>
        </is>
      </c>
      <c r="W592" s="2" t="inlineStr">
        <is>
          <t>Classification</t>
        </is>
      </c>
      <c r="Z592" s="2" t="n">
        <v>310</v>
      </c>
    </row>
    <row r="593">
      <c r="A593" s="2" t="inlineStr">
        <is>
          <t>Downer</t>
        </is>
      </c>
      <c r="B593" s="2" t="inlineStr">
        <is>
          <t>_CLOSED_T_South_Opawa Bridge Replacement</t>
        </is>
      </c>
      <c r="C593" s="2" t="inlineStr">
        <is>
          <t>Construction Site</t>
        </is>
      </c>
      <c r="D593" s="2" t="inlineStr">
        <is>
          <t>L9.DNZJ.DS2640</t>
        </is>
      </c>
      <c r="E593" s="2" t="n">
        <v>5285</v>
      </c>
      <c r="G593" s="2" t="inlineStr">
        <is>
          <t>Project Site Office - New facilities established in FY19 as a new contract</t>
        </is>
      </c>
      <c r="M593" s="2" t="inlineStr">
        <is>
          <t>Blenheim</t>
        </is>
      </c>
      <c r="N593" s="2" t="inlineStr">
        <is>
          <t>New Zealand</t>
        </is>
      </c>
      <c r="P593" s="2" t="inlineStr">
        <is>
          <t>Operational Control</t>
        </is>
      </c>
      <c r="Q593" s="2" t="inlineStr">
        <is>
          <t>Operational Control</t>
        </is>
      </c>
      <c r="R593" s="2" t="inlineStr">
        <is>
          <t>Transport &amp; Infrastructure (T&amp;I)</t>
        </is>
      </c>
      <c r="S593" s="2" t="inlineStr">
        <is>
          <t>Downer</t>
        </is>
      </c>
      <c r="T593" s="2" t="n">
        <v>100</v>
      </c>
      <c r="U593" s="2" t="inlineStr">
        <is>
          <t>1899/12/31</t>
        </is>
      </c>
      <c r="W593" s="2" t="inlineStr">
        <is>
          <t>Classification</t>
        </is>
      </c>
    </row>
    <row r="594">
      <c r="A594" s="2" t="inlineStr">
        <is>
          <t>Downer</t>
        </is>
      </c>
      <c r="B594" s="2" t="inlineStr">
        <is>
          <t>_CLOSED_T_South_Residual-Jobs-CWB-JDE</t>
        </is>
      </c>
      <c r="C594" s="2" t="inlineStr">
        <is>
          <t>Other</t>
        </is>
      </c>
      <c r="D594" s="2" t="inlineStr">
        <is>
          <t>L9.DNZJ.PS2625</t>
        </is>
      </c>
      <c r="E594" s="2" t="n">
        <v>5172</v>
      </c>
      <c r="G594" s="2" t="inlineStr">
        <is>
          <t>Support services for projects located at numerous sites throughout NZ - New facilities established for more granular reporting and to reflect new structure for FY17. See facility named "NZ-Major Projects" for historical data.</t>
        </is>
      </c>
      <c r="H594" s="2" t="inlineStr">
        <is>
          <t>397 Mcleans Island Rd, Harewood</t>
        </is>
      </c>
      <c r="I594" s="2" t="inlineStr">
        <is>
          <t>Christchurch</t>
        </is>
      </c>
      <c r="J594" s="2" t="inlineStr">
        <is>
          <t>Canterbury</t>
        </is>
      </c>
      <c r="K594" s="2" t="n">
        <v>8051</v>
      </c>
      <c r="L594" s="2" t="inlineStr">
        <is>
          <t>New Zealand</t>
        </is>
      </c>
      <c r="M594" s="2" t="inlineStr">
        <is>
          <t>Christchurch</t>
        </is>
      </c>
      <c r="N594" s="2" t="inlineStr">
        <is>
          <t>New Zealand</t>
        </is>
      </c>
      <c r="P594" s="2" t="inlineStr">
        <is>
          <t>Operational Control</t>
        </is>
      </c>
      <c r="Q594" s="2" t="inlineStr">
        <is>
          <t>Operational Control</t>
        </is>
      </c>
      <c r="R594" s="2" t="inlineStr">
        <is>
          <t>Transport &amp; Infrastructure (T&amp;I)</t>
        </is>
      </c>
      <c r="S594" s="2" t="inlineStr">
        <is>
          <t>Downer</t>
        </is>
      </c>
      <c r="T594" s="2" t="n">
        <v>100</v>
      </c>
      <c r="U594" s="2" t="inlineStr">
        <is>
          <t>1899/12/31</t>
        </is>
      </c>
      <c r="W594" s="2" t="inlineStr">
        <is>
          <t>Classification</t>
        </is>
      </c>
      <c r="X594" s="2" t="n">
        <v>-43.4764273</v>
      </c>
      <c r="Y594" s="2" t="n">
        <v>172.516733599999</v>
      </c>
      <c r="Z594" s="2" t="n">
        <v>310</v>
      </c>
      <c r="AA594" s="11" t="n">
        <v>42917</v>
      </c>
    </row>
    <row r="595">
      <c r="A595" s="2" t="inlineStr">
        <is>
          <t>Downer</t>
        </is>
      </c>
      <c r="B595" s="2" t="inlineStr">
        <is>
          <t>_CLOSED_T_South_Residual-Jobs-JDE</t>
        </is>
      </c>
      <c r="C595" s="2" t="inlineStr">
        <is>
          <t>Other</t>
        </is>
      </c>
      <c r="D595" s="2" t="inlineStr">
        <is>
          <t>L9.DNZJ.55926</t>
        </is>
      </c>
      <c r="E595" s="2" t="n">
        <v>5170</v>
      </c>
      <c r="G595" s="2" t="inlineStr">
        <is>
          <t>Support services for projects located at numerous sites throughout NZ - New facilities established for more granular reporting and to reflect new structure for FY17. See facility named "NZ-Major Projects" for historical data.</t>
        </is>
      </c>
      <c r="H595" s="2" t="inlineStr">
        <is>
          <t>397 Mcleans Island Rd, Harewood</t>
        </is>
      </c>
      <c r="I595" s="2" t="inlineStr">
        <is>
          <t>Christchurch</t>
        </is>
      </c>
      <c r="J595" s="2" t="inlineStr">
        <is>
          <t>Canterbury</t>
        </is>
      </c>
      <c r="K595" s="2" t="n">
        <v>8051</v>
      </c>
      <c r="L595" s="2" t="inlineStr">
        <is>
          <t>New Zealand</t>
        </is>
      </c>
      <c r="M595" s="2" t="inlineStr">
        <is>
          <t>Christchurch</t>
        </is>
      </c>
      <c r="N595" s="2" t="inlineStr">
        <is>
          <t>New Zealand</t>
        </is>
      </c>
      <c r="P595" s="2" t="inlineStr">
        <is>
          <t>Operational Control</t>
        </is>
      </c>
      <c r="Q595" s="2" t="inlineStr">
        <is>
          <t>Operational Control</t>
        </is>
      </c>
      <c r="R595" s="2" t="inlineStr">
        <is>
          <t>Transport &amp; Infrastructure (T&amp;I)</t>
        </is>
      </c>
      <c r="S595" s="2" t="inlineStr">
        <is>
          <t>Downer</t>
        </is>
      </c>
      <c r="T595" s="2" t="n">
        <v>100</v>
      </c>
      <c r="U595" s="2" t="inlineStr">
        <is>
          <t>1899/12/31</t>
        </is>
      </c>
      <c r="W595" s="2" t="inlineStr">
        <is>
          <t>Classification</t>
        </is>
      </c>
      <c r="X595" s="2" t="n">
        <v>-43.4764273</v>
      </c>
      <c r="Y595" s="2" t="n">
        <v>172.516733599999</v>
      </c>
      <c r="Z595" s="2" t="n">
        <v>310</v>
      </c>
      <c r="AA595" s="11" t="n">
        <v>42917</v>
      </c>
    </row>
    <row r="596">
      <c r="A596" s="2" t="inlineStr">
        <is>
          <t>Downer</t>
        </is>
      </c>
      <c r="B596" s="2" t="inlineStr">
        <is>
          <t>_CLOSED_T_South_Residual-Jobs-Jobpac</t>
        </is>
      </c>
      <c r="C596" s="2" t="inlineStr">
        <is>
          <t>Other</t>
        </is>
      </c>
      <c r="D596" s="2" t="inlineStr">
        <is>
          <t>L9.DNZJ.DS2639</t>
        </is>
      </c>
      <c r="E596" s="2" t="n">
        <v>5174</v>
      </c>
      <c r="G596" s="2" t="inlineStr">
        <is>
          <t>Support services for projects located at numerous sites throughout NZ - New facilities established for more granular reporting and to reflect new structure for FY17. See facility named "NZ-Major Projects" for historical data.</t>
        </is>
      </c>
      <c r="H596" s="2" t="inlineStr">
        <is>
          <t>397 Mcleans Island Rd, Harewood</t>
        </is>
      </c>
      <c r="I596" s="2" t="inlineStr">
        <is>
          <t>Christchurch</t>
        </is>
      </c>
      <c r="J596" s="2" t="inlineStr">
        <is>
          <t>Canterbury</t>
        </is>
      </c>
      <c r="K596" s="2" t="n">
        <v>3782</v>
      </c>
      <c r="L596" s="2" t="inlineStr">
        <is>
          <t>New Zealand</t>
        </is>
      </c>
      <c r="M596" s="2" t="inlineStr">
        <is>
          <t>Christchurch</t>
        </is>
      </c>
      <c r="N596" s="2" t="inlineStr">
        <is>
          <t>New Zealand</t>
        </is>
      </c>
      <c r="P596" s="2" t="inlineStr">
        <is>
          <t>Operational Control</t>
        </is>
      </c>
      <c r="Q596" s="2" t="inlineStr">
        <is>
          <t>Operational Control</t>
        </is>
      </c>
      <c r="R596" s="2" t="inlineStr">
        <is>
          <t>Transport &amp; Infrastructure (T&amp;I)</t>
        </is>
      </c>
      <c r="S596" s="2" t="inlineStr">
        <is>
          <t>Downer</t>
        </is>
      </c>
      <c r="T596" s="2" t="n">
        <v>100</v>
      </c>
      <c r="U596" s="2" t="inlineStr">
        <is>
          <t>1899/12/31</t>
        </is>
      </c>
      <c r="W596" s="2" t="inlineStr">
        <is>
          <t>Classification</t>
        </is>
      </c>
      <c r="X596" s="2" t="n">
        <v>-43.4764273</v>
      </c>
      <c r="Y596" s="2" t="n">
        <v>172.516733599999</v>
      </c>
      <c r="Z596" s="2" t="n">
        <v>310</v>
      </c>
      <c r="AA596" s="11" t="n">
        <v>42917</v>
      </c>
    </row>
    <row r="597">
      <c r="A597" s="2" t="inlineStr">
        <is>
          <t>Downer</t>
        </is>
      </c>
      <c r="B597" s="2" t="inlineStr">
        <is>
          <t>_CLOSED_T_South_SCIRTFinal</t>
        </is>
      </c>
      <c r="C597" s="2" t="inlineStr">
        <is>
          <t>Unspecified</t>
        </is>
      </c>
      <c r="D597" s="2" t="inlineStr">
        <is>
          <t>L9.DNZJ.8150</t>
        </is>
      </c>
      <c r="E597" s="2" t="n">
        <v>5329</v>
      </c>
      <c r="M597" s="2" t="inlineStr">
        <is>
          <t>Southland</t>
        </is>
      </c>
      <c r="N597" s="2" t="inlineStr">
        <is>
          <t>New Zealand</t>
        </is>
      </c>
      <c r="P597" s="2" t="inlineStr">
        <is>
          <t>Operational Control</t>
        </is>
      </c>
      <c r="Q597" s="2" t="inlineStr">
        <is>
          <t>Operational Control</t>
        </is>
      </c>
      <c r="R597" s="2" t="inlineStr">
        <is>
          <t>Transport &amp; Infrastructure (T&amp;I)</t>
        </is>
      </c>
      <c r="S597" s="2" t="inlineStr">
        <is>
          <t>Downer</t>
        </is>
      </c>
      <c r="T597" s="2" t="n">
        <v>100</v>
      </c>
      <c r="U597" s="2" t="inlineStr">
        <is>
          <t>1899/12/31</t>
        </is>
      </c>
      <c r="W597" s="2" t="inlineStr">
        <is>
          <t>Classification</t>
        </is>
      </c>
    </row>
    <row r="598">
      <c r="A598" s="2" t="inlineStr">
        <is>
          <t>Downer</t>
        </is>
      </c>
      <c r="B598" s="2" t="inlineStr">
        <is>
          <t>_CLOSED_T_South_Tekapo A New Intake Gate</t>
        </is>
      </c>
      <c r="C598" s="2" t="inlineStr">
        <is>
          <t>Construction Site</t>
        </is>
      </c>
      <c r="D598" s="2" t="inlineStr">
        <is>
          <t>L9.DNZJ.DS2645</t>
        </is>
      </c>
      <c r="E598" s="2" t="n">
        <v>5318</v>
      </c>
      <c r="M598" s="2" t="inlineStr">
        <is>
          <t>Canterbury</t>
        </is>
      </c>
      <c r="N598" s="2" t="inlineStr">
        <is>
          <t>New Zealand</t>
        </is>
      </c>
      <c r="P598" s="2" t="inlineStr">
        <is>
          <t>Operational Control</t>
        </is>
      </c>
      <c r="Q598" s="2" t="inlineStr">
        <is>
          <t>Operational Control</t>
        </is>
      </c>
      <c r="R598" s="2" t="inlineStr">
        <is>
          <t>Transport &amp; Infrastructure (T&amp;I)</t>
        </is>
      </c>
      <c r="S598" s="2" t="inlineStr">
        <is>
          <t>Downer</t>
        </is>
      </c>
      <c r="T598" s="2" t="n">
        <v>100</v>
      </c>
      <c r="U598" s="2" t="inlineStr">
        <is>
          <t>1899/12/31</t>
        </is>
      </c>
      <c r="W598" s="2" t="inlineStr">
        <is>
          <t>Classification</t>
        </is>
      </c>
    </row>
    <row r="599">
      <c r="A599" s="2" t="inlineStr">
        <is>
          <t>Downer</t>
        </is>
      </c>
      <c r="B599" s="2" t="inlineStr">
        <is>
          <t>_CLOSED_T_South_TuckersBeachRd</t>
        </is>
      </c>
      <c r="C599" s="2" t="inlineStr">
        <is>
          <t>Unspecified</t>
        </is>
      </c>
      <c r="D599" s="2" t="inlineStr">
        <is>
          <t>L9.DNZJ.556331</t>
        </is>
      </c>
      <c r="E599" s="2" t="n">
        <v>5327</v>
      </c>
      <c r="M599" s="2" t="inlineStr">
        <is>
          <t>Queenstown</t>
        </is>
      </c>
      <c r="N599" s="2" t="inlineStr">
        <is>
          <t>New Zealand</t>
        </is>
      </c>
      <c r="P599" s="2" t="inlineStr">
        <is>
          <t>Operational Control</t>
        </is>
      </c>
      <c r="Q599" s="2" t="inlineStr">
        <is>
          <t>Operational Control</t>
        </is>
      </c>
      <c r="R599" s="2" t="inlineStr">
        <is>
          <t>Transport &amp; Infrastructure (T&amp;I)</t>
        </is>
      </c>
      <c r="S599" s="2" t="inlineStr">
        <is>
          <t>Downer</t>
        </is>
      </c>
      <c r="T599" s="2" t="n">
        <v>100</v>
      </c>
      <c r="U599" s="2" t="inlineStr">
        <is>
          <t>1899/12/31</t>
        </is>
      </c>
      <c r="W599" s="2" t="inlineStr">
        <is>
          <t>Classification</t>
        </is>
      </c>
    </row>
    <row r="600">
      <c r="A600" s="2" t="inlineStr">
        <is>
          <t>Downer</t>
        </is>
      </c>
      <c r="B600" s="2" t="inlineStr">
        <is>
          <t>_CLOSED_T_Southland / Central</t>
        </is>
      </c>
      <c r="C600" s="2" t="inlineStr">
        <is>
          <t>Other</t>
        </is>
      </c>
      <c r="D600" s="2" t="inlineStr">
        <is>
          <t>L9.DNZJ.55885</t>
        </is>
      </c>
      <c r="E600" s="2" t="n">
        <v>5121</v>
      </c>
      <c r="G600" s="2" t="inlineStr">
        <is>
          <t>Construction and Maintenance of Transport Infrastructure - New facilities established for more granular reporting and to reflect new structure for FY17. See facility named "NZ-Infrastructure Services" for historical data.</t>
        </is>
      </c>
      <c r="H600" s="2" t="inlineStr">
        <is>
          <t>29 Caswell Street</t>
        </is>
      </c>
      <c r="I600" s="2" t="inlineStr">
        <is>
          <t>Te Anau</t>
        </is>
      </c>
      <c r="J600" s="2" t="inlineStr">
        <is>
          <t>Southland</t>
        </is>
      </c>
      <c r="K600" s="2" t="n">
        <v>7011</v>
      </c>
      <c r="L600" s="2" t="inlineStr">
        <is>
          <t>New Zealand</t>
        </is>
      </c>
      <c r="M600" s="2" t="inlineStr">
        <is>
          <t>Te Anau</t>
        </is>
      </c>
      <c r="N600" s="2" t="inlineStr">
        <is>
          <t>New Zealand</t>
        </is>
      </c>
      <c r="P600" s="2" t="inlineStr">
        <is>
          <t>Operational Control</t>
        </is>
      </c>
      <c r="Q600" s="2" t="inlineStr">
        <is>
          <t>Operational Control</t>
        </is>
      </c>
      <c r="R600" s="2" t="inlineStr">
        <is>
          <t>Transport &amp; Infrastructure (T&amp;I)</t>
        </is>
      </c>
      <c r="S600" s="2" t="inlineStr">
        <is>
          <t>Downer</t>
        </is>
      </c>
      <c r="T600" s="2" t="n">
        <v>100</v>
      </c>
      <c r="U600" s="2" t="inlineStr">
        <is>
          <t>1899/12/31</t>
        </is>
      </c>
      <c r="W600" s="2" t="inlineStr">
        <is>
          <t>Classification</t>
        </is>
      </c>
      <c r="X600" s="2" t="n">
        <v>-45.4123894</v>
      </c>
      <c r="Y600" s="2" t="n">
        <v>167.7316005</v>
      </c>
      <c r="Z600" s="2" t="n">
        <v>310</v>
      </c>
      <c r="AA600" s="11" t="n">
        <v>42917</v>
      </c>
    </row>
    <row r="601">
      <c r="A601" s="2" t="inlineStr">
        <is>
          <t>Downer</t>
        </is>
      </c>
      <c r="B601" s="2" t="inlineStr">
        <is>
          <t>_CLOSED_T_Taranaki</t>
        </is>
      </c>
      <c r="C601" s="2" t="inlineStr">
        <is>
          <t>Other</t>
        </is>
      </c>
      <c r="D601" s="2" t="inlineStr">
        <is>
          <t>L9.DNZJ.55846</t>
        </is>
      </c>
      <c r="E601" s="2" t="n">
        <v>5122</v>
      </c>
      <c r="G601" s="2" t="inlineStr">
        <is>
          <t>Construction and Maintenance of Transport Infrastructure - New facilities established for more granular reporting and to reflect new structure for FY17. See facility named "NZ-Infrastructure Services" for historical data.</t>
        </is>
      </c>
      <c r="H601" s="2" t="inlineStr">
        <is>
          <t>106 Rifle Range Rd, Waiwhakaiho</t>
        </is>
      </c>
      <c r="I601" s="2" t="inlineStr">
        <is>
          <t>New Plymouth</t>
        </is>
      </c>
      <c r="J601" s="2" t="inlineStr">
        <is>
          <t>Taranaki</t>
        </is>
      </c>
      <c r="K601" s="2" t="n">
        <v>3200</v>
      </c>
      <c r="L601" s="2" t="inlineStr">
        <is>
          <t>New Zealand</t>
        </is>
      </c>
      <c r="M601" s="2" t="inlineStr">
        <is>
          <t>New Plymouth</t>
        </is>
      </c>
      <c r="N601" s="2" t="inlineStr">
        <is>
          <t>New Zealand</t>
        </is>
      </c>
      <c r="P601" s="2" t="inlineStr">
        <is>
          <t>Operational Control</t>
        </is>
      </c>
      <c r="Q601" s="2" t="inlineStr">
        <is>
          <t>Operational Control</t>
        </is>
      </c>
      <c r="R601" s="2" t="inlineStr">
        <is>
          <t>Transport &amp; Infrastructure (T&amp;I)</t>
        </is>
      </c>
      <c r="S601" s="2" t="inlineStr">
        <is>
          <t>Downer</t>
        </is>
      </c>
      <c r="T601" s="2" t="n">
        <v>100</v>
      </c>
      <c r="U601" s="2" t="inlineStr">
        <is>
          <t>1899/12/31</t>
        </is>
      </c>
      <c r="W601" s="2" t="inlineStr">
        <is>
          <t>Classification</t>
        </is>
      </c>
      <c r="X601" s="2" t="n">
        <v>-39.042342</v>
      </c>
      <c r="Y601" s="2" t="n">
        <v>174.119168299999</v>
      </c>
      <c r="Z601" s="2" t="n">
        <v>310</v>
      </c>
      <c r="AA601" s="11" t="n">
        <v>42917</v>
      </c>
    </row>
    <row r="602">
      <c r="A602" s="2" t="inlineStr">
        <is>
          <t>Downer</t>
        </is>
      </c>
      <c r="B602" s="2" t="inlineStr">
        <is>
          <t>_CLOSED_T_Tasman</t>
        </is>
      </c>
      <c r="C602" s="2" t="inlineStr">
        <is>
          <t>Other</t>
        </is>
      </c>
      <c r="D602" s="2" t="inlineStr">
        <is>
          <t>L9.DNZJ.55866</t>
        </is>
      </c>
      <c r="E602" s="2" t="n">
        <v>5123</v>
      </c>
      <c r="G602" s="2" t="inlineStr">
        <is>
          <t>Construction and Maintenance of Transport Infrastructure - New facilities established for more granular reporting and to reflect new structure for FY17. See facility named "NZ-Infrastructure Services" for historical data.</t>
        </is>
      </c>
      <c r="H602" s="2" t="inlineStr">
        <is>
          <t>265 Marsden Valley Road, Stoke</t>
        </is>
      </c>
      <c r="I602" s="2" t="inlineStr">
        <is>
          <t>Nelson</t>
        </is>
      </c>
      <c r="J602" s="2" t="inlineStr">
        <is>
          <t>Nelson</t>
        </is>
      </c>
      <c r="K602" s="2" t="n">
        <v>5022</v>
      </c>
      <c r="L602" s="2" t="inlineStr">
        <is>
          <t>New Zealand</t>
        </is>
      </c>
      <c r="M602" s="2" t="inlineStr">
        <is>
          <t>Nelson</t>
        </is>
      </c>
      <c r="N602" s="2" t="inlineStr">
        <is>
          <t>New Zealand</t>
        </is>
      </c>
      <c r="P602" s="2" t="inlineStr">
        <is>
          <t>Operational Control</t>
        </is>
      </c>
      <c r="Q602" s="2" t="inlineStr">
        <is>
          <t>Operational Control</t>
        </is>
      </c>
      <c r="R602" s="2" t="inlineStr">
        <is>
          <t>Transport &amp; Infrastructure (T&amp;I)</t>
        </is>
      </c>
      <c r="S602" s="2" t="inlineStr">
        <is>
          <t>Downer</t>
        </is>
      </c>
      <c r="T602" s="2" t="n">
        <v>100</v>
      </c>
      <c r="U602" s="2" t="inlineStr">
        <is>
          <t>1899/12/31</t>
        </is>
      </c>
      <c r="W602" s="2" t="inlineStr">
        <is>
          <t>Classification</t>
        </is>
      </c>
      <c r="X602" s="2" t="n">
        <v>-41.3259455</v>
      </c>
      <c r="Y602" s="2" t="n">
        <v>173.261836099999</v>
      </c>
      <c r="Z602" s="2" t="n">
        <v>310</v>
      </c>
      <c r="AA602" s="11" t="n">
        <v>42917</v>
      </c>
    </row>
    <row r="603">
      <c r="A603" s="2" t="inlineStr">
        <is>
          <t>Downer</t>
        </is>
      </c>
      <c r="B603" s="2" t="inlineStr">
        <is>
          <t>_CLOSED_T_TRC_Invercargill</t>
        </is>
      </c>
      <c r="C603" s="2" t="inlineStr">
        <is>
          <t>Other</t>
        </is>
      </c>
      <c r="D603" s="2" t="inlineStr">
        <is>
          <t>L9.DNZJ.3130</t>
        </is>
      </c>
      <c r="E603" s="2" t="n">
        <v>5306</v>
      </c>
      <c r="F603" s="2" t="n">
        <v>5306</v>
      </c>
      <c r="M603" s="2" t="inlineStr">
        <is>
          <t>Southland</t>
        </is>
      </c>
      <c r="N603" s="2" t="inlineStr">
        <is>
          <t>New Zealand</t>
        </is>
      </c>
      <c r="P603" s="2" t="inlineStr">
        <is>
          <t>Operational Control</t>
        </is>
      </c>
      <c r="Q603" s="2" t="inlineStr">
        <is>
          <t>Operational Control</t>
        </is>
      </c>
      <c r="R603" s="2" t="inlineStr">
        <is>
          <t>Transport &amp; Infrastructure (T&amp;I)</t>
        </is>
      </c>
      <c r="S603" s="2" t="inlineStr">
        <is>
          <t>Downer</t>
        </is>
      </c>
      <c r="T603" s="2" t="n">
        <v>100</v>
      </c>
      <c r="U603" s="2" t="inlineStr">
        <is>
          <t>1899/12/31</t>
        </is>
      </c>
      <c r="W603" s="2" t="inlineStr">
        <is>
          <t>Classification</t>
        </is>
      </c>
    </row>
    <row r="604">
      <c r="A604" s="2" t="inlineStr">
        <is>
          <t>Downer</t>
        </is>
      </c>
      <c r="B604" s="2" t="inlineStr">
        <is>
          <t>_CLOSED_T_TRC_Wanaka</t>
        </is>
      </c>
      <c r="C604" s="2" t="inlineStr">
        <is>
          <t>Other</t>
        </is>
      </c>
      <c r="D604" s="2" t="inlineStr">
        <is>
          <t>L9.DNZJ.3120</t>
        </is>
      </c>
      <c r="E604" s="2" t="n">
        <v>5307</v>
      </c>
      <c r="F604" s="2" t="n">
        <v>5307</v>
      </c>
      <c r="M604" s="2" t="inlineStr">
        <is>
          <t>Otago</t>
        </is>
      </c>
      <c r="N604" s="2" t="inlineStr">
        <is>
          <t>New Zealand</t>
        </is>
      </c>
      <c r="P604" s="2" t="inlineStr">
        <is>
          <t>Operational Control</t>
        </is>
      </c>
      <c r="Q604" s="2" t="inlineStr">
        <is>
          <t>Operational Control</t>
        </is>
      </c>
      <c r="R604" s="2" t="inlineStr">
        <is>
          <t>Transport &amp; Infrastructure (T&amp;I)</t>
        </is>
      </c>
      <c r="S604" s="2" t="inlineStr">
        <is>
          <t>Downer</t>
        </is>
      </c>
      <c r="T604" s="2" t="n">
        <v>100</v>
      </c>
      <c r="U604" s="2" t="inlineStr">
        <is>
          <t>1899/12/31</t>
        </is>
      </c>
      <c r="W604" s="2" t="inlineStr">
        <is>
          <t>Classification</t>
        </is>
      </c>
    </row>
    <row r="605">
      <c r="A605" s="2" t="inlineStr">
        <is>
          <t>Downer</t>
        </is>
      </c>
      <c r="B605" s="2" t="inlineStr">
        <is>
          <t>_CLOSED_T_Waikato</t>
        </is>
      </c>
      <c r="C605" s="2" t="inlineStr">
        <is>
          <t>Other</t>
        </is>
      </c>
      <c r="D605" s="2" t="inlineStr">
        <is>
          <t>L9.DNZJ.55807</t>
        </is>
      </c>
      <c r="E605" s="2" t="n">
        <v>5124</v>
      </c>
      <c r="G605" s="2" t="inlineStr">
        <is>
          <t>Construction and Maintenance of Transport Infrastructure - New facilities established for more granular reporting and to reflect new structure for FY17. See facility named "NZ-Infrastructure Services" for historical data.</t>
        </is>
      </c>
      <c r="H605" s="2" t="inlineStr">
        <is>
          <t>16 Manchester Place, Te Rapa</t>
        </is>
      </c>
      <c r="I605" s="2" t="inlineStr">
        <is>
          <t>Hamilton</t>
        </is>
      </c>
      <c r="J605" s="2" t="inlineStr">
        <is>
          <t>Waikato</t>
        </is>
      </c>
      <c r="K605" s="2" t="n">
        <v>8042</v>
      </c>
      <c r="L605" s="2" t="inlineStr">
        <is>
          <t>New Zealand</t>
        </is>
      </c>
      <c r="M605" s="2" t="inlineStr">
        <is>
          <t>Hamilton</t>
        </is>
      </c>
      <c r="N605" s="2" t="inlineStr">
        <is>
          <t>New Zealand</t>
        </is>
      </c>
      <c r="P605" s="2" t="inlineStr">
        <is>
          <t>Operational Control</t>
        </is>
      </c>
      <c r="Q605" s="2" t="inlineStr">
        <is>
          <t>Operational Control</t>
        </is>
      </c>
      <c r="R605" s="2" t="inlineStr">
        <is>
          <t>Transport &amp; Infrastructure (T&amp;I)</t>
        </is>
      </c>
      <c r="S605" s="2" t="inlineStr">
        <is>
          <t>Downer</t>
        </is>
      </c>
      <c r="T605" s="2" t="n">
        <v>100</v>
      </c>
      <c r="U605" s="2" t="inlineStr">
        <is>
          <t>1899/12/31</t>
        </is>
      </c>
      <c r="W605" s="2" t="inlineStr">
        <is>
          <t>Classification</t>
        </is>
      </c>
      <c r="X605" s="2" t="n">
        <v>-37.754068</v>
      </c>
      <c r="Y605" s="2" t="n">
        <v>175.2370587</v>
      </c>
      <c r="Z605" s="2" t="n">
        <v>310</v>
      </c>
      <c r="AA605" s="11" t="n">
        <v>42917</v>
      </c>
    </row>
    <row r="606">
      <c r="A606" s="2" t="inlineStr">
        <is>
          <t>Downer</t>
        </is>
      </c>
      <c r="B606" s="2" t="inlineStr">
        <is>
          <t>_CLOSED_T_Wellington</t>
        </is>
      </c>
      <c r="C606" s="2" t="inlineStr">
        <is>
          <t>Other</t>
        </is>
      </c>
      <c r="D606" s="2" t="inlineStr">
        <is>
          <t>L9.DNZJ.55856</t>
        </is>
      </c>
      <c r="E606" s="2" t="n">
        <v>5125</v>
      </c>
      <c r="G606" s="2" t="inlineStr">
        <is>
          <t>Construction and Maintenance of Transport Infrastructure - New facilities established for more granular reporting and to reflect new structure for FY17. See facility named "NZ-Infrastructure Services" for historical data.</t>
        </is>
      </c>
      <c r="H606" s="2" t="inlineStr">
        <is>
          <t>14-16 Makaro Street</t>
        </is>
      </c>
      <c r="I606" s="2" t="inlineStr">
        <is>
          <t>Porirua</t>
        </is>
      </c>
      <c r="J606" s="2" t="inlineStr">
        <is>
          <t>Wellington</t>
        </is>
      </c>
      <c r="K606" s="2" t="n">
        <v>5022</v>
      </c>
      <c r="L606" s="2" t="inlineStr">
        <is>
          <t>New Zealand</t>
        </is>
      </c>
      <c r="M606" s="2" t="inlineStr">
        <is>
          <t>Porirua</t>
        </is>
      </c>
      <c r="N606" s="2" t="inlineStr">
        <is>
          <t>New Zealand</t>
        </is>
      </c>
      <c r="P606" s="2" t="inlineStr">
        <is>
          <t>Operational Control</t>
        </is>
      </c>
      <c r="Q606" s="2" t="inlineStr">
        <is>
          <t>Operational Control</t>
        </is>
      </c>
      <c r="R606" s="2" t="inlineStr">
        <is>
          <t>Transport &amp; Infrastructure (T&amp;I)</t>
        </is>
      </c>
      <c r="S606" s="2" t="inlineStr">
        <is>
          <t>Downer</t>
        </is>
      </c>
      <c r="T606" s="2" t="n">
        <v>100</v>
      </c>
      <c r="U606" s="2" t="inlineStr">
        <is>
          <t>1899/12/31</t>
        </is>
      </c>
      <c r="W606" s="2" t="inlineStr">
        <is>
          <t>Classification</t>
        </is>
      </c>
      <c r="X606" s="2" t="n">
        <v>-41.1375906</v>
      </c>
      <c r="Y606" s="2" t="n">
        <v>174.831221499999</v>
      </c>
      <c r="Z606" s="2" t="n">
        <v>310</v>
      </c>
      <c r="AA606" s="11" t="n">
        <v>42917</v>
      </c>
    </row>
    <row r="607">
      <c r="A607" s="2" t="inlineStr">
        <is>
          <t>Downer</t>
        </is>
      </c>
      <c r="B607" s="2" t="inlineStr">
        <is>
          <t>_CLOSED_TAP - Tuggerah</t>
        </is>
      </c>
      <c r="C607" s="2" t="inlineStr">
        <is>
          <t>Construction Site</t>
        </is>
      </c>
      <c r="D607" s="2" t="inlineStr">
        <is>
          <t>L9.J.20041114</t>
        </is>
      </c>
      <c r="E607" s="2" t="inlineStr">
        <is>
          <t>IP-20041114</t>
        </is>
      </c>
      <c r="M607" s="2" t="inlineStr">
        <is>
          <t>New South Wales</t>
        </is>
      </c>
      <c r="N607" s="2" t="inlineStr">
        <is>
          <t>Australia</t>
        </is>
      </c>
      <c r="P607" s="2" t="inlineStr">
        <is>
          <t>Operational Control</t>
        </is>
      </c>
      <c r="Q607" s="2" t="inlineStr">
        <is>
          <t>Operational Control</t>
        </is>
      </c>
      <c r="R607" s="2" t="inlineStr">
        <is>
          <t>DT Infrastructure (pre Sept 23 divestment)</t>
        </is>
      </c>
      <c r="S607" s="2" t="inlineStr">
        <is>
          <t>Downer</t>
        </is>
      </c>
      <c r="T607" s="2" t="n">
        <v>100</v>
      </c>
      <c r="V607" s="11" t="n">
        <v>45199</v>
      </c>
      <c r="W607" s="2" t="inlineStr">
        <is>
          <t>Classification</t>
        </is>
      </c>
    </row>
    <row r="608">
      <c r="A608" s="2" t="inlineStr">
        <is>
          <t>Downer</t>
        </is>
      </c>
      <c r="B608" s="2" t="inlineStr">
        <is>
          <t>_CLOSED_TAP T3 (ROSE, WOLL, BIRR, CANL, BANK)</t>
        </is>
      </c>
      <c r="C608" s="2" t="inlineStr">
        <is>
          <t>Construction Site</t>
        </is>
      </c>
      <c r="D608" s="2" t="inlineStr">
        <is>
          <t>L9.J.20041087</t>
        </is>
      </c>
      <c r="E608" s="2" t="inlineStr">
        <is>
          <t>L9.J.20041087</t>
        </is>
      </c>
      <c r="G608" s="2" t="inlineStr">
        <is>
          <t>Transport Access Program (TAP) 3 T3 with Transport for NSW includes the following sites:
-	Roseville Station 
-	Wollstonecraft Station
-	Banksia Station
-	Birrong Station
-	Canley Vale
Billing Address: Level 8, 77 Pacific Hwy North Sydney 2060 NSW</t>
        </is>
      </c>
      <c r="M608" s="2" t="inlineStr">
        <is>
          <t>New South Wales</t>
        </is>
      </c>
      <c r="N608" s="2" t="inlineStr">
        <is>
          <t>Australia</t>
        </is>
      </c>
      <c r="P608" s="2" t="inlineStr">
        <is>
          <t>Operational Control</t>
        </is>
      </c>
      <c r="Q608" s="2" t="inlineStr">
        <is>
          <t>Operational Control</t>
        </is>
      </c>
      <c r="R608" s="2" t="inlineStr">
        <is>
          <t>DT Infrastructure (pre Sept 23 divestment)</t>
        </is>
      </c>
      <c r="S608" s="2" t="inlineStr">
        <is>
          <t>Downer</t>
        </is>
      </c>
      <c r="T608" s="2" t="n">
        <v>100</v>
      </c>
      <c r="V608" s="11" t="n">
        <v>45199</v>
      </c>
      <c r="W608" s="2" t="inlineStr">
        <is>
          <t>Classification</t>
        </is>
      </c>
      <c r="AB608" s="11" t="n">
        <v>45046</v>
      </c>
    </row>
    <row r="609">
      <c r="A609" s="2" t="inlineStr">
        <is>
          <t>Downer</t>
        </is>
      </c>
      <c r="B609" s="2" t="inlineStr">
        <is>
          <t>_CLOSED_TAP T4 (Mascot)</t>
        </is>
      </c>
      <c r="C609" s="2" t="inlineStr">
        <is>
          <t>Construction Site</t>
        </is>
      </c>
      <c r="D609" s="2" t="inlineStr">
        <is>
          <t>L9.J.20041093</t>
        </is>
      </c>
      <c r="E609" s="2" t="inlineStr">
        <is>
          <t>IP-20041093</t>
        </is>
      </c>
      <c r="M609" s="2" t="inlineStr">
        <is>
          <t>New South Wales</t>
        </is>
      </c>
      <c r="N609" s="2" t="inlineStr">
        <is>
          <t>Australia</t>
        </is>
      </c>
      <c r="P609" s="2" t="inlineStr">
        <is>
          <t>Operational Control</t>
        </is>
      </c>
      <c r="Q609" s="2" t="inlineStr">
        <is>
          <t>Operational Control</t>
        </is>
      </c>
      <c r="R609" s="2" t="inlineStr">
        <is>
          <t>DT Infrastructure (pre Sept 23 divestment)</t>
        </is>
      </c>
      <c r="S609" s="2" t="inlineStr">
        <is>
          <t>Downer</t>
        </is>
      </c>
      <c r="T609" s="2" t="n">
        <v>100</v>
      </c>
      <c r="V609" s="11" t="n">
        <v>45199</v>
      </c>
      <c r="W609" s="2" t="inlineStr">
        <is>
          <t>Classification</t>
        </is>
      </c>
      <c r="AB609" s="11" t="n">
        <v>45198</v>
      </c>
    </row>
    <row r="610">
      <c r="A610" s="2" t="inlineStr">
        <is>
          <t>Downer</t>
        </is>
      </c>
      <c r="B610" s="2" t="inlineStr">
        <is>
          <t>_CLOSED_TAP T5 (Turella &amp; Killara)</t>
        </is>
      </c>
      <c r="C610" s="2" t="inlineStr">
        <is>
          <t>Construction Site</t>
        </is>
      </c>
      <c r="D610" s="2" t="inlineStr">
        <is>
          <t>L9.J.20041088</t>
        </is>
      </c>
      <c r="E610" s="2" t="n">
        <v>1106</v>
      </c>
      <c r="F610" s="2" t="n">
        <v>1106</v>
      </c>
      <c r="M610" s="2" t="inlineStr">
        <is>
          <t>New South Wales</t>
        </is>
      </c>
      <c r="N610" s="2" t="inlineStr">
        <is>
          <t>Australia</t>
        </is>
      </c>
      <c r="P610" s="2" t="inlineStr">
        <is>
          <t>Operational Control</t>
        </is>
      </c>
      <c r="Q610" s="2" t="inlineStr">
        <is>
          <t>Operational Control</t>
        </is>
      </c>
      <c r="R610" s="2" t="inlineStr">
        <is>
          <t>DT Infrastructure (pre Sept 23 divestment)</t>
        </is>
      </c>
      <c r="S610" s="2" t="inlineStr">
        <is>
          <t>Downer</t>
        </is>
      </c>
      <c r="T610" s="2" t="n">
        <v>100</v>
      </c>
      <c r="V610" s="11" t="n">
        <v>45199</v>
      </c>
      <c r="W610" s="2" t="inlineStr">
        <is>
          <t>Classification</t>
        </is>
      </c>
      <c r="AB610" s="11" t="n">
        <v>45198</v>
      </c>
    </row>
    <row r="611">
      <c r="A611" s="2" t="inlineStr">
        <is>
          <t>Downer</t>
        </is>
      </c>
      <c r="B611" s="2" t="inlineStr">
        <is>
          <t>_CLOSED_Thrifty AU</t>
        </is>
      </c>
      <c r="C611" s="2" t="inlineStr">
        <is>
          <t>Other</t>
        </is>
      </c>
      <c r="D611" s="2" t="inlineStr">
        <is>
          <t>L9.J.101001</t>
        </is>
      </c>
      <c r="E611" s="2" t="n">
        <v>1030</v>
      </c>
      <c r="G611" s="2" t="inlineStr">
        <is>
          <t>Contract is now Hertz only.</t>
        </is>
      </c>
      <c r="M611" s="2" t="inlineStr">
        <is>
          <t>Sydney</t>
        </is>
      </c>
      <c r="N611" s="2" t="inlineStr">
        <is>
          <t>Australia</t>
        </is>
      </c>
      <c r="P611" s="2" t="inlineStr">
        <is>
          <t>Operational Control</t>
        </is>
      </c>
      <c r="Q611" s="2" t="inlineStr">
        <is>
          <t>Operational Control</t>
        </is>
      </c>
      <c r="R611" s="2" t="inlineStr">
        <is>
          <t>Corporate</t>
        </is>
      </c>
      <c r="S611" s="2" t="inlineStr">
        <is>
          <t>Downer</t>
        </is>
      </c>
      <c r="T611" s="2" t="n">
        <v>100</v>
      </c>
      <c r="W611" s="2" t="inlineStr">
        <is>
          <t>Classification</t>
        </is>
      </c>
      <c r="AB611" s="11" t="n">
        <v>44896</v>
      </c>
    </row>
    <row r="612">
      <c r="A612" s="2" t="inlineStr">
        <is>
          <t>Downer</t>
        </is>
      </c>
      <c r="B612" s="2" t="inlineStr">
        <is>
          <t>_CLOSED_TL - AusNet Services VIC</t>
        </is>
      </c>
      <c r="C612" s="2" t="inlineStr">
        <is>
          <t>Depot</t>
        </is>
      </c>
      <c r="D612" s="2" t="inlineStr">
        <is>
          <t>L9.J.37740022</t>
        </is>
      </c>
      <c r="E612" s="2" t="inlineStr">
        <is>
          <t>IP-360.369.152.377</t>
        </is>
      </c>
      <c r="G612" s="2" t="inlineStr">
        <is>
          <t>Projects: Dunndonell, AusNet Services - Bulgana</t>
        </is>
      </c>
      <c r="M612" s="2" t="inlineStr">
        <is>
          <t>Victoria</t>
        </is>
      </c>
      <c r="N612" s="2" t="inlineStr">
        <is>
          <t>Australia</t>
        </is>
      </c>
      <c r="P612" s="2" t="inlineStr">
        <is>
          <t>Operational Control</t>
        </is>
      </c>
      <c r="Q612" s="2" t="inlineStr">
        <is>
          <t>Operational Control</t>
        </is>
      </c>
      <c r="R612" s="2" t="inlineStr">
        <is>
          <t>Energy and Utilities (EU)</t>
        </is>
      </c>
      <c r="S612" s="2" t="inlineStr">
        <is>
          <t>Downer</t>
        </is>
      </c>
      <c r="T612" s="2" t="n">
        <v>100</v>
      </c>
      <c r="W612" s="2" t="inlineStr">
        <is>
          <t>Classification</t>
        </is>
      </c>
      <c r="AB612" s="11" t="n">
        <v>45077</v>
      </c>
    </row>
    <row r="613">
      <c r="A613" s="2" t="inlineStr">
        <is>
          <t>Downer</t>
        </is>
      </c>
      <c r="B613" s="2" t="inlineStr">
        <is>
          <t>_CLOSED_TL - Gladstone to Boyne Island</t>
        </is>
      </c>
      <c r="C613" s="2" t="inlineStr">
        <is>
          <t>Other</t>
        </is>
      </c>
      <c r="D613" s="2" t="inlineStr">
        <is>
          <t>L9.J.37740060</t>
        </is>
      </c>
      <c r="E613" s="2" t="n">
        <v>7012</v>
      </c>
      <c r="G613" s="2" t="inlineStr">
        <is>
          <t>All the Powerlink refit works are reported under Gladstone to Boyne Island Location. No refit work has recommenced from last year.
Gladstone to Boyne Island – to be completed
Alligator Creek to Eton – to be completed
Palmwoods To Woolooga – not started
Collinsville to Proserpine – to be completed</t>
        </is>
      </c>
      <c r="H613" s="2" t="inlineStr">
        <is>
          <t>2 Burke Street</t>
        </is>
      </c>
      <c r="I613" s="2" t="inlineStr">
        <is>
          <t>Woolloongabba</t>
        </is>
      </c>
      <c r="J613" s="2" t="inlineStr">
        <is>
          <t>QLD</t>
        </is>
      </c>
      <c r="K613" s="2" t="n">
        <v>4151</v>
      </c>
      <c r="L613" s="2" t="inlineStr">
        <is>
          <t>Australia</t>
        </is>
      </c>
      <c r="M613" s="2" t="inlineStr">
        <is>
          <t>Queensland</t>
        </is>
      </c>
      <c r="N613" s="2" t="inlineStr">
        <is>
          <t>Australia</t>
        </is>
      </c>
      <c r="P613" s="2" t="inlineStr">
        <is>
          <t>Operational Control</t>
        </is>
      </c>
      <c r="Q613" s="2" t="inlineStr">
        <is>
          <t>Operational Control</t>
        </is>
      </c>
      <c r="R613" s="2" t="inlineStr">
        <is>
          <t>Energy and Utilities (EU)</t>
        </is>
      </c>
      <c r="S613" s="2" t="inlineStr">
        <is>
          <t>Downer</t>
        </is>
      </c>
      <c r="T613" s="2" t="n">
        <v>100</v>
      </c>
      <c r="W613" s="2" t="inlineStr">
        <is>
          <t>Classification</t>
        </is>
      </c>
      <c r="X613" s="2" t="n">
        <v>-27.494707</v>
      </c>
      <c r="Y613" s="2" t="n">
        <v>153.003986</v>
      </c>
      <c r="Z613" s="2" t="n">
        <v>310</v>
      </c>
      <c r="AA613" s="11" t="n">
        <v>42979</v>
      </c>
    </row>
    <row r="614">
      <c r="A614" s="2" t="inlineStr">
        <is>
          <t>Downer</t>
        </is>
      </c>
      <c r="B614" s="2" t="inlineStr">
        <is>
          <t>_CLOSED_TL - Nebo to Broadsound</t>
        </is>
      </c>
      <c r="C614" s="2" t="inlineStr">
        <is>
          <t>Other</t>
        </is>
      </c>
      <c r="D614" s="2" t="inlineStr">
        <is>
          <t>L9.J.37740013</t>
        </is>
      </c>
      <c r="E614" s="2" t="n">
        <v>7013</v>
      </c>
      <c r="H614" s="2" t="inlineStr">
        <is>
          <t>2 Burke Street</t>
        </is>
      </c>
      <c r="I614" s="2" t="inlineStr">
        <is>
          <t>Woolloongabba</t>
        </is>
      </c>
      <c r="J614" s="2" t="inlineStr">
        <is>
          <t>QLD</t>
        </is>
      </c>
      <c r="K614" s="2" t="n">
        <v>4151</v>
      </c>
      <c r="L614" s="2" t="inlineStr">
        <is>
          <t>Australia</t>
        </is>
      </c>
      <c r="M614" s="2" t="inlineStr">
        <is>
          <t>Queensland</t>
        </is>
      </c>
      <c r="N614" s="2" t="inlineStr">
        <is>
          <t>Australia</t>
        </is>
      </c>
      <c r="P614" s="2" t="inlineStr">
        <is>
          <t>Operational Control</t>
        </is>
      </c>
      <c r="Q614" s="2" t="inlineStr">
        <is>
          <t>Operational Control</t>
        </is>
      </c>
      <c r="R614" s="2" t="inlineStr">
        <is>
          <t>Energy and Utilities (EU)</t>
        </is>
      </c>
      <c r="S614" s="2" t="inlineStr">
        <is>
          <t>Downer</t>
        </is>
      </c>
      <c r="T614" s="2" t="n">
        <v>100</v>
      </c>
      <c r="W614" s="2" t="inlineStr">
        <is>
          <t>Classification</t>
        </is>
      </c>
      <c r="X614" s="2" t="n">
        <v>-27.494707</v>
      </c>
      <c r="Y614" s="2" t="n">
        <v>153.033986</v>
      </c>
      <c r="Z614" s="2" t="n">
        <v>310</v>
      </c>
      <c r="AA614" s="11" t="n">
        <v>43009</v>
      </c>
      <c r="AB614" s="11" t="n">
        <v>43131</v>
      </c>
    </row>
    <row r="615">
      <c r="A615" s="2" t="inlineStr">
        <is>
          <t>Downer</t>
        </is>
      </c>
      <c r="B615" s="2" t="inlineStr">
        <is>
          <t>_CLOSED_TL - Wagga 993</t>
        </is>
      </c>
      <c r="C615" s="2" t="inlineStr">
        <is>
          <t>Other</t>
        </is>
      </c>
      <c r="D615" s="2" t="inlineStr">
        <is>
          <t>L9.J.37740029</t>
        </is>
      </c>
      <c r="E615" s="2" t="n">
        <v>7047</v>
      </c>
      <c r="G615" s="2" t="inlineStr">
        <is>
          <t>Changed from Ref No 7035.
Project ended 30.7.2020</t>
        </is>
      </c>
      <c r="M615" s="2" t="inlineStr">
        <is>
          <t>New South Wales</t>
        </is>
      </c>
      <c r="N615" s="2" t="inlineStr">
        <is>
          <t>Australia</t>
        </is>
      </c>
      <c r="P615" s="2" t="inlineStr">
        <is>
          <t>Operational Control</t>
        </is>
      </c>
      <c r="Q615" s="2" t="inlineStr">
        <is>
          <t>Operational Control</t>
        </is>
      </c>
      <c r="R615" s="2" t="inlineStr">
        <is>
          <t>Energy and Utilities (EU)</t>
        </is>
      </c>
      <c r="S615" s="2" t="inlineStr">
        <is>
          <t>Downer</t>
        </is>
      </c>
      <c r="T615" s="2" t="n">
        <v>100</v>
      </c>
      <c r="W615" s="2" t="inlineStr">
        <is>
          <t>Classification</t>
        </is>
      </c>
    </row>
    <row r="616">
      <c r="A616" s="2" t="inlineStr">
        <is>
          <t>Downer</t>
        </is>
      </c>
      <c r="B616" s="2" t="inlineStr">
        <is>
          <t>_CLOSED_TL - Wagga 99F_998</t>
        </is>
      </c>
      <c r="C616" s="2" t="inlineStr">
        <is>
          <t>Other</t>
        </is>
      </c>
      <c r="D616" s="2" t="inlineStr">
        <is>
          <t>L9.J.37740029</t>
        </is>
      </c>
      <c r="E616" s="2" t="inlineStr">
        <is>
          <t>L9.ENG.360.12493</t>
        </is>
      </c>
      <c r="H616" s="2" t="inlineStr">
        <is>
          <t>39 Dehli Road</t>
        </is>
      </c>
      <c r="I616" s="2" t="inlineStr">
        <is>
          <t>North Ryde</t>
        </is>
      </c>
      <c r="J616" s="2" t="inlineStr">
        <is>
          <t>NSW</t>
        </is>
      </c>
      <c r="K616" s="2" t="n">
        <v>2113</v>
      </c>
      <c r="L616" s="2" t="inlineStr">
        <is>
          <t>Australia</t>
        </is>
      </c>
      <c r="M616" s="2" t="inlineStr">
        <is>
          <t>New South Wales</t>
        </is>
      </c>
      <c r="N616" s="2" t="inlineStr">
        <is>
          <t>Australia</t>
        </is>
      </c>
      <c r="P616" s="2" t="inlineStr">
        <is>
          <t>Operational Control</t>
        </is>
      </c>
      <c r="Q616" s="2" t="inlineStr">
        <is>
          <t>Operational Control</t>
        </is>
      </c>
      <c r="R616" s="2" t="inlineStr">
        <is>
          <t>Energy and Utilities (EU)</t>
        </is>
      </c>
      <c r="S616" s="2" t="inlineStr">
        <is>
          <t>Downer</t>
        </is>
      </c>
      <c r="T616" s="2" t="n">
        <v>100</v>
      </c>
      <c r="W616" s="2" t="inlineStr">
        <is>
          <t>Classification</t>
        </is>
      </c>
      <c r="X616" s="2" t="n">
        <v>-35.122185</v>
      </c>
      <c r="Y616" s="2" t="n">
        <v>147.349708</v>
      </c>
      <c r="Z616" s="2" t="n">
        <v>310</v>
      </c>
    </row>
    <row r="617">
      <c r="A617" s="2" t="inlineStr">
        <is>
          <t>Downer</t>
        </is>
      </c>
      <c r="B617" s="2" t="inlineStr">
        <is>
          <t>_CLOSED_TL - Woree to Edmonton Refit</t>
        </is>
      </c>
      <c r="C617" s="2" t="inlineStr">
        <is>
          <t>Other</t>
        </is>
      </c>
      <c r="D617" s="2" t="inlineStr">
        <is>
          <t>L9.J.3774004001</t>
        </is>
      </c>
      <c r="E617" s="2" t="n">
        <v>23</v>
      </c>
      <c r="H617" s="2" t="inlineStr">
        <is>
          <t>6-24 Maconachie Street</t>
        </is>
      </c>
      <c r="I617" s="2" t="inlineStr">
        <is>
          <t>Woree</t>
        </is>
      </c>
      <c r="J617" s="2" t="inlineStr">
        <is>
          <t>QLD</t>
        </is>
      </c>
      <c r="K617" s="2" t="n">
        <v>4868</v>
      </c>
      <c r="L617" s="2" t="inlineStr">
        <is>
          <t>Australia</t>
        </is>
      </c>
      <c r="M617" s="2" t="inlineStr">
        <is>
          <t>Queensland</t>
        </is>
      </c>
      <c r="N617" s="2" t="inlineStr">
        <is>
          <t>Australia</t>
        </is>
      </c>
      <c r="P617" s="2" t="inlineStr">
        <is>
          <t>Operational Control</t>
        </is>
      </c>
      <c r="Q617" s="2" t="inlineStr">
        <is>
          <t>Operational Control</t>
        </is>
      </c>
      <c r="R617" s="2" t="inlineStr">
        <is>
          <t>Energy and Utilities (EU)</t>
        </is>
      </c>
      <c r="S617" s="2" t="inlineStr">
        <is>
          <t>Downer</t>
        </is>
      </c>
      <c r="T617" s="2" t="n">
        <v>100</v>
      </c>
      <c r="W617" s="2" t="inlineStr">
        <is>
          <t>Classification</t>
        </is>
      </c>
      <c r="X617" s="2" t="n">
        <v>-16.959889</v>
      </c>
      <c r="Y617" s="2" t="n">
        <v>145.752258</v>
      </c>
      <c r="Z617" s="2" t="n">
        <v>310</v>
      </c>
      <c r="AB617" s="11" t="n">
        <v>44012</v>
      </c>
    </row>
    <row r="618">
      <c r="A618" s="2" t="inlineStr">
        <is>
          <t>Downer</t>
        </is>
      </c>
      <c r="B618" s="2" t="inlineStr">
        <is>
          <t>_CLOSED_Tullamarine</t>
        </is>
      </c>
      <c r="C618" s="2" t="inlineStr">
        <is>
          <t>Branch Office</t>
        </is>
      </c>
      <c r="D618" s="2" t="inlineStr">
        <is>
          <t>L9.J.38250002</t>
        </is>
      </c>
      <c r="E618" s="2" t="n">
        <v>2029</v>
      </c>
      <c r="H618" s="2" t="inlineStr">
        <is>
          <t>3 Mallet Road</t>
        </is>
      </c>
      <c r="I618" s="2" t="inlineStr">
        <is>
          <t>Tullamarine</t>
        </is>
      </c>
      <c r="J618" s="2" t="inlineStr">
        <is>
          <t>VIC</t>
        </is>
      </c>
      <c r="K618" s="2" t="n">
        <v>3043</v>
      </c>
      <c r="L618" s="2" t="inlineStr">
        <is>
          <t>Australia</t>
        </is>
      </c>
      <c r="M618" s="2" t="inlineStr">
        <is>
          <t>Victoria</t>
        </is>
      </c>
      <c r="N618" s="2" t="inlineStr">
        <is>
          <t>Australia</t>
        </is>
      </c>
      <c r="P618" s="2" t="inlineStr">
        <is>
          <t>Operational Control</t>
        </is>
      </c>
      <c r="Q618" s="2" t="inlineStr">
        <is>
          <t>Operational Control</t>
        </is>
      </c>
      <c r="R618" s="2" t="inlineStr">
        <is>
          <t>Energy and Utilities (EU)</t>
        </is>
      </c>
      <c r="S618" s="2" t="inlineStr">
        <is>
          <t>Downer</t>
        </is>
      </c>
      <c r="T618" s="2" t="n">
        <v>100</v>
      </c>
      <c r="W618" s="2" t="inlineStr">
        <is>
          <t>Classification</t>
        </is>
      </c>
      <c r="X618" s="2" t="n">
        <v>-37.707</v>
      </c>
      <c r="Y618" s="2" t="n">
        <v>144.849</v>
      </c>
      <c r="Z618" s="2" t="n">
        <v>310</v>
      </c>
      <c r="AA618" s="11" t="n">
        <v>42917</v>
      </c>
    </row>
    <row r="619">
      <c r="A619" s="2" t="inlineStr">
        <is>
          <t>Downer</t>
        </is>
      </c>
      <c r="B619" s="2" t="inlineStr">
        <is>
          <t>_CLOSED_U_D&amp;B_NGA</t>
        </is>
      </c>
      <c r="C619" s="2" t="inlineStr">
        <is>
          <t>Other</t>
        </is>
      </c>
      <c r="D619" s="2" t="inlineStr">
        <is>
          <t>L9.DNZ.810.10.108</t>
        </is>
      </c>
      <c r="E619" s="2" t="n">
        <v>5131</v>
      </c>
      <c r="G619" s="2" t="inlineStr">
        <is>
          <t>Design, Build &amp; Maintain Wired and Wireless Telco Operations - New facilities established for more granular reporting and to reflect new structure for FY17. See facility named "NZ-Technology Solutions &amp; Corporate Services" for historical data.</t>
        </is>
      </c>
      <c r="H619" s="2" t="inlineStr">
        <is>
          <t>130 Kerrs Rd</t>
        </is>
      </c>
      <c r="I619" s="2" t="inlineStr">
        <is>
          <t>Wiri</t>
        </is>
      </c>
      <c r="J619" s="2" t="inlineStr">
        <is>
          <t>Auckland</t>
        </is>
      </c>
      <c r="K619" s="2" t="n">
        <v>2104</v>
      </c>
      <c r="L619" s="2" t="inlineStr">
        <is>
          <t>New Zealand</t>
        </is>
      </c>
      <c r="M619" s="2" t="inlineStr">
        <is>
          <t>Manurewa</t>
        </is>
      </c>
      <c r="N619" s="2" t="inlineStr">
        <is>
          <t>New Zealand</t>
        </is>
      </c>
      <c r="P619" s="2" t="inlineStr">
        <is>
          <t>Operational Control</t>
        </is>
      </c>
      <c r="Q619" s="2" t="inlineStr">
        <is>
          <t>Operational Control</t>
        </is>
      </c>
      <c r="R619" s="2" t="inlineStr">
        <is>
          <t>Energy and Utilities (EU)</t>
        </is>
      </c>
      <c r="S619" s="2" t="inlineStr">
        <is>
          <t>Downer</t>
        </is>
      </c>
      <c r="T619" s="2" t="n">
        <v>100</v>
      </c>
      <c r="W619" s="2" t="inlineStr">
        <is>
          <t>Classification</t>
        </is>
      </c>
      <c r="X619" s="2" t="n">
        <v>-37.008126</v>
      </c>
      <c r="Y619" s="2" t="n">
        <v>174.87054</v>
      </c>
      <c r="Z619" s="2" t="n">
        <v>580</v>
      </c>
      <c r="AA619" s="11" t="n">
        <v>42917</v>
      </c>
    </row>
    <row r="620">
      <c r="A620" s="2" t="inlineStr">
        <is>
          <t>Downer</t>
        </is>
      </c>
      <c r="B620" s="2" t="inlineStr">
        <is>
          <t>_CLOSED_U_D&amp;B_Operations</t>
        </is>
      </c>
      <c r="C620" s="2" t="inlineStr">
        <is>
          <t>Other</t>
        </is>
      </c>
      <c r="D620" s="2" t="inlineStr">
        <is>
          <t>L9.DNZ.810.10.185</t>
        </is>
      </c>
      <c r="E620" s="2" t="n">
        <v>5132</v>
      </c>
      <c r="G620" s="2" t="inlineStr">
        <is>
          <t>Design, Build &amp; Maintain Wired and Wireless Telco Operations - New facilities established for more granular reporting and to reflect new structure for FY17. See facility named "NZ-Technology Solutions &amp; Corporate Services" for historical data.</t>
        </is>
      </c>
      <c r="H620" s="2" t="inlineStr">
        <is>
          <t>130 Kerrs Rd</t>
        </is>
      </c>
      <c r="I620" s="2" t="inlineStr">
        <is>
          <t>Wiri</t>
        </is>
      </c>
      <c r="J620" s="2" t="inlineStr">
        <is>
          <t>Auckland</t>
        </is>
      </c>
      <c r="K620" s="2" t="n">
        <v>2104</v>
      </c>
      <c r="L620" s="2" t="inlineStr">
        <is>
          <t>New Zealand</t>
        </is>
      </c>
      <c r="M620" s="2" t="inlineStr">
        <is>
          <t>Manurewa</t>
        </is>
      </c>
      <c r="N620" s="2" t="inlineStr">
        <is>
          <t>New Zealand</t>
        </is>
      </c>
      <c r="P620" s="2" t="inlineStr">
        <is>
          <t>Operational Control</t>
        </is>
      </c>
      <c r="Q620" s="2" t="inlineStr">
        <is>
          <t>Operational Control</t>
        </is>
      </c>
      <c r="R620" s="2" t="inlineStr">
        <is>
          <t>Energy and Utilities (EU)</t>
        </is>
      </c>
      <c r="S620" s="2" t="inlineStr">
        <is>
          <t>Downer</t>
        </is>
      </c>
      <c r="T620" s="2" t="n">
        <v>100</v>
      </c>
      <c r="W620" s="2" t="inlineStr">
        <is>
          <t>Classification</t>
        </is>
      </c>
      <c r="X620" s="2" t="n">
        <v>-37.008126</v>
      </c>
      <c r="Y620" s="2" t="n">
        <v>174.87054</v>
      </c>
      <c r="Z620" s="2" t="n">
        <v>580</v>
      </c>
      <c r="AA620" s="11" t="n">
        <v>42917</v>
      </c>
    </row>
    <row r="621">
      <c r="A621" s="2" t="inlineStr">
        <is>
          <t>Downer</t>
        </is>
      </c>
      <c r="B621" s="2" t="inlineStr">
        <is>
          <t>_CLOSED_U_D&amp;B_UFB</t>
        </is>
      </c>
      <c r="C621" s="2" t="inlineStr">
        <is>
          <t>Other</t>
        </is>
      </c>
      <c r="D621" s="2" t="inlineStr">
        <is>
          <t>L9.DNZ.810.10.224</t>
        </is>
      </c>
      <c r="E621" s="2" t="n">
        <v>5137</v>
      </c>
      <c r="G621" s="2" t="inlineStr">
        <is>
          <t>Design, Build &amp; Maintain Wired and Wireless Telco Operations - New facilities established for more granular reporting and to reflect new structure for FY17. See facility named "NZ-Technology Solutions &amp; Corporate Services" for historical data.</t>
        </is>
      </c>
      <c r="H621" s="2" t="inlineStr">
        <is>
          <t>130 Kerrs Rd</t>
        </is>
      </c>
      <c r="I621" s="2" t="inlineStr">
        <is>
          <t>Wiri</t>
        </is>
      </c>
      <c r="J621" s="2" t="inlineStr">
        <is>
          <t>Auckland</t>
        </is>
      </c>
      <c r="K621" s="2" t="n">
        <v>2104</v>
      </c>
      <c r="L621" s="2" t="inlineStr">
        <is>
          <t>New Zealand</t>
        </is>
      </c>
      <c r="M621" s="2" t="inlineStr">
        <is>
          <t>Manurewa</t>
        </is>
      </c>
      <c r="N621" s="2" t="inlineStr">
        <is>
          <t>New Zealand</t>
        </is>
      </c>
      <c r="P621" s="2" t="inlineStr">
        <is>
          <t>Operational Control</t>
        </is>
      </c>
      <c r="Q621" s="2" t="inlineStr">
        <is>
          <t>Operational Control</t>
        </is>
      </c>
      <c r="R621" s="2" t="inlineStr">
        <is>
          <t>Energy and Utilities (EU)</t>
        </is>
      </c>
      <c r="S621" s="2" t="inlineStr">
        <is>
          <t>Downer</t>
        </is>
      </c>
      <c r="T621" s="2" t="n">
        <v>100</v>
      </c>
      <c r="W621" s="2" t="inlineStr">
        <is>
          <t>Classification</t>
        </is>
      </c>
      <c r="X621" s="2" t="n">
        <v>-37.008126</v>
      </c>
      <c r="Y621" s="2" t="n">
        <v>174.87054</v>
      </c>
      <c r="Z621" s="2" t="n">
        <v>580</v>
      </c>
      <c r="AA621" s="11" t="n">
        <v>42917</v>
      </c>
    </row>
    <row r="622">
      <c r="A622" s="2" t="inlineStr">
        <is>
          <t>Downer</t>
        </is>
      </c>
      <c r="B622" s="2" t="inlineStr">
        <is>
          <t>_CLOSED_U_FM_ES</t>
        </is>
      </c>
      <c r="C622" s="2" t="inlineStr">
        <is>
          <t>Other</t>
        </is>
      </c>
      <c r="D622" s="2" t="inlineStr">
        <is>
          <t>L9.DNZ.810.10.030</t>
        </is>
      </c>
      <c r="E622" s="2" t="n">
        <v>5138</v>
      </c>
      <c r="G622" s="2" t="inlineStr">
        <is>
          <t>Engineering Services &amp; Facilities Management - New facilities established for more granular reporting and to reflect new structure for FY17. See facility named "NZ-Technology Solutions &amp; Corporate Services" for historical data.</t>
        </is>
      </c>
      <c r="H622" s="2" t="inlineStr">
        <is>
          <t>130 Kerrs Rd</t>
        </is>
      </c>
      <c r="I622" s="2" t="inlineStr">
        <is>
          <t>Wiri</t>
        </is>
      </c>
      <c r="J622" s="2" t="inlineStr">
        <is>
          <t>Auckland</t>
        </is>
      </c>
      <c r="K622" s="2" t="n">
        <v>2104</v>
      </c>
      <c r="L622" s="2" t="inlineStr">
        <is>
          <t>New Zealand</t>
        </is>
      </c>
      <c r="M622" s="2" t="inlineStr">
        <is>
          <t>Manurewa</t>
        </is>
      </c>
      <c r="N622" s="2" t="inlineStr">
        <is>
          <t>New Zealand</t>
        </is>
      </c>
      <c r="P622" s="2" t="inlineStr">
        <is>
          <t>Operational Control</t>
        </is>
      </c>
      <c r="Q622" s="2" t="inlineStr">
        <is>
          <t>Operational Control</t>
        </is>
      </c>
      <c r="R622" s="2" t="inlineStr">
        <is>
          <t>Energy and Utilities (EU)</t>
        </is>
      </c>
      <c r="S622" s="2" t="inlineStr">
        <is>
          <t>Downer</t>
        </is>
      </c>
      <c r="T622" s="2" t="n">
        <v>100</v>
      </c>
      <c r="W622" s="2" t="inlineStr">
        <is>
          <t>Classification</t>
        </is>
      </c>
      <c r="X622" s="2" t="n">
        <v>-37.008126</v>
      </c>
      <c r="Y622" s="2" t="n">
        <v>174.87054</v>
      </c>
      <c r="Z622" s="2" t="n">
        <v>731</v>
      </c>
      <c r="AA622" s="11" t="n">
        <v>42917</v>
      </c>
    </row>
    <row r="623">
      <c r="A623" s="2" t="inlineStr">
        <is>
          <t>Downer</t>
        </is>
      </c>
      <c r="B623" s="2" t="inlineStr">
        <is>
          <t>_CLOSED_U_FM_ES-Transpower</t>
        </is>
      </c>
      <c r="C623" s="2" t="inlineStr">
        <is>
          <t>Other</t>
        </is>
      </c>
      <c r="D623" s="2" t="inlineStr">
        <is>
          <t>L9.DNZ.810.20162</t>
        </is>
      </c>
      <c r="E623" s="2" t="n">
        <v>5139</v>
      </c>
      <c r="G623" s="2" t="inlineStr">
        <is>
          <t>Engineering Services &amp; Facilities Management - New facilities established for more granular reporting and to reflect new structure for FY17. See facility named "NZ-Technology Solutions &amp; Corporate Services" for historical data.</t>
        </is>
      </c>
      <c r="H623" s="2" t="inlineStr">
        <is>
          <t>130 Kerrs Rd</t>
        </is>
      </c>
      <c r="I623" s="2" t="inlineStr">
        <is>
          <t>Wiri</t>
        </is>
      </c>
      <c r="J623" s="2" t="inlineStr">
        <is>
          <t>Auckland</t>
        </is>
      </c>
      <c r="K623" s="2" t="n">
        <v>2104</v>
      </c>
      <c r="L623" s="2" t="inlineStr">
        <is>
          <t>New Zealand</t>
        </is>
      </c>
      <c r="M623" s="2" t="inlineStr">
        <is>
          <t>Manurewa</t>
        </is>
      </c>
      <c r="N623" s="2" t="inlineStr">
        <is>
          <t>New Zealand</t>
        </is>
      </c>
      <c r="P623" s="2" t="inlineStr">
        <is>
          <t>Operational Control</t>
        </is>
      </c>
      <c r="Q623" s="2" t="inlineStr">
        <is>
          <t>Operational Control</t>
        </is>
      </c>
      <c r="R623" s="2" t="inlineStr">
        <is>
          <t>Energy and Utilities (EU)</t>
        </is>
      </c>
      <c r="S623" s="2" t="inlineStr">
        <is>
          <t>Downer</t>
        </is>
      </c>
      <c r="T623" s="2" t="n">
        <v>100</v>
      </c>
      <c r="W623" s="2" t="inlineStr">
        <is>
          <t>Classification</t>
        </is>
      </c>
      <c r="X623" s="2" t="n">
        <v>-37.008126</v>
      </c>
      <c r="Y623" s="2" t="n">
        <v>174.87054</v>
      </c>
      <c r="Z623" s="2" t="n">
        <v>731</v>
      </c>
      <c r="AA623" s="11" t="n">
        <v>42917</v>
      </c>
    </row>
    <row r="624">
      <c r="A624" s="2" t="inlineStr">
        <is>
          <t>Downer</t>
        </is>
      </c>
      <c r="B624" s="2" t="inlineStr">
        <is>
          <t>_CLOSED_U_ITS</t>
        </is>
      </c>
      <c r="C624" s="2" t="inlineStr">
        <is>
          <t>Other</t>
        </is>
      </c>
      <c r="D624" s="2" t="inlineStr">
        <is>
          <t>L9.DNZJ.1519</t>
        </is>
      </c>
      <c r="E624" s="2" t="n">
        <v>5140</v>
      </c>
      <c r="G624" s="2" t="inlineStr">
        <is>
          <t>Intelligent Transport Services - linked to road construction &amp; maintenance - New facilities established for more granular reporting and to reflect new structure for FY17. See facility named "NZ-Technology Solutions &amp; Corporate Services" for historical data.</t>
        </is>
      </c>
      <c r="H624" s="2" t="inlineStr">
        <is>
          <t>130 Kerrs Rd</t>
        </is>
      </c>
      <c r="I624" s="2" t="inlineStr">
        <is>
          <t>Wiri</t>
        </is>
      </c>
      <c r="J624" s="2" t="inlineStr">
        <is>
          <t>Auckland</t>
        </is>
      </c>
      <c r="K624" s="2" t="n">
        <v>2104</v>
      </c>
      <c r="L624" s="2" t="inlineStr">
        <is>
          <t>New Zealand</t>
        </is>
      </c>
      <c r="M624" s="2" t="inlineStr">
        <is>
          <t>Manurewa</t>
        </is>
      </c>
      <c r="N624" s="2" t="inlineStr">
        <is>
          <t>New Zealand</t>
        </is>
      </c>
      <c r="P624" s="2" t="inlineStr">
        <is>
          <t>Operational Control</t>
        </is>
      </c>
      <c r="Q624" s="2" t="inlineStr">
        <is>
          <t>Operational Control</t>
        </is>
      </c>
      <c r="R624" s="2" t="inlineStr">
        <is>
          <t>Energy and Utilities (EU)</t>
        </is>
      </c>
      <c r="S624" s="2" t="inlineStr">
        <is>
          <t>Downer</t>
        </is>
      </c>
      <c r="T624" s="2" t="n">
        <v>100</v>
      </c>
      <c r="W624" s="2" t="inlineStr">
        <is>
          <t>Classification</t>
        </is>
      </c>
      <c r="X624" s="2" t="n">
        <v>-37.008126</v>
      </c>
      <c r="Y624" s="2" t="n">
        <v>174.87054</v>
      </c>
      <c r="Z624" s="2" t="n">
        <v>310</v>
      </c>
      <c r="AA624" s="11" t="n">
        <v>42917</v>
      </c>
    </row>
    <row r="625">
      <c r="A625" s="2" t="inlineStr">
        <is>
          <t>Downer</t>
        </is>
      </c>
      <c r="B625" s="2" t="inlineStr">
        <is>
          <t>_CLOSED_U_Mobile&amp;ISP</t>
        </is>
      </c>
      <c r="C625" s="2" t="inlineStr">
        <is>
          <t>Other</t>
        </is>
      </c>
      <c r="D625" s="2" t="inlineStr">
        <is>
          <t>L9.DNZ.810.10.247</t>
        </is>
      </c>
      <c r="E625" s="2" t="n">
        <v>5133</v>
      </c>
      <c r="G625" s="2" t="inlineStr">
        <is>
          <t>Design, Build &amp; Maintain Wired and Wireless Telco Operations - New facilities established for more granular reporting and to reflect new structure for FY17. See facility named "NZ-Technology Solutions &amp; Corporate Services" for historical data.</t>
        </is>
      </c>
      <c r="H625" s="2" t="inlineStr">
        <is>
          <t>130 Kerrs Rd</t>
        </is>
      </c>
      <c r="I625" s="2" t="inlineStr">
        <is>
          <t>Wiri</t>
        </is>
      </c>
      <c r="J625" s="2" t="inlineStr">
        <is>
          <t>Auckland</t>
        </is>
      </c>
      <c r="K625" s="2" t="n">
        <v>2104</v>
      </c>
      <c r="L625" s="2" t="inlineStr">
        <is>
          <t>New Zealand</t>
        </is>
      </c>
      <c r="M625" s="2" t="inlineStr">
        <is>
          <t>Manurewa</t>
        </is>
      </c>
      <c r="N625" s="2" t="inlineStr">
        <is>
          <t>New Zealand</t>
        </is>
      </c>
      <c r="P625" s="2" t="inlineStr">
        <is>
          <t>Operational Control</t>
        </is>
      </c>
      <c r="Q625" s="2" t="inlineStr">
        <is>
          <t>Operational Control</t>
        </is>
      </c>
      <c r="R625" s="2" t="inlineStr">
        <is>
          <t>Energy and Utilities (EU)</t>
        </is>
      </c>
      <c r="S625" s="2" t="inlineStr">
        <is>
          <t>Downer</t>
        </is>
      </c>
      <c r="T625" s="2" t="n">
        <v>100</v>
      </c>
      <c r="W625" s="2" t="inlineStr">
        <is>
          <t>Classification</t>
        </is>
      </c>
      <c r="X625" s="2" t="n">
        <v>-37.008126</v>
      </c>
      <c r="Y625" s="2" t="n">
        <v>174.87054</v>
      </c>
      <c r="Z625" s="2" t="n">
        <v>580</v>
      </c>
      <c r="AA625" s="11" t="n">
        <v>42917</v>
      </c>
    </row>
    <row r="626">
      <c r="A626" s="2" t="inlineStr">
        <is>
          <t>Downer</t>
        </is>
      </c>
      <c r="B626" s="2" t="inlineStr">
        <is>
          <t>_CLOSED_U_P&amp;G_Gas</t>
        </is>
      </c>
      <c r="C626" s="2" t="inlineStr">
        <is>
          <t>Other</t>
        </is>
      </c>
      <c r="D626" s="2" t="inlineStr">
        <is>
          <t>L9.DUN.50131</t>
        </is>
      </c>
      <c r="E626" s="2" t="n">
        <v>5144</v>
      </c>
      <c r="G626" s="2" t="inlineStr">
        <is>
          <t>Design, Build &amp; Maintain Gas Distribution Systems - New facilities established for more granular reporting and to reflect new structure for FY17. See facility named "NZ-Technology Solutions &amp; Corporate Services" for historical data.</t>
        </is>
      </c>
      <c r="H626" s="2" t="inlineStr">
        <is>
          <t>101 Port Ave, Seaview</t>
        </is>
      </c>
      <c r="I626" s="2" t="inlineStr">
        <is>
          <t>Lower Hutt</t>
        </is>
      </c>
      <c r="J626" s="2" t="inlineStr">
        <is>
          <t>Wellington</t>
        </is>
      </c>
      <c r="K626" s="2" t="n">
        <v>4312</v>
      </c>
      <c r="L626" s="2" t="inlineStr">
        <is>
          <t>New Zealand</t>
        </is>
      </c>
      <c r="M626" s="2" t="inlineStr">
        <is>
          <t>Lower Hutt</t>
        </is>
      </c>
      <c r="N626" s="2" t="inlineStr">
        <is>
          <t>New Zealand</t>
        </is>
      </c>
      <c r="P626" s="2" t="inlineStr">
        <is>
          <t>Operational Control</t>
        </is>
      </c>
      <c r="Q626" s="2" t="inlineStr">
        <is>
          <t>Operational Control</t>
        </is>
      </c>
      <c r="R626" s="2" t="inlineStr">
        <is>
          <t>Energy and Utilities (EU)</t>
        </is>
      </c>
      <c r="S626" s="2" t="inlineStr">
        <is>
          <t>Downer</t>
        </is>
      </c>
      <c r="T626" s="2" t="n">
        <v>100</v>
      </c>
      <c r="W626" s="2" t="inlineStr">
        <is>
          <t>Classification</t>
        </is>
      </c>
      <c r="X626" s="2" t="n">
        <v>-41.2320491</v>
      </c>
      <c r="Y626" s="2" t="n">
        <v>174.9143794</v>
      </c>
      <c r="Z626" s="2" t="n">
        <v>310</v>
      </c>
      <c r="AA626" s="11" t="n">
        <v>42917</v>
      </c>
    </row>
    <row r="627">
      <c r="A627" s="2" t="inlineStr">
        <is>
          <t>Downer</t>
        </is>
      </c>
      <c r="B627" s="2" t="inlineStr">
        <is>
          <t>_CLOSED_U_P&amp;G_Masterton</t>
        </is>
      </c>
      <c r="C627" s="2" t="inlineStr">
        <is>
          <t>Other</t>
        </is>
      </c>
      <c r="D627" s="2" t="inlineStr">
        <is>
          <t>L9.DUN.60242</t>
        </is>
      </c>
      <c r="E627" s="2" t="n">
        <v>5145</v>
      </c>
      <c r="G627" s="2" t="inlineStr">
        <is>
          <t>Design, Build &amp; Maintain Electricity Distribution Systems - New facilities established for more granular reporting and to reflect new structure for FY17. See facility named "NZ-Technology Solutions &amp; Corporate Services" for historical data.</t>
        </is>
      </c>
      <c r="H627" s="2" t="inlineStr">
        <is>
          <t>73 Ngamutawa Road</t>
        </is>
      </c>
      <c r="I627" s="2" t="inlineStr">
        <is>
          <t>Masterton</t>
        </is>
      </c>
      <c r="J627" s="2" t="inlineStr">
        <is>
          <t>Wellington</t>
        </is>
      </c>
      <c r="K627" s="2" t="n">
        <v>4414</v>
      </c>
      <c r="L627" s="2" t="inlineStr">
        <is>
          <t>New Zealand</t>
        </is>
      </c>
      <c r="M627" s="2" t="inlineStr">
        <is>
          <t>Masterton</t>
        </is>
      </c>
      <c r="N627" s="2" t="inlineStr">
        <is>
          <t>New Zealand</t>
        </is>
      </c>
      <c r="P627" s="2" t="inlineStr">
        <is>
          <t>Operational Control</t>
        </is>
      </c>
      <c r="Q627" s="2" t="inlineStr">
        <is>
          <t>Operational Control</t>
        </is>
      </c>
      <c r="R627" s="2" t="inlineStr">
        <is>
          <t>Energy and Utilities (EU)</t>
        </is>
      </c>
      <c r="S627" s="2" t="inlineStr">
        <is>
          <t>Downer</t>
        </is>
      </c>
      <c r="T627" s="2" t="n">
        <v>100</v>
      </c>
      <c r="W627" s="2" t="inlineStr">
        <is>
          <t>Classification</t>
        </is>
      </c>
      <c r="X627" s="2" t="n">
        <v>-40.9420431</v>
      </c>
      <c r="Y627" s="2" t="n">
        <v>175.6446206</v>
      </c>
      <c r="Z627" s="2" t="n">
        <v>310</v>
      </c>
      <c r="AA627" s="11" t="n">
        <v>42917</v>
      </c>
    </row>
    <row r="628">
      <c r="A628" s="2" t="inlineStr">
        <is>
          <t>Downer</t>
        </is>
      </c>
      <c r="B628" s="2" t="inlineStr">
        <is>
          <t>_CLOSED_U_P&amp;G_New Plymouth</t>
        </is>
      </c>
      <c r="C628" s="2" t="inlineStr">
        <is>
          <t>Other</t>
        </is>
      </c>
      <c r="D628" s="2" t="inlineStr">
        <is>
          <t>L9.DUN.60214</t>
        </is>
      </c>
      <c r="E628" s="2" t="n">
        <v>5146</v>
      </c>
      <c r="G628" s="2" t="inlineStr">
        <is>
          <t>Design, Build &amp; Maintain Electricity Distribution Systems - New facilities established for more granular reporting and to reflect new structure for FY17. See facility named "NZ-Technology Solutions &amp; Corporate Services" for historical data.</t>
        </is>
      </c>
      <c r="H628" s="2" t="inlineStr">
        <is>
          <t>31-39 Junction Street</t>
        </is>
      </c>
      <c r="I628" s="2" t="inlineStr">
        <is>
          <t>New Plymouth</t>
        </is>
      </c>
      <c r="J628" s="2" t="inlineStr">
        <is>
          <t>Taranaki</t>
        </is>
      </c>
      <c r="K628" s="2" t="n">
        <v>8042</v>
      </c>
      <c r="L628" s="2" t="inlineStr">
        <is>
          <t>New Zealand</t>
        </is>
      </c>
      <c r="M628" s="2" t="inlineStr">
        <is>
          <t>New Plymouth</t>
        </is>
      </c>
      <c r="N628" s="2" t="inlineStr">
        <is>
          <t>New Zealand</t>
        </is>
      </c>
      <c r="P628" s="2" t="inlineStr">
        <is>
          <t>Operational Control</t>
        </is>
      </c>
      <c r="Q628" s="2" t="inlineStr">
        <is>
          <t>Operational Control</t>
        </is>
      </c>
      <c r="R628" s="2" t="inlineStr">
        <is>
          <t>Energy and Utilities (EU)</t>
        </is>
      </c>
      <c r="S628" s="2" t="inlineStr">
        <is>
          <t>Downer</t>
        </is>
      </c>
      <c r="T628" s="2" t="n">
        <v>100</v>
      </c>
      <c r="W628" s="2" t="inlineStr">
        <is>
          <t>Classification</t>
        </is>
      </c>
      <c r="X628" s="2" t="n">
        <v>-39.0773647</v>
      </c>
      <c r="Y628" s="2" t="n">
        <v>174.097395499999</v>
      </c>
      <c r="Z628" s="2" t="n">
        <v>310</v>
      </c>
      <c r="AA628" s="11" t="n">
        <v>42917</v>
      </c>
    </row>
    <row r="629">
      <c r="A629" s="2" t="inlineStr">
        <is>
          <t>Downer</t>
        </is>
      </c>
      <c r="B629" s="2" t="inlineStr">
        <is>
          <t>_CLOSED_U_P&amp;G_Palmerston North</t>
        </is>
      </c>
      <c r="C629" s="2" t="inlineStr">
        <is>
          <t>Other</t>
        </is>
      </c>
      <c r="D629" s="2" t="inlineStr">
        <is>
          <t>L9.DUN.60232</t>
        </is>
      </c>
      <c r="E629" s="2" t="n">
        <v>5147</v>
      </c>
      <c r="G629" s="2" t="inlineStr">
        <is>
          <t>Design, Build &amp; Maintain Electricity Distribution Systems - New facilities established for more granular reporting and to reflect new structure for FY17. See facility named "NZ-Technology Solutions &amp; Corporate Services" for historical data.</t>
        </is>
      </c>
      <c r="H629" s="2" t="inlineStr">
        <is>
          <t>50-62 Mihaere Drive</t>
        </is>
      </c>
      <c r="I629" s="2" t="inlineStr">
        <is>
          <t>Palmerston North</t>
        </is>
      </c>
      <c r="J629" s="2" t="inlineStr">
        <is>
          <t>Manawatu-Wanganui</t>
        </is>
      </c>
      <c r="K629" s="2" t="n">
        <v>3116</v>
      </c>
      <c r="L629" s="2" t="inlineStr">
        <is>
          <t>New Zealand</t>
        </is>
      </c>
      <c r="M629" s="2" t="inlineStr">
        <is>
          <t>Palmerston North</t>
        </is>
      </c>
      <c r="N629" s="2" t="inlineStr">
        <is>
          <t>New Zealand</t>
        </is>
      </c>
      <c r="P629" s="2" t="inlineStr">
        <is>
          <t>Operational Control</t>
        </is>
      </c>
      <c r="Q629" s="2" t="inlineStr">
        <is>
          <t>Operational Control</t>
        </is>
      </c>
      <c r="R629" s="2" t="inlineStr">
        <is>
          <t>Energy and Utilities (EU)</t>
        </is>
      </c>
      <c r="S629" s="2" t="inlineStr">
        <is>
          <t>Downer</t>
        </is>
      </c>
      <c r="T629" s="2" t="n">
        <v>100</v>
      </c>
      <c r="W629" s="2" t="inlineStr">
        <is>
          <t>Classification</t>
        </is>
      </c>
      <c r="X629" s="2" t="n">
        <v>-40.334541</v>
      </c>
      <c r="Y629" s="2" t="n">
        <v>175.6449</v>
      </c>
      <c r="Z629" s="2" t="n">
        <v>310</v>
      </c>
      <c r="AA629" s="11" t="n">
        <v>42917</v>
      </c>
    </row>
    <row r="630">
      <c r="A630" s="2" t="inlineStr">
        <is>
          <t>Downer</t>
        </is>
      </c>
      <c r="B630" s="2" t="inlineStr">
        <is>
          <t>_CLOSED_U_P&amp;G_South Island</t>
        </is>
      </c>
      <c r="C630" s="2" t="inlineStr">
        <is>
          <t>Other</t>
        </is>
      </c>
      <c r="D630" s="2" t="inlineStr">
        <is>
          <t>L9.DNZJ.561470</t>
        </is>
      </c>
      <c r="E630" s="2" t="inlineStr">
        <is>
          <t>L9.DNZJ.561470</t>
        </is>
      </c>
      <c r="G630" s="2" t="inlineStr">
        <is>
          <t>Design, Build &amp; Maintain Electricity Distribution Systems - New facilities established for more granular reporting and to reflect new structure for FY17. See facility named "NZ-Technology Solutions &amp; Corporate Services" for historical data.</t>
        </is>
      </c>
      <c r="H630" s="2" t="inlineStr">
        <is>
          <t>55 Shands Rd, Hornby</t>
        </is>
      </c>
      <c r="I630" s="2" t="inlineStr">
        <is>
          <t>Christchurch</t>
        </is>
      </c>
      <c r="J630" s="2" t="inlineStr">
        <is>
          <t>Canterbury</t>
        </is>
      </c>
      <c r="K630" s="2" t="n">
        <v>3600</v>
      </c>
      <c r="L630" s="2" t="inlineStr">
        <is>
          <t>New Zealand</t>
        </is>
      </c>
      <c r="M630" s="2" t="inlineStr">
        <is>
          <t>Christchurch</t>
        </is>
      </c>
      <c r="N630" s="2" t="inlineStr">
        <is>
          <t>New Zealand</t>
        </is>
      </c>
      <c r="P630" s="2" t="inlineStr">
        <is>
          <t>Operational Control</t>
        </is>
      </c>
      <c r="Q630" s="2" t="inlineStr">
        <is>
          <t>Operational Control</t>
        </is>
      </c>
      <c r="R630" s="2" t="inlineStr">
        <is>
          <t>Energy and Utilities (EU)</t>
        </is>
      </c>
      <c r="S630" s="2" t="inlineStr">
        <is>
          <t>Downer</t>
        </is>
      </c>
      <c r="T630" s="2" t="n">
        <v>100</v>
      </c>
      <c r="W630" s="2" t="inlineStr">
        <is>
          <t>Classification</t>
        </is>
      </c>
      <c r="X630" s="2" t="n">
        <v>-43.547387</v>
      </c>
      <c r="Y630" s="2" t="n">
        <v>172.52175</v>
      </c>
      <c r="Z630" s="2" t="n">
        <v>310</v>
      </c>
      <c r="AA630" s="11" t="n">
        <v>42917</v>
      </c>
    </row>
    <row r="631">
      <c r="A631" s="2" t="inlineStr">
        <is>
          <t>Downer</t>
        </is>
      </c>
      <c r="B631" s="2" t="inlineStr">
        <is>
          <t>_CLOSED_U_P&amp;G_Tauranga</t>
        </is>
      </c>
      <c r="C631" s="2" t="inlineStr">
        <is>
          <t>Other</t>
        </is>
      </c>
      <c r="D631" s="2" t="inlineStr">
        <is>
          <t>L9.DUN.60112</t>
        </is>
      </c>
      <c r="E631" s="2" t="n">
        <v>5149</v>
      </c>
      <c r="G631" s="2" t="inlineStr">
        <is>
          <t>Design, Build &amp; Maintain Electricity Distribution Systems - New facilities established for more granular reporting and to reflect new structure for FY17. See facility named "NZ-Technology Solutions &amp; Corporate Services" for historical data.</t>
        </is>
      </c>
      <c r="H631" s="2" t="inlineStr">
        <is>
          <t>126 Aerodrome Road, Mt Maunganui</t>
        </is>
      </c>
      <c r="I631" s="2" t="inlineStr">
        <is>
          <t>Tauranga</t>
        </is>
      </c>
      <c r="J631" s="2" t="inlineStr">
        <is>
          <t>Bay of Plenty</t>
        </is>
      </c>
      <c r="K631" s="2" t="n">
        <v>4501</v>
      </c>
      <c r="L631" s="2" t="inlineStr">
        <is>
          <t>New Zealand</t>
        </is>
      </c>
      <c r="M631" s="2" t="inlineStr">
        <is>
          <t>Tauranga</t>
        </is>
      </c>
      <c r="N631" s="2" t="inlineStr">
        <is>
          <t>New Zealand</t>
        </is>
      </c>
      <c r="P631" s="2" t="inlineStr">
        <is>
          <t>Operational Control</t>
        </is>
      </c>
      <c r="Q631" s="2" t="inlineStr">
        <is>
          <t>Operational Control</t>
        </is>
      </c>
      <c r="R631" s="2" t="inlineStr">
        <is>
          <t>Energy and Utilities (EU)</t>
        </is>
      </c>
      <c r="S631" s="2" t="inlineStr">
        <is>
          <t>Downer</t>
        </is>
      </c>
      <c r="T631" s="2" t="n">
        <v>100</v>
      </c>
      <c r="W631" s="2" t="inlineStr">
        <is>
          <t>Classification</t>
        </is>
      </c>
      <c r="X631" s="2" t="n">
        <v>-37.6694831</v>
      </c>
      <c r="Y631" s="2" t="n">
        <v>176.2022421</v>
      </c>
      <c r="Z631" s="2" t="n">
        <v>310</v>
      </c>
      <c r="AA631" s="11" t="n">
        <v>42917</v>
      </c>
    </row>
    <row r="632">
      <c r="A632" s="2" t="inlineStr">
        <is>
          <t>Downer</t>
        </is>
      </c>
      <c r="B632" s="2" t="inlineStr">
        <is>
          <t>_CLOSED_U_P&amp;G_Valley</t>
        </is>
      </c>
      <c r="C632" s="2" t="inlineStr">
        <is>
          <t>Other</t>
        </is>
      </c>
      <c r="D632" s="2" t="inlineStr">
        <is>
          <t>L9.DUN.60122</t>
        </is>
      </c>
      <c r="E632" s="2" t="n">
        <v>5150</v>
      </c>
      <c r="G632" s="2" t="inlineStr">
        <is>
          <t>Design, Build &amp; Maintain Electricity Distribution Systems - New facilities established for more granular reporting and to reflect new structure for FY17. See facility named "NZ-Technology Solutions &amp; Corporate Services" for historical data.</t>
        </is>
      </c>
      <c r="H632" s="2" t="inlineStr">
        <is>
          <t>1 Coronation Street</t>
        </is>
      </c>
      <c r="I632" s="2" t="inlineStr">
        <is>
          <t>Paeroa</t>
        </is>
      </c>
      <c r="J632" s="2" t="inlineStr">
        <is>
          <t>Waikato</t>
        </is>
      </c>
      <c r="K632" s="2" t="n">
        <v>5010</v>
      </c>
      <c r="L632" s="2" t="inlineStr">
        <is>
          <t>New Zealand</t>
        </is>
      </c>
      <c r="M632" s="2" t="inlineStr">
        <is>
          <t>Paeroa</t>
        </is>
      </c>
      <c r="N632" s="2" t="inlineStr">
        <is>
          <t>New Zealand</t>
        </is>
      </c>
      <c r="P632" s="2" t="inlineStr">
        <is>
          <t>Operational Control</t>
        </is>
      </c>
      <c r="Q632" s="2" t="inlineStr">
        <is>
          <t>Operational Control</t>
        </is>
      </c>
      <c r="R632" s="2" t="inlineStr">
        <is>
          <t>Energy and Utilities (EU)</t>
        </is>
      </c>
      <c r="S632" s="2" t="inlineStr">
        <is>
          <t>Downer</t>
        </is>
      </c>
      <c r="T632" s="2" t="n">
        <v>100</v>
      </c>
      <c r="W632" s="2" t="inlineStr">
        <is>
          <t>Classification</t>
        </is>
      </c>
      <c r="X632" s="2" t="n">
        <v>-37.3697971</v>
      </c>
      <c r="Y632" s="2" t="n">
        <v>175.6657172</v>
      </c>
      <c r="Z632" s="2" t="n">
        <v>310</v>
      </c>
      <c r="AA632" s="11" t="n">
        <v>42917</v>
      </c>
    </row>
    <row r="633">
      <c r="A633" s="2" t="inlineStr">
        <is>
          <t>Downer</t>
        </is>
      </c>
      <c r="B633" s="2" t="inlineStr">
        <is>
          <t>_CLOSED_U_P&amp;G_Wanganui</t>
        </is>
      </c>
      <c r="C633" s="2" t="inlineStr">
        <is>
          <t>Other</t>
        </is>
      </c>
      <c r="D633" s="2" t="inlineStr">
        <is>
          <t>L9.DUN.60222</t>
        </is>
      </c>
      <c r="E633" s="2" t="n">
        <v>5151</v>
      </c>
      <c r="G633" s="2" t="inlineStr">
        <is>
          <t>Design, Build &amp; Maintain Electricity Distribution Systems - New facilities established for more granular reporting and to reflect new structure for FY17. See facility named "NZ-Technology Solutions &amp; Corporate Services" for historical data.</t>
        </is>
      </c>
      <c r="H633" s="2" t="inlineStr">
        <is>
          <t>34 Bedford Avenue, Gonville</t>
        </is>
      </c>
      <c r="I633" s="2" t="inlineStr">
        <is>
          <t>Wanganui</t>
        </is>
      </c>
      <c r="J633" s="2" t="inlineStr">
        <is>
          <t>Manawatu-Wanganui</t>
        </is>
      </c>
      <c r="K633" s="2" t="n">
        <v>5010</v>
      </c>
      <c r="L633" s="2" t="inlineStr">
        <is>
          <t>New Zealand</t>
        </is>
      </c>
      <c r="M633" s="2" t="inlineStr">
        <is>
          <t>Manawatu-Wanganui</t>
        </is>
      </c>
      <c r="N633" s="2" t="inlineStr">
        <is>
          <t>New Zealand</t>
        </is>
      </c>
      <c r="P633" s="2" t="inlineStr">
        <is>
          <t>Operational Control</t>
        </is>
      </c>
      <c r="Q633" s="2" t="inlineStr">
        <is>
          <t>Operational Control</t>
        </is>
      </c>
      <c r="R633" s="2" t="inlineStr">
        <is>
          <t>Energy and Utilities (EU)</t>
        </is>
      </c>
      <c r="S633" s="2" t="inlineStr">
        <is>
          <t>Downer</t>
        </is>
      </c>
      <c r="T633" s="2" t="n">
        <v>100</v>
      </c>
      <c r="W633" s="2" t="inlineStr">
        <is>
          <t>Classification</t>
        </is>
      </c>
      <c r="X633" s="2" t="n">
        <v>-39.9472333</v>
      </c>
      <c r="Y633" s="2" t="n">
        <v>175.036765999999</v>
      </c>
      <c r="Z633" s="2" t="n">
        <v>310</v>
      </c>
      <c r="AA633" s="11" t="n">
        <v>42917</v>
      </c>
    </row>
    <row r="634">
      <c r="A634" s="2" t="inlineStr">
        <is>
          <t>Downer</t>
        </is>
      </c>
      <c r="B634" s="2" t="inlineStr">
        <is>
          <t>_CLOSED_U_P&amp;G_Wellington</t>
        </is>
      </c>
      <c r="C634" s="2" t="inlineStr">
        <is>
          <t>Other</t>
        </is>
      </c>
      <c r="D634" s="2" t="inlineStr">
        <is>
          <t>L9.DUN.60250</t>
        </is>
      </c>
      <c r="E634" s="2" t="n">
        <v>5152</v>
      </c>
      <c r="G634" s="2" t="inlineStr">
        <is>
          <t>Design, Build &amp; Maintain Electricity Distribution Systems - New facilities established for more granular reporting and to reflect new structure for FY17. See facility named "NZ-Technology Solutions &amp; Corporate Services" for historical data.</t>
        </is>
      </c>
      <c r="H634" s="2" t="inlineStr">
        <is>
          <t>101 Port Ave, Seaview</t>
        </is>
      </c>
      <c r="I634" s="2" t="inlineStr">
        <is>
          <t>Lower Hutt</t>
        </is>
      </c>
      <c r="J634" s="2" t="inlineStr">
        <is>
          <t>Wellington</t>
        </is>
      </c>
      <c r="K634" s="2" t="n">
        <v>3116</v>
      </c>
      <c r="L634" s="2" t="inlineStr">
        <is>
          <t>New Zealand</t>
        </is>
      </c>
      <c r="M634" s="2" t="inlineStr">
        <is>
          <t>Lower Hutt</t>
        </is>
      </c>
      <c r="N634" s="2" t="inlineStr">
        <is>
          <t>New Zealand</t>
        </is>
      </c>
      <c r="P634" s="2" t="inlineStr">
        <is>
          <t>Operational Control</t>
        </is>
      </c>
      <c r="Q634" s="2" t="inlineStr">
        <is>
          <t>Operational Control</t>
        </is>
      </c>
      <c r="R634" s="2" t="inlineStr">
        <is>
          <t>Energy and Utilities (EU)</t>
        </is>
      </c>
      <c r="S634" s="2" t="inlineStr">
        <is>
          <t>Downer</t>
        </is>
      </c>
      <c r="T634" s="2" t="n">
        <v>100</v>
      </c>
      <c r="W634" s="2" t="inlineStr">
        <is>
          <t>Classification</t>
        </is>
      </c>
      <c r="X634" s="2" t="n">
        <v>-41.2320491</v>
      </c>
      <c r="Y634" s="2" t="n">
        <v>174.9143794</v>
      </c>
      <c r="Z634" s="2" t="n">
        <v>310</v>
      </c>
      <c r="AA634" s="11" t="n">
        <v>42917</v>
      </c>
    </row>
    <row r="635">
      <c r="A635" s="2" t="inlineStr">
        <is>
          <t>Downer</t>
        </is>
      </c>
      <c r="B635" s="2" t="inlineStr">
        <is>
          <t>_CLOSED_U_SubContractors</t>
        </is>
      </c>
      <c r="C635" s="2" t="inlineStr">
        <is>
          <t>Other</t>
        </is>
      </c>
      <c r="D635" s="2" t="inlineStr">
        <is>
          <t>L9.DNZJ.561671</t>
        </is>
      </c>
      <c r="E635" s="2" t="inlineStr">
        <is>
          <t>L9.DNZJ.561671</t>
        </is>
      </c>
      <c r="M635" s="2" t="inlineStr">
        <is>
          <t>Auckland</t>
        </is>
      </c>
      <c r="N635" s="2" t="inlineStr">
        <is>
          <t>New Zealand</t>
        </is>
      </c>
      <c r="P635" s="2" t="inlineStr">
        <is>
          <t>Operational Control</t>
        </is>
      </c>
      <c r="Q635" s="2" t="inlineStr">
        <is>
          <t>Operational Control</t>
        </is>
      </c>
      <c r="R635" s="2" t="inlineStr">
        <is>
          <t>Energy and Utilities (EU)</t>
        </is>
      </c>
      <c r="S635" s="2" t="inlineStr">
        <is>
          <t>Downer</t>
        </is>
      </c>
      <c r="T635" s="2" t="n">
        <v>100</v>
      </c>
      <c r="W635" s="2" t="inlineStr">
        <is>
          <t>Classification</t>
        </is>
      </c>
      <c r="AB635" s="11" t="n">
        <v>45473</v>
      </c>
    </row>
    <row r="636">
      <c r="A636" s="2" t="inlineStr">
        <is>
          <t>Downer</t>
        </is>
      </c>
      <c r="B636" s="2" t="inlineStr">
        <is>
          <t>_CLOSED_U_Supply Chain</t>
        </is>
      </c>
      <c r="C636" s="2" t="inlineStr">
        <is>
          <t>Other</t>
        </is>
      </c>
      <c r="D636" s="2" t="inlineStr">
        <is>
          <t>L9.DNZ.810.10.033</t>
        </is>
      </c>
      <c r="E636" s="2" t="n">
        <v>5135</v>
      </c>
      <c r="G636" s="2" t="inlineStr">
        <is>
          <t>Design, Build &amp; Maintain Wired and Wireless Telco Operations - New facilities established for more granular reporting and to reflect new structure for FY17. See facility named "NZ-Technology Solutions &amp; Corporate Services" for historical data.</t>
        </is>
      </c>
      <c r="H636" s="2" t="inlineStr">
        <is>
          <t>130 Kerrs Rd</t>
        </is>
      </c>
      <c r="I636" s="2" t="inlineStr">
        <is>
          <t>Wiri</t>
        </is>
      </c>
      <c r="J636" s="2" t="inlineStr">
        <is>
          <t>Auckland</t>
        </is>
      </c>
      <c r="K636" s="2" t="n">
        <v>2104</v>
      </c>
      <c r="L636" s="2" t="inlineStr">
        <is>
          <t>New Zealand</t>
        </is>
      </c>
      <c r="M636" s="2" t="inlineStr">
        <is>
          <t>Manurewa</t>
        </is>
      </c>
      <c r="N636" s="2" t="inlineStr">
        <is>
          <t>New Zealand</t>
        </is>
      </c>
      <c r="P636" s="2" t="inlineStr">
        <is>
          <t>Operational Control</t>
        </is>
      </c>
      <c r="Q636" s="2" t="inlineStr">
        <is>
          <t>Operational Control</t>
        </is>
      </c>
      <c r="R636" s="2" t="inlineStr">
        <is>
          <t>Energy and Utilities (EU)</t>
        </is>
      </c>
      <c r="S636" s="2" t="inlineStr">
        <is>
          <t>Downer</t>
        </is>
      </c>
      <c r="T636" s="2" t="n">
        <v>100</v>
      </c>
      <c r="W636" s="2" t="inlineStr">
        <is>
          <t>Classification</t>
        </is>
      </c>
      <c r="X636" s="2" t="n">
        <v>-37.008126</v>
      </c>
      <c r="Y636" s="2" t="n">
        <v>174.87054</v>
      </c>
      <c r="Z636" s="2" t="n">
        <v>580</v>
      </c>
      <c r="AA636" s="11" t="n">
        <v>42917</v>
      </c>
    </row>
    <row r="637">
      <c r="A637" s="2" t="inlineStr">
        <is>
          <t>Downer</t>
        </is>
      </c>
      <c r="B637" s="2" t="inlineStr">
        <is>
          <t>_CLOSED_U_Util_O&amp;M</t>
        </is>
      </c>
      <c r="C637" s="2" t="inlineStr">
        <is>
          <t>Other</t>
        </is>
      </c>
      <c r="D637" s="2" t="inlineStr">
        <is>
          <t>L9.DNZ.810.10.035</t>
        </is>
      </c>
      <c r="E637" s="2" t="n">
        <v>5134</v>
      </c>
      <c r="G637" s="2" t="inlineStr">
        <is>
          <t>Design, Build &amp; Maintain Wired and Wireless Telco Operations - New facilities established for more granular reporting and to reflect new structure for FY17. See facility named "NZ-Technology Solutions &amp; Corporate Services" for historical data.</t>
        </is>
      </c>
      <c r="H637" s="2" t="inlineStr">
        <is>
          <t>130 Kerrs Rd</t>
        </is>
      </c>
      <c r="I637" s="2" t="inlineStr">
        <is>
          <t>Wiri</t>
        </is>
      </c>
      <c r="J637" s="2" t="inlineStr">
        <is>
          <t>Auckland</t>
        </is>
      </c>
      <c r="K637" s="2" t="n">
        <v>2104</v>
      </c>
      <c r="L637" s="2" t="inlineStr">
        <is>
          <t>New Zealand</t>
        </is>
      </c>
      <c r="M637" s="2" t="inlineStr">
        <is>
          <t>Manurewa</t>
        </is>
      </c>
      <c r="N637" s="2" t="inlineStr">
        <is>
          <t>New Zealand</t>
        </is>
      </c>
      <c r="P637" s="2" t="inlineStr">
        <is>
          <t>Operational Control</t>
        </is>
      </c>
      <c r="Q637" s="2" t="inlineStr">
        <is>
          <t>Operational Control</t>
        </is>
      </c>
      <c r="R637" s="2" t="inlineStr">
        <is>
          <t>Energy and Utilities (EU)</t>
        </is>
      </c>
      <c r="S637" s="2" t="inlineStr">
        <is>
          <t>Downer</t>
        </is>
      </c>
      <c r="T637" s="2" t="n">
        <v>100</v>
      </c>
      <c r="W637" s="2" t="inlineStr">
        <is>
          <t>Classification</t>
        </is>
      </c>
      <c r="X637" s="2" t="n">
        <v>-37.008126</v>
      </c>
      <c r="Y637" s="2" t="n">
        <v>174.87054</v>
      </c>
      <c r="Z637" s="2" t="n">
        <v>580</v>
      </c>
      <c r="AA637" s="11" t="n">
        <v>42917</v>
      </c>
    </row>
    <row r="638">
      <c r="A638" s="2" t="inlineStr">
        <is>
          <t>Downer</t>
        </is>
      </c>
      <c r="B638" s="2" t="inlineStr">
        <is>
          <t>_CLOSED_U_Water</t>
        </is>
      </c>
      <c r="C638" s="2" t="inlineStr">
        <is>
          <t>Other</t>
        </is>
      </c>
      <c r="D638" s="2" t="inlineStr">
        <is>
          <t>L9.DNZJ.56805</t>
        </is>
      </c>
      <c r="E638" s="2" t="n">
        <v>5141</v>
      </c>
      <c r="G638" s="2" t="inlineStr">
        <is>
          <t>Construction and maintenance of water and waste water infrastructure - New facilities established for more granular reporting and to reflect new structure for FY17. See facility named "NZ-Technology Solutions &amp; Corporate Services" for historical data.</t>
        </is>
      </c>
      <c r="H638" s="2" t="inlineStr">
        <is>
          <t>130 Kerrs Rd</t>
        </is>
      </c>
      <c r="I638" s="2" t="inlineStr">
        <is>
          <t>Wiri</t>
        </is>
      </c>
      <c r="J638" s="2" t="inlineStr">
        <is>
          <t>Auckland</t>
        </is>
      </c>
      <c r="K638" s="2" t="n">
        <v>5010</v>
      </c>
      <c r="L638" s="2" t="inlineStr">
        <is>
          <t>New Zealand</t>
        </is>
      </c>
      <c r="M638" s="2" t="inlineStr">
        <is>
          <t>Manurewa</t>
        </is>
      </c>
      <c r="N638" s="2" t="inlineStr">
        <is>
          <t>New Zealand</t>
        </is>
      </c>
      <c r="P638" s="2" t="inlineStr">
        <is>
          <t>Operational Control</t>
        </is>
      </c>
      <c r="Q638" s="2" t="inlineStr">
        <is>
          <t>Operational Control</t>
        </is>
      </c>
      <c r="R638" s="2" t="inlineStr">
        <is>
          <t>Energy and Utilities (EU)</t>
        </is>
      </c>
      <c r="S638" s="2" t="inlineStr">
        <is>
          <t>Downer</t>
        </is>
      </c>
      <c r="T638" s="2" t="n">
        <v>100</v>
      </c>
      <c r="W638" s="2" t="inlineStr">
        <is>
          <t>Classification</t>
        </is>
      </c>
      <c r="X638" s="2" t="n">
        <v>-37.008126</v>
      </c>
      <c r="Y638" s="2" t="n">
        <v>174.87054</v>
      </c>
      <c r="Z638" s="2" t="n">
        <v>310</v>
      </c>
      <c r="AA638" s="11" t="n">
        <v>42917</v>
      </c>
    </row>
    <row r="639">
      <c r="A639" s="2" t="inlineStr">
        <is>
          <t>Downer</t>
        </is>
      </c>
      <c r="B639" s="2" t="inlineStr">
        <is>
          <t>_CLOSED_U_WMC</t>
        </is>
      </c>
      <c r="C639" s="2" t="inlineStr">
        <is>
          <t>Other</t>
        </is>
      </c>
      <c r="D639" s="2" t="inlineStr">
        <is>
          <t>L9.DNZ.810.10.046</t>
        </is>
      </c>
      <c r="E639" s="2" t="n">
        <v>5136</v>
      </c>
      <c r="G639" s="2" t="inlineStr">
        <is>
          <t>Call Centre for range of maintenance operations - New facilities established for more granular reporting and to reflect new structure for FY17. See facility named "NZ-Technology Solutions &amp; Corporate Services" for historical data.</t>
        </is>
      </c>
      <c r="H639" s="2" t="inlineStr">
        <is>
          <t>130 Kerrs Rd</t>
        </is>
      </c>
      <c r="I639" s="2" t="inlineStr">
        <is>
          <t>Wiri</t>
        </is>
      </c>
      <c r="J639" s="2" t="inlineStr">
        <is>
          <t>Auckland</t>
        </is>
      </c>
      <c r="K639" s="2" t="n">
        <v>2104</v>
      </c>
      <c r="L639" s="2" t="inlineStr">
        <is>
          <t>New Zealand</t>
        </is>
      </c>
      <c r="M639" s="2" t="inlineStr">
        <is>
          <t>Manurewa</t>
        </is>
      </c>
      <c r="N639" s="2" t="inlineStr">
        <is>
          <t>New Zealand</t>
        </is>
      </c>
      <c r="P639" s="2" t="inlineStr">
        <is>
          <t>Operational Control</t>
        </is>
      </c>
      <c r="Q639" s="2" t="inlineStr">
        <is>
          <t>Operational Control</t>
        </is>
      </c>
      <c r="R639" s="2" t="inlineStr">
        <is>
          <t>Energy and Utilities (EU)</t>
        </is>
      </c>
      <c r="S639" s="2" t="inlineStr">
        <is>
          <t>Downer</t>
        </is>
      </c>
      <c r="T639" s="2" t="n">
        <v>100</v>
      </c>
      <c r="W639" s="2" t="inlineStr">
        <is>
          <t>Classification</t>
        </is>
      </c>
      <c r="X639" s="2" t="n">
        <v>-37.008126</v>
      </c>
      <c r="Y639" s="2" t="n">
        <v>174.87054</v>
      </c>
      <c r="Z639" s="2" t="n">
        <v>729</v>
      </c>
      <c r="AA639" s="11" t="n">
        <v>42917</v>
      </c>
    </row>
    <row r="640">
      <c r="A640" s="2" t="inlineStr">
        <is>
          <t>Downer</t>
        </is>
      </c>
      <c r="B640" s="2" t="inlineStr">
        <is>
          <t>_CLOSED_UAM - Wilsonton</t>
        </is>
      </c>
      <c r="C640" s="2" t="inlineStr">
        <is>
          <t>Depot</t>
        </is>
      </c>
      <c r="D640" s="2" t="inlineStr">
        <is>
          <t>L9.J.229250</t>
        </is>
      </c>
      <c r="E640" s="2" t="n">
        <v>7045</v>
      </c>
      <c r="H640" s="2" t="inlineStr">
        <is>
          <t>Unit 7/1-5 Gardner Court</t>
        </is>
      </c>
      <c r="I640" s="2" t="inlineStr">
        <is>
          <t>Wilsonton</t>
        </is>
      </c>
      <c r="J640" s="2" t="inlineStr">
        <is>
          <t>QLD</t>
        </is>
      </c>
      <c r="K640" s="2" t="n">
        <v>4350</v>
      </c>
      <c r="M640" s="2" t="inlineStr">
        <is>
          <t>Toowoomba</t>
        </is>
      </c>
      <c r="N640" s="2" t="inlineStr">
        <is>
          <t>Australia</t>
        </is>
      </c>
      <c r="P640" s="2" t="inlineStr">
        <is>
          <t>Operational Control</t>
        </is>
      </c>
      <c r="Q640" s="2" t="inlineStr">
        <is>
          <t>Operational Control</t>
        </is>
      </c>
      <c r="R640" s="2" t="inlineStr">
        <is>
          <t>Energy and Utilities (EU)</t>
        </is>
      </c>
      <c r="S640" s="2" t="inlineStr">
        <is>
          <t>Downer</t>
        </is>
      </c>
      <c r="T640" s="2" t="n">
        <v>100</v>
      </c>
      <c r="W640" s="2" t="inlineStr">
        <is>
          <t>Classification</t>
        </is>
      </c>
      <c r="Z640" s="2" t="n">
        <v>692</v>
      </c>
    </row>
    <row r="641">
      <c r="A641" s="2" t="inlineStr">
        <is>
          <t>Downer</t>
        </is>
      </c>
      <c r="B641" s="2" t="inlineStr">
        <is>
          <t>_CLOSED_Utilita - Raceview</t>
        </is>
      </c>
      <c r="C641" s="2" t="inlineStr">
        <is>
          <t>Depot</t>
        </is>
      </c>
      <c r="D641" s="2" t="inlineStr">
        <is>
          <t>L9.J.23900045</t>
        </is>
      </c>
      <c r="E641" s="2" t="n">
        <v>7050</v>
      </c>
      <c r="H641" s="2" t="inlineStr">
        <is>
          <t>12 Sonia Court</t>
        </is>
      </c>
      <c r="I641" s="2" t="inlineStr">
        <is>
          <t>Raceview</t>
        </is>
      </c>
      <c r="J641" s="2" t="inlineStr">
        <is>
          <t>QLD</t>
        </is>
      </c>
      <c r="K641" s="2" t="n">
        <v>4305</v>
      </c>
      <c r="L641" s="2" t="inlineStr">
        <is>
          <t>Australia</t>
        </is>
      </c>
      <c r="M641" s="2" t="inlineStr">
        <is>
          <t>Queensland</t>
        </is>
      </c>
      <c r="N641" s="2" t="inlineStr">
        <is>
          <t>Australia</t>
        </is>
      </c>
      <c r="P641" s="2" t="inlineStr">
        <is>
          <t>Operational Control</t>
        </is>
      </c>
      <c r="Q641" s="2" t="inlineStr">
        <is>
          <t>Operational Control</t>
        </is>
      </c>
      <c r="R641" s="2" t="inlineStr">
        <is>
          <t>Energy and Utilities (EU)</t>
        </is>
      </c>
      <c r="S641" s="2" t="inlineStr">
        <is>
          <t>Downer</t>
        </is>
      </c>
      <c r="T641" s="2" t="n">
        <v>100</v>
      </c>
      <c r="W641" s="2" t="inlineStr">
        <is>
          <t>Classification</t>
        </is>
      </c>
      <c r="AB641" s="11" t="n">
        <v>44012</v>
      </c>
    </row>
    <row r="642">
      <c r="A642" s="2" t="inlineStr">
        <is>
          <t>Downer</t>
        </is>
      </c>
      <c r="B642" s="2" t="inlineStr">
        <is>
          <t>_CLOSED_Utilities North Ryde Head Office</t>
        </is>
      </c>
      <c r="C642" s="2" t="inlineStr">
        <is>
          <t>Office</t>
        </is>
      </c>
      <c r="D642" s="2" t="inlineStr">
        <is>
          <t>L9.J.2412009501</t>
        </is>
      </c>
      <c r="E642" s="2" t="n">
        <v>53</v>
      </c>
      <c r="G642" s="2" t="inlineStr">
        <is>
          <t>BO_North Sydney_closed</t>
        </is>
      </c>
      <c r="H642" s="2" t="inlineStr">
        <is>
          <t>Level 4, 39 Delhi Road</t>
        </is>
      </c>
      <c r="I642" s="2" t="inlineStr">
        <is>
          <t>North Ryde</t>
        </is>
      </c>
      <c r="J642" s="2" t="inlineStr">
        <is>
          <t>NSW</t>
        </is>
      </c>
      <c r="K642" s="2" t="n">
        <v>2113</v>
      </c>
      <c r="L642" s="2" t="inlineStr">
        <is>
          <t>Australia</t>
        </is>
      </c>
      <c r="M642" s="2" t="inlineStr">
        <is>
          <t>New South Wales</t>
        </is>
      </c>
      <c r="N642" s="2" t="inlineStr">
        <is>
          <t>Australia</t>
        </is>
      </c>
      <c r="P642" s="2" t="inlineStr">
        <is>
          <t>Operational Control</t>
        </is>
      </c>
      <c r="Q642" s="2" t="inlineStr">
        <is>
          <t>Operational Control</t>
        </is>
      </c>
      <c r="R642" s="2" t="inlineStr">
        <is>
          <t>Energy and Utilities (EU)</t>
        </is>
      </c>
      <c r="S642" s="2" t="inlineStr">
        <is>
          <t>Downer</t>
        </is>
      </c>
      <c r="T642" s="2" t="n">
        <v>100</v>
      </c>
      <c r="W642" s="2" t="inlineStr">
        <is>
          <t>Classification</t>
        </is>
      </c>
      <c r="X642" s="2" t="n">
        <v>-33.795129</v>
      </c>
      <c r="Y642" s="2" t="n">
        <v>151.140168</v>
      </c>
      <c r="Z642" s="2" t="n">
        <v>310</v>
      </c>
      <c r="AB642" s="11" t="n">
        <v>44742</v>
      </c>
    </row>
    <row r="643">
      <c r="A643" s="2" t="inlineStr">
        <is>
          <t>Downer</t>
        </is>
      </c>
      <c r="B643" s="2" t="inlineStr">
        <is>
          <t>_CLOSED_UTL Fleet ACT</t>
        </is>
      </c>
      <c r="C643" s="2" t="inlineStr">
        <is>
          <t>Fleet Fuel</t>
        </is>
      </c>
      <c r="D643" s="2" t="inlineStr">
        <is>
          <t>L9.S.13000901</t>
        </is>
      </c>
      <c r="E643" s="2" t="n">
        <v>9193</v>
      </c>
      <c r="G643" s="2" t="inlineStr">
        <is>
          <t>Leaseplan vehicles transitioned through to FTC data at end of FY23.</t>
        </is>
      </c>
      <c r="M643" s="2" t="inlineStr">
        <is>
          <t>Australian Capital Territory</t>
        </is>
      </c>
      <c r="N643" s="2" t="inlineStr">
        <is>
          <t>Australia</t>
        </is>
      </c>
      <c r="P643" s="2" t="inlineStr">
        <is>
          <t>Operational Control</t>
        </is>
      </c>
      <c r="Q643" s="2" t="inlineStr">
        <is>
          <t>Operational Control</t>
        </is>
      </c>
      <c r="R643" s="2" t="inlineStr">
        <is>
          <t>Energy and Utilities (EU)</t>
        </is>
      </c>
      <c r="S643" s="2" t="inlineStr">
        <is>
          <t>Downer</t>
        </is>
      </c>
      <c r="T643" s="2" t="n">
        <v>100</v>
      </c>
      <c r="W643" s="2" t="inlineStr">
        <is>
          <t>Classification</t>
        </is>
      </c>
      <c r="AB643" s="11" t="n">
        <v>45107</v>
      </c>
    </row>
    <row r="644">
      <c r="A644" s="2" t="inlineStr">
        <is>
          <t>Downer</t>
        </is>
      </c>
      <c r="B644" s="2" t="inlineStr">
        <is>
          <t>_CLOSED_UTL Fleet NSW</t>
        </is>
      </c>
      <c r="C644" s="2" t="inlineStr">
        <is>
          <t>Fleet Fuel</t>
        </is>
      </c>
      <c r="D644" s="2" t="inlineStr">
        <is>
          <t>L9.S.13000871</t>
        </is>
      </c>
      <c r="E644" s="2" t="n">
        <v>9194</v>
      </c>
      <c r="G644" s="2" t="inlineStr">
        <is>
          <t>Leaseplan vehicles transitioned through to FTC data at end of FY23.</t>
        </is>
      </c>
      <c r="M644" s="2" t="inlineStr">
        <is>
          <t>New South Wales</t>
        </is>
      </c>
      <c r="N644" s="2" t="inlineStr">
        <is>
          <t>Australia</t>
        </is>
      </c>
      <c r="P644" s="2" t="inlineStr">
        <is>
          <t>Operational Control</t>
        </is>
      </c>
      <c r="Q644" s="2" t="inlineStr">
        <is>
          <t>Operational Control</t>
        </is>
      </c>
      <c r="R644" s="2" t="inlineStr">
        <is>
          <t>Energy and Utilities (EU)</t>
        </is>
      </c>
      <c r="S644" s="2" t="inlineStr">
        <is>
          <t>Downer</t>
        </is>
      </c>
      <c r="T644" s="2" t="n">
        <v>100</v>
      </c>
      <c r="W644" s="2" t="inlineStr">
        <is>
          <t>Classification</t>
        </is>
      </c>
    </row>
    <row r="645">
      <c r="A645" s="2" t="inlineStr">
        <is>
          <t>Downer</t>
        </is>
      </c>
      <c r="B645" s="2" t="inlineStr">
        <is>
          <t>_CLOSED_UTL Fleet NT</t>
        </is>
      </c>
      <c r="C645" s="2" t="inlineStr">
        <is>
          <t>Fleet Fuel</t>
        </is>
      </c>
      <c r="D645" s="2" t="inlineStr">
        <is>
          <t>L9.S.13000902</t>
        </is>
      </c>
      <c r="E645" s="2" t="n">
        <v>9191</v>
      </c>
      <c r="G645" s="2" t="inlineStr">
        <is>
          <t>Leaseplan vehicles transitioned through to FTC data at end of FY23.</t>
        </is>
      </c>
      <c r="M645" s="2" t="inlineStr">
        <is>
          <t>Northern Territory</t>
        </is>
      </c>
      <c r="N645" s="2" t="inlineStr">
        <is>
          <t>Australia</t>
        </is>
      </c>
      <c r="P645" s="2" t="inlineStr">
        <is>
          <t>Operational Control</t>
        </is>
      </c>
      <c r="Q645" s="2" t="inlineStr">
        <is>
          <t>Operational Control</t>
        </is>
      </c>
      <c r="R645" s="2" t="inlineStr">
        <is>
          <t>Energy and Utilities (EU)</t>
        </is>
      </c>
      <c r="S645" s="2" t="inlineStr">
        <is>
          <t>Downer</t>
        </is>
      </c>
      <c r="T645" s="2" t="n">
        <v>100</v>
      </c>
      <c r="W645" s="2" t="inlineStr">
        <is>
          <t>Classification</t>
        </is>
      </c>
      <c r="AB645" s="11" t="n">
        <v>45107</v>
      </c>
    </row>
    <row r="646">
      <c r="A646" s="2" t="inlineStr">
        <is>
          <t>Downer</t>
        </is>
      </c>
      <c r="B646" s="2" t="inlineStr">
        <is>
          <t>_CLOSED_UTL Fleet QLD</t>
        </is>
      </c>
      <c r="C646" s="2" t="inlineStr">
        <is>
          <t>Other</t>
        </is>
      </c>
      <c r="D646" s="2" t="inlineStr">
        <is>
          <t>L9.S.14001309</t>
        </is>
      </c>
      <c r="E646" s="2" t="n">
        <v>9196</v>
      </c>
      <c r="G646" s="2" t="inlineStr">
        <is>
          <t>Leaseplan vehicles transitioned through to FTC data at end of FY23.</t>
        </is>
      </c>
      <c r="M646" s="2" t="inlineStr">
        <is>
          <t>Queensland</t>
        </is>
      </c>
      <c r="N646" s="2" t="inlineStr">
        <is>
          <t>Australia</t>
        </is>
      </c>
      <c r="P646" s="2" t="inlineStr">
        <is>
          <t>Operational Control</t>
        </is>
      </c>
      <c r="Q646" s="2" t="inlineStr">
        <is>
          <t>Operational Control</t>
        </is>
      </c>
      <c r="R646" s="2" t="inlineStr">
        <is>
          <t>Energy and Utilities (EU)</t>
        </is>
      </c>
      <c r="S646" s="2" t="inlineStr">
        <is>
          <t>Downer</t>
        </is>
      </c>
      <c r="T646" s="2" t="n">
        <v>100</v>
      </c>
      <c r="W646" s="2" t="inlineStr">
        <is>
          <t>Classification</t>
        </is>
      </c>
      <c r="AB646" s="11" t="n">
        <v>45107</v>
      </c>
    </row>
    <row r="647">
      <c r="A647" s="2" t="inlineStr">
        <is>
          <t>Downer</t>
        </is>
      </c>
      <c r="B647" s="2" t="inlineStr">
        <is>
          <t>_CLOSED_UTL Fleet SA</t>
        </is>
      </c>
      <c r="C647" s="2" t="inlineStr">
        <is>
          <t>Other</t>
        </is>
      </c>
      <c r="D647" s="2" t="inlineStr">
        <is>
          <t>L9.S.13000902</t>
        </is>
      </c>
      <c r="E647" s="2" t="n">
        <v>9213</v>
      </c>
      <c r="F647" s="2" t="n">
        <v>9213</v>
      </c>
      <c r="G647" s="2" t="inlineStr">
        <is>
          <t>Leaseplan vehicles transitioned through to FTC data at end of FY23.</t>
        </is>
      </c>
      <c r="M647" s="2" t="inlineStr">
        <is>
          <t>South Australia</t>
        </is>
      </c>
      <c r="N647" s="2" t="inlineStr">
        <is>
          <t>Australia</t>
        </is>
      </c>
      <c r="P647" s="2" t="inlineStr">
        <is>
          <t>Operational Control</t>
        </is>
      </c>
      <c r="Q647" s="2" t="inlineStr">
        <is>
          <t>Operational Control</t>
        </is>
      </c>
      <c r="R647" s="2" t="inlineStr">
        <is>
          <t>Energy and Utilities (EU)</t>
        </is>
      </c>
      <c r="S647" s="2" t="inlineStr">
        <is>
          <t>Downer</t>
        </is>
      </c>
      <c r="T647" s="2" t="n">
        <v>100</v>
      </c>
      <c r="W647" s="2" t="inlineStr">
        <is>
          <t>Classification</t>
        </is>
      </c>
      <c r="AB647" s="11" t="n">
        <v>45107</v>
      </c>
    </row>
    <row r="648">
      <c r="A648" s="2" t="inlineStr">
        <is>
          <t>Downer</t>
        </is>
      </c>
      <c r="B648" s="2" t="inlineStr">
        <is>
          <t>_CLOSED_UTL Fleet TAS</t>
        </is>
      </c>
      <c r="C648" s="2" t="inlineStr">
        <is>
          <t>Fleet Fuel</t>
        </is>
      </c>
      <c r="D648" s="2" t="inlineStr">
        <is>
          <t>L9.S.13000872</t>
        </is>
      </c>
      <c r="E648" s="2" t="n">
        <v>9206</v>
      </c>
      <c r="G648" s="2" t="inlineStr">
        <is>
          <t>Leaseplan vehicles transitioned through to FTC data at end of FY23.</t>
        </is>
      </c>
      <c r="M648" s="2" t="inlineStr">
        <is>
          <t>Tasmania</t>
        </is>
      </c>
      <c r="N648" s="2" t="inlineStr">
        <is>
          <t>Australia</t>
        </is>
      </c>
      <c r="P648" s="2" t="inlineStr">
        <is>
          <t>Operational Control</t>
        </is>
      </c>
      <c r="Q648" s="2" t="inlineStr">
        <is>
          <t>Operational Control</t>
        </is>
      </c>
      <c r="R648" s="2" t="inlineStr">
        <is>
          <t>Energy and Utilities (EU)</t>
        </is>
      </c>
      <c r="S648" s="2" t="inlineStr">
        <is>
          <t>Downer</t>
        </is>
      </c>
      <c r="T648" s="2" t="n">
        <v>100</v>
      </c>
      <c r="W648" s="2" t="inlineStr">
        <is>
          <t>Classification</t>
        </is>
      </c>
      <c r="AB648" s="11" t="n">
        <v>45107</v>
      </c>
    </row>
    <row r="649">
      <c r="A649" s="2" t="inlineStr">
        <is>
          <t>Downer</t>
        </is>
      </c>
      <c r="B649" s="2" t="inlineStr">
        <is>
          <t>_CLOSED_UTL Fleet VIC</t>
        </is>
      </c>
      <c r="C649" s="2" t="inlineStr">
        <is>
          <t>Fleet Fuel</t>
        </is>
      </c>
      <c r="D649" s="2" t="inlineStr">
        <is>
          <t>L9.S.13000873</t>
        </is>
      </c>
      <c r="E649" s="2" t="n">
        <v>9195</v>
      </c>
      <c r="G649" s="2" t="inlineStr">
        <is>
          <t>Leaseplan vehicles transitioned through to FTC data at end of FY23.</t>
        </is>
      </c>
      <c r="M649" s="2" t="inlineStr">
        <is>
          <t>Victoria</t>
        </is>
      </c>
      <c r="N649" s="2" t="inlineStr">
        <is>
          <t>Australia</t>
        </is>
      </c>
      <c r="P649" s="2" t="inlineStr">
        <is>
          <t>Operational Control</t>
        </is>
      </c>
      <c r="Q649" s="2" t="inlineStr">
        <is>
          <t>Operational Control</t>
        </is>
      </c>
      <c r="R649" s="2" t="inlineStr">
        <is>
          <t>Energy and Utilities (EU)</t>
        </is>
      </c>
      <c r="S649" s="2" t="inlineStr">
        <is>
          <t>Downer</t>
        </is>
      </c>
      <c r="T649" s="2" t="n">
        <v>100</v>
      </c>
      <c r="W649" s="2" t="inlineStr">
        <is>
          <t>Classification</t>
        </is>
      </c>
      <c r="AB649" s="11" t="n">
        <v>45107</v>
      </c>
    </row>
    <row r="650">
      <c r="A650" s="2" t="inlineStr">
        <is>
          <t>Downer</t>
        </is>
      </c>
      <c r="B650" s="2" t="inlineStr">
        <is>
          <t>_CLOSED_UTL Fleet WA</t>
        </is>
      </c>
      <c r="C650" s="2" t="inlineStr">
        <is>
          <t>Fleet Fuel</t>
        </is>
      </c>
      <c r="D650" s="2" t="inlineStr">
        <is>
          <t>L9.S.14001315</t>
        </is>
      </c>
      <c r="E650" s="2" t="n">
        <v>9192</v>
      </c>
      <c r="M650" s="2" t="inlineStr">
        <is>
          <t>Western Australia</t>
        </is>
      </c>
      <c r="N650" s="2" t="inlineStr">
        <is>
          <t>Australia</t>
        </is>
      </c>
      <c r="P650" s="2" t="inlineStr">
        <is>
          <t>Operational Control</t>
        </is>
      </c>
      <c r="Q650" s="2" t="inlineStr">
        <is>
          <t>Operational Control</t>
        </is>
      </c>
      <c r="R650" s="2" t="inlineStr">
        <is>
          <t>Energy and Utilities (EU)</t>
        </is>
      </c>
      <c r="S650" s="2" t="inlineStr">
        <is>
          <t>Downer</t>
        </is>
      </c>
      <c r="T650" s="2" t="n">
        <v>100</v>
      </c>
      <c r="W650" s="2" t="inlineStr">
        <is>
          <t>Classification</t>
        </is>
      </c>
      <c r="AB650" s="11" t="n">
        <v>45107</v>
      </c>
    </row>
    <row r="651">
      <c r="A651" s="2" t="inlineStr">
        <is>
          <t>Downer</t>
        </is>
      </c>
      <c r="B651" s="2" t="inlineStr">
        <is>
          <t>_CLOSED_VEC Civil Engineering (NSW)</t>
        </is>
      </c>
      <c r="C651" s="2" t="inlineStr">
        <is>
          <t>Other</t>
        </is>
      </c>
      <c r="D651" s="2" t="inlineStr">
        <is>
          <t>L9.J.210211</t>
        </is>
      </c>
      <c r="E651" s="2" t="inlineStr">
        <is>
          <t>L9.J.210211</t>
        </is>
      </c>
      <c r="G651" s="2" t="inlineStr">
        <is>
          <t>Acquisition from 31/10/2014</t>
        </is>
      </c>
      <c r="H651" s="2" t="inlineStr">
        <is>
          <t>1 Unwin Street</t>
        </is>
      </c>
      <c r="I651" s="2" t="inlineStr">
        <is>
          <t>Rosehill</t>
        </is>
      </c>
      <c r="J651" s="2" t="inlineStr">
        <is>
          <t>NSW</t>
        </is>
      </c>
      <c r="K651" s="2" t="n">
        <v>2142</v>
      </c>
      <c r="L651" s="2" t="inlineStr">
        <is>
          <t>Australia</t>
        </is>
      </c>
      <c r="M651" s="2" t="inlineStr">
        <is>
          <t>New South Wales</t>
        </is>
      </c>
      <c r="N651" s="2" t="inlineStr">
        <is>
          <t>Australia</t>
        </is>
      </c>
      <c r="P651" s="2" t="inlineStr">
        <is>
          <t>Operational Control</t>
        </is>
      </c>
      <c r="Q651" s="2" t="inlineStr">
        <is>
          <t>Operational Control</t>
        </is>
      </c>
      <c r="R651" s="2" t="inlineStr">
        <is>
          <t>DT Infrastructure (pre Sept 23 divestment)</t>
        </is>
      </c>
      <c r="S651" s="2" t="inlineStr">
        <is>
          <t>Downer</t>
        </is>
      </c>
      <c r="T651" s="2" t="n">
        <v>100</v>
      </c>
      <c r="V651" s="11" t="n">
        <v>45199</v>
      </c>
      <c r="W651" s="2" t="inlineStr">
        <is>
          <t>Classification</t>
        </is>
      </c>
      <c r="X651" s="2" t="n">
        <v>-33.828</v>
      </c>
      <c r="Y651" s="2" t="n">
        <v>151.023</v>
      </c>
      <c r="Z651" s="2" t="n">
        <v>310</v>
      </c>
      <c r="AB651" s="11" t="n">
        <v>44377</v>
      </c>
    </row>
    <row r="652">
      <c r="A652" s="2" t="inlineStr">
        <is>
          <t>Downer</t>
        </is>
      </c>
      <c r="B652" s="2" t="inlineStr">
        <is>
          <t>_CLOSED_VEC Civil Engineering (QLD)</t>
        </is>
      </c>
      <c r="C652" s="2" t="inlineStr">
        <is>
          <t>Depot</t>
        </is>
      </c>
      <c r="D652" s="2" t="inlineStr">
        <is>
          <t>L9.J.210211</t>
        </is>
      </c>
      <c r="E652" s="2" t="inlineStr">
        <is>
          <t>L9.J.210211</t>
        </is>
      </c>
      <c r="G652" s="2" t="inlineStr">
        <is>
          <t>Acquisition from 31/10/2014</t>
        </is>
      </c>
      <c r="H652" s="2" t="inlineStr">
        <is>
          <t>2 Burke Street</t>
        </is>
      </c>
      <c r="I652" s="2" t="inlineStr">
        <is>
          <t>Woolloongabba</t>
        </is>
      </c>
      <c r="J652" s="2" t="inlineStr">
        <is>
          <t>QLD</t>
        </is>
      </c>
      <c r="K652" s="2" t="n">
        <v>4102</v>
      </c>
      <c r="L652" s="2" t="inlineStr">
        <is>
          <t>Australia</t>
        </is>
      </c>
      <c r="M652" s="2" t="inlineStr">
        <is>
          <t>Queensland</t>
        </is>
      </c>
      <c r="N652" s="2" t="inlineStr">
        <is>
          <t>Australia</t>
        </is>
      </c>
      <c r="P652" s="2" t="inlineStr">
        <is>
          <t>Operational Control</t>
        </is>
      </c>
      <c r="Q652" s="2" t="inlineStr">
        <is>
          <t>Operational Control</t>
        </is>
      </c>
      <c r="R652" s="2" t="inlineStr">
        <is>
          <t>DT Infrastructure (pre Sept 23 divestment)</t>
        </is>
      </c>
      <c r="S652" s="2" t="inlineStr">
        <is>
          <t>Downer</t>
        </is>
      </c>
      <c r="T652" s="2" t="n">
        <v>100</v>
      </c>
      <c r="V652" s="11" t="n">
        <v>45199</v>
      </c>
      <c r="W652" s="2" t="inlineStr">
        <is>
          <t>Classification</t>
        </is>
      </c>
      <c r="X652" s="2" t="n">
        <v>-27.495</v>
      </c>
      <c r="Y652" s="2" t="n">
        <v>153.033</v>
      </c>
      <c r="Z652" s="2" t="n">
        <v>310</v>
      </c>
    </row>
    <row r="653">
      <c r="A653" s="2" t="inlineStr">
        <is>
          <t>Downer</t>
        </is>
      </c>
      <c r="B653" s="2" t="inlineStr">
        <is>
          <t>_CLOSED_VEC Civil Engineering (VIC)</t>
        </is>
      </c>
      <c r="C653" s="2" t="inlineStr">
        <is>
          <t>Other</t>
        </is>
      </c>
      <c r="D653" s="2" t="inlineStr">
        <is>
          <t>L9.J.210211</t>
        </is>
      </c>
      <c r="E653" s="2" t="inlineStr">
        <is>
          <t>L9.J.210211</t>
        </is>
      </c>
      <c r="G653" s="2" t="inlineStr">
        <is>
          <t>Acquisition from 31/10/2014</t>
        </is>
      </c>
      <c r="H653" s="2" t="inlineStr">
        <is>
          <t>Level 2, 650 Lorimer Street</t>
        </is>
      </c>
      <c r="I653" s="2" t="inlineStr">
        <is>
          <t>Port Melbourne</t>
        </is>
      </c>
      <c r="J653" s="2" t="inlineStr">
        <is>
          <t>VIC</t>
        </is>
      </c>
      <c r="K653" s="2" t="n">
        <v>3207</v>
      </c>
      <c r="L653" s="2" t="inlineStr">
        <is>
          <t>Australia</t>
        </is>
      </c>
      <c r="M653" s="2" t="inlineStr">
        <is>
          <t>Victoria</t>
        </is>
      </c>
      <c r="N653" s="2" t="inlineStr">
        <is>
          <t>Australia</t>
        </is>
      </c>
      <c r="P653" s="2" t="inlineStr">
        <is>
          <t>Operational Control</t>
        </is>
      </c>
      <c r="Q653" s="2" t="inlineStr">
        <is>
          <t>Operational Control</t>
        </is>
      </c>
      <c r="R653" s="2" t="inlineStr">
        <is>
          <t>DT Infrastructure (pre Sept 23 divestment)</t>
        </is>
      </c>
      <c r="S653" s="2" t="inlineStr">
        <is>
          <t>Downer</t>
        </is>
      </c>
      <c r="T653" s="2" t="n">
        <v>100</v>
      </c>
      <c r="V653" s="11" t="n">
        <v>45199</v>
      </c>
      <c r="W653" s="2" t="inlineStr">
        <is>
          <t>Classification</t>
        </is>
      </c>
      <c r="X653" s="2" t="n">
        <v>-37.821</v>
      </c>
      <c r="Y653" s="2" t="n">
        <v>144.92</v>
      </c>
      <c r="Z653" s="2" t="n">
        <v>310</v>
      </c>
    </row>
    <row r="654">
      <c r="A654" s="2" t="inlineStr">
        <is>
          <t>Downer</t>
        </is>
      </c>
      <c r="B654" s="2" t="inlineStr">
        <is>
          <t>_CLOSED_Victoria Park (DM)</t>
        </is>
      </c>
      <c r="C654" s="2" t="inlineStr">
        <is>
          <t>Depot</t>
        </is>
      </c>
      <c r="D654" s="2" t="inlineStr">
        <is>
          <t>L9.J.17021021</t>
        </is>
      </c>
      <c r="E654" s="2" t="n">
        <v>525</v>
      </c>
      <c r="G654" s="2" t="inlineStr">
        <is>
          <t>Downer EDI Works Pty Ltd. Vacated in FY21.</t>
        </is>
      </c>
      <c r="H654" s="2" t="inlineStr">
        <is>
          <t>99 Albany Highway</t>
        </is>
      </c>
      <c r="I654" s="2" t="inlineStr">
        <is>
          <t>Victoria Park</t>
        </is>
      </c>
      <c r="J654" s="2" t="inlineStr">
        <is>
          <t>WA</t>
        </is>
      </c>
      <c r="K654" s="2" t="n">
        <v>6100</v>
      </c>
      <c r="L654" s="2" t="inlineStr">
        <is>
          <t>Australia</t>
        </is>
      </c>
      <c r="M654" s="2" t="inlineStr">
        <is>
          <t>Western Australia</t>
        </is>
      </c>
      <c r="N654" s="2" t="inlineStr">
        <is>
          <t>Australia</t>
        </is>
      </c>
      <c r="P654" s="2" t="inlineStr">
        <is>
          <t>Operational Control</t>
        </is>
      </c>
      <c r="Q654" s="2" t="inlineStr">
        <is>
          <t>Operational Control</t>
        </is>
      </c>
      <c r="R654" s="2" t="inlineStr">
        <is>
          <t>Transport &amp; Infrastructure (T&amp;I)</t>
        </is>
      </c>
      <c r="S654" s="2" t="inlineStr">
        <is>
          <t>Downer</t>
        </is>
      </c>
      <c r="T654" s="2" t="n">
        <v>100</v>
      </c>
      <c r="W654" s="2" t="inlineStr">
        <is>
          <t>Classification</t>
        </is>
      </c>
      <c r="X654" s="2" t="n">
        <v>-31.969</v>
      </c>
      <c r="Y654" s="2" t="n">
        <v>115.89</v>
      </c>
      <c r="Z654" s="2" t="n">
        <v>310</v>
      </c>
      <c r="AB654" s="11" t="n">
        <v>44377</v>
      </c>
    </row>
    <row r="655">
      <c r="A655" s="2" t="inlineStr">
        <is>
          <t>Downer</t>
        </is>
      </c>
      <c r="B655" s="2" t="inlineStr">
        <is>
          <t>_Closed_W000149 - WTP HVLV Reliability Project</t>
        </is>
      </c>
      <c r="C655" s="2" t="inlineStr">
        <is>
          <t>Site</t>
        </is>
      </c>
      <c r="D655" s="2" t="inlineStr">
        <is>
          <t>L9.J.25820005</t>
        </is>
      </c>
      <c r="E655" s="2" t="inlineStr">
        <is>
          <t>UTIL-25820005</t>
        </is>
      </c>
      <c r="G655" s="2" t="inlineStr">
        <is>
          <t>SFP WTP HVLV Reliability Project</t>
        </is>
      </c>
      <c r="M655" s="2" t="inlineStr">
        <is>
          <t>Victoria</t>
        </is>
      </c>
      <c r="N655" s="2" t="inlineStr">
        <is>
          <t>Australia</t>
        </is>
      </c>
      <c r="P655" s="2" t="inlineStr">
        <is>
          <t>Operational Control</t>
        </is>
      </c>
      <c r="Q655" s="2" t="inlineStr">
        <is>
          <t>Operational Control</t>
        </is>
      </c>
      <c r="R655" s="2" t="inlineStr">
        <is>
          <t>Energy and Utilities (EU)</t>
        </is>
      </c>
      <c r="S655" s="2" t="inlineStr">
        <is>
          <t>Downer</t>
        </is>
      </c>
      <c r="T655" s="2" t="n">
        <v>100</v>
      </c>
      <c r="W655" s="2" t="inlineStr">
        <is>
          <t>Classification</t>
        </is>
      </c>
      <c r="AB655" s="11" t="n">
        <v>44835</v>
      </c>
    </row>
    <row r="656">
      <c r="A656" s="2" t="inlineStr">
        <is>
          <t>Downer</t>
        </is>
      </c>
      <c r="B656" s="2" t="inlineStr">
        <is>
          <t>_CLOSED_WA Gov Housing - Belmont</t>
        </is>
      </c>
      <c r="C656" s="2" t="inlineStr">
        <is>
          <t>Branch Office</t>
        </is>
      </c>
      <c r="D656" s="2" t="inlineStr">
        <is>
          <t>L9.S.16015965</t>
        </is>
      </c>
      <c r="E656" s="2" t="n">
        <v>2222</v>
      </c>
      <c r="G656" s="2" t="inlineStr">
        <is>
          <t>WA Gov Housing Office</t>
        </is>
      </c>
      <c r="H656" s="2" t="inlineStr">
        <is>
          <t>187 Great Eastern Highway</t>
        </is>
      </c>
      <c r="I656" s="2" t="inlineStr">
        <is>
          <t>Belmont</t>
        </is>
      </c>
      <c r="J656" s="2" t="inlineStr">
        <is>
          <t>WA</t>
        </is>
      </c>
      <c r="K656" s="2" t="n">
        <v>6104</v>
      </c>
      <c r="M656" s="2" t="inlineStr">
        <is>
          <t>Western Australia</t>
        </is>
      </c>
      <c r="N656" s="2" t="inlineStr">
        <is>
          <t>Australia</t>
        </is>
      </c>
      <c r="P656" s="2" t="inlineStr">
        <is>
          <t>Operational Control</t>
        </is>
      </c>
      <c r="Q656" s="2" t="inlineStr">
        <is>
          <t>Operational Control</t>
        </is>
      </c>
      <c r="R656" s="2" t="inlineStr">
        <is>
          <t>Social Infra &amp; Citizen Serv (SICS)</t>
        </is>
      </c>
      <c r="S656" s="2" t="inlineStr">
        <is>
          <t>Downer</t>
        </is>
      </c>
      <c r="T656" s="2" t="n">
        <v>100</v>
      </c>
      <c r="W656" s="2" t="inlineStr">
        <is>
          <t>Classification</t>
        </is>
      </c>
      <c r="X656" s="2" t="n">
        <v>-31.947589</v>
      </c>
      <c r="Y656" s="2" t="n">
        <v>115.919532</v>
      </c>
      <c r="Z656" s="2" t="n">
        <v>729</v>
      </c>
      <c r="AB656" s="11" t="n">
        <v>45005</v>
      </c>
    </row>
    <row r="657">
      <c r="A657" s="2" t="inlineStr">
        <is>
          <t>Downer</t>
        </is>
      </c>
      <c r="B657" s="2" t="inlineStr">
        <is>
          <t>_CLOSED_WA Workshop</t>
        </is>
      </c>
      <c r="C657" s="2" t="inlineStr">
        <is>
          <t>Depot</t>
        </is>
      </c>
      <c r="D657" s="2" t="inlineStr">
        <is>
          <t>L9.J.170691</t>
        </is>
      </c>
      <c r="E657" s="2" t="inlineStr">
        <is>
          <t>L9.J.170691</t>
        </is>
      </c>
      <c r="M657" s="2" t="inlineStr">
        <is>
          <t>Western Australia</t>
        </is>
      </c>
      <c r="N657" s="2" t="inlineStr">
        <is>
          <t>Australia</t>
        </is>
      </c>
      <c r="P657" s="2" t="inlineStr">
        <is>
          <t>Operational Control</t>
        </is>
      </c>
      <c r="Q657" s="2" t="inlineStr">
        <is>
          <t>Operational Control</t>
        </is>
      </c>
      <c r="R657" s="2" t="inlineStr">
        <is>
          <t>Transport &amp; Infrastructure (T&amp;I)</t>
        </is>
      </c>
      <c r="S657" s="2" t="inlineStr">
        <is>
          <t>Downer</t>
        </is>
      </c>
      <c r="T657" s="2" t="n">
        <v>100</v>
      </c>
      <c r="W657" s="2" t="inlineStr">
        <is>
          <t>Classification</t>
        </is>
      </c>
      <c r="AB657" s="11" t="n">
        <v>44012</v>
      </c>
    </row>
    <row r="658">
      <c r="A658" s="2" t="inlineStr">
        <is>
          <t>Downer</t>
        </is>
      </c>
      <c r="B658" s="2" t="inlineStr">
        <is>
          <t>_CLOSED_Wambo TXL</t>
        </is>
      </c>
      <c r="C658" s="2" t="inlineStr">
        <is>
          <t>Site</t>
        </is>
      </c>
      <c r="D658" s="2" t="inlineStr">
        <is>
          <t>L9.J.37740109</t>
        </is>
      </c>
      <c r="E658" s="2" t="inlineStr">
        <is>
          <t>L9.J.37740109</t>
        </is>
      </c>
      <c r="M658" s="2" t="inlineStr">
        <is>
          <t>Queensland</t>
        </is>
      </c>
      <c r="N658" s="2" t="inlineStr">
        <is>
          <t>Australia</t>
        </is>
      </c>
      <c r="P658" s="2" t="inlineStr">
        <is>
          <t>Operational Control</t>
        </is>
      </c>
      <c r="Q658" s="2" t="inlineStr">
        <is>
          <t>Operational Control</t>
        </is>
      </c>
      <c r="R658" s="2" t="inlineStr">
        <is>
          <t>Energy and Utilities (EU)</t>
        </is>
      </c>
      <c r="S658" s="2" t="inlineStr">
        <is>
          <t>Downer</t>
        </is>
      </c>
      <c r="T658" s="2" t="n">
        <v>100</v>
      </c>
      <c r="W658" s="2" t="inlineStr">
        <is>
          <t>Classification</t>
        </is>
      </c>
      <c r="AB658" s="11" t="n">
        <v>45657</v>
      </c>
    </row>
    <row r="659">
      <c r="A659" s="2" t="inlineStr">
        <is>
          <t>Downer</t>
        </is>
      </c>
      <c r="B659" s="2" t="inlineStr">
        <is>
          <t>_CLOSED_Warrnambool Line Upgrade</t>
        </is>
      </c>
      <c r="C659" s="2" t="inlineStr">
        <is>
          <t>Construction Site</t>
        </is>
      </c>
      <c r="D659" s="2" t="inlineStr">
        <is>
          <t>L9.J.20020025</t>
        </is>
      </c>
      <c r="E659" s="2" t="n">
        <v>6016</v>
      </c>
      <c r="F659" s="2" t="n">
        <v>6016</v>
      </c>
      <c r="G659" s="2" t="inlineStr">
        <is>
          <t>EM to send the location details to Ross Brookshaw</t>
        </is>
      </c>
      <c r="M659" s="2" t="inlineStr">
        <is>
          <t>Victoria</t>
        </is>
      </c>
      <c r="N659" s="2" t="inlineStr">
        <is>
          <t>Australia</t>
        </is>
      </c>
      <c r="P659" s="2" t="inlineStr">
        <is>
          <t>Operational Control</t>
        </is>
      </c>
      <c r="Q659" s="2" t="inlineStr">
        <is>
          <t>Operational Control</t>
        </is>
      </c>
      <c r="R659" s="2" t="inlineStr">
        <is>
          <t>DT Infrastructure (pre Sept 23 divestment)</t>
        </is>
      </c>
      <c r="S659" s="2" t="inlineStr">
        <is>
          <t>Downer</t>
        </is>
      </c>
      <c r="T659" s="2" t="n">
        <v>100</v>
      </c>
      <c r="V659" s="11" t="n">
        <v>45199</v>
      </c>
      <c r="W659" s="2" t="inlineStr">
        <is>
          <t>Classification</t>
        </is>
      </c>
      <c r="Z659" s="2" t="n">
        <v>310</v>
      </c>
      <c r="AB659" s="11" t="n">
        <v>45097</v>
      </c>
    </row>
    <row r="660">
      <c r="A660" s="2" t="inlineStr">
        <is>
          <t>Downer</t>
        </is>
      </c>
      <c r="B660" s="2" t="inlineStr">
        <is>
          <t>_CLOSED_Water - ITS Pipetech NSW</t>
        </is>
      </c>
      <c r="C660" s="2" t="inlineStr">
        <is>
          <t>Depot</t>
        </is>
      </c>
      <c r="D660" s="2" t="inlineStr">
        <is>
          <t>L9.J.239004</t>
        </is>
      </c>
      <c r="E660" s="2" t="n">
        <v>7006</v>
      </c>
      <c r="G660" s="2" t="inlineStr">
        <is>
          <t>Sydney</t>
        </is>
      </c>
      <c r="H660" s="2" t="inlineStr">
        <is>
          <t>Stanton Road</t>
        </is>
      </c>
      <c r="I660" s="2" t="inlineStr">
        <is>
          <t>Seven Hills</t>
        </is>
      </c>
      <c r="J660" s="2" t="inlineStr">
        <is>
          <t>NSW</t>
        </is>
      </c>
      <c r="K660" s="2" t="n">
        <v>2147</v>
      </c>
      <c r="L660" s="2" t="inlineStr">
        <is>
          <t>Australia</t>
        </is>
      </c>
      <c r="M660" s="2" t="inlineStr">
        <is>
          <t>New South Wales</t>
        </is>
      </c>
      <c r="N660" s="2" t="inlineStr">
        <is>
          <t>Australia</t>
        </is>
      </c>
      <c r="P660" s="2" t="inlineStr">
        <is>
          <t>Operational Control</t>
        </is>
      </c>
      <c r="Q660" s="2" t="inlineStr">
        <is>
          <t>Operational Control</t>
        </is>
      </c>
      <c r="R660" s="2" t="inlineStr">
        <is>
          <t>Energy and Utilities (EU)</t>
        </is>
      </c>
      <c r="S660" s="2" t="inlineStr">
        <is>
          <t>Downer</t>
        </is>
      </c>
      <c r="T660" s="2" t="n">
        <v>100</v>
      </c>
      <c r="W660" s="2" t="inlineStr">
        <is>
          <t>Classification</t>
        </is>
      </c>
      <c r="X660" s="2" t="n">
        <v>-33.770978</v>
      </c>
      <c r="Y660" s="2" t="n">
        <v>150.950739</v>
      </c>
      <c r="Z660" s="2" t="n">
        <v>310</v>
      </c>
      <c r="AB660" s="11" t="n">
        <v>45046</v>
      </c>
    </row>
    <row r="661">
      <c r="A661" s="2" t="inlineStr">
        <is>
          <t>Downer</t>
        </is>
      </c>
      <c r="B661" s="2" t="inlineStr">
        <is>
          <t>_CLOSED_Water - ITS Pipetech QLD</t>
        </is>
      </c>
      <c r="C661" s="2" t="inlineStr">
        <is>
          <t>Depot</t>
        </is>
      </c>
      <c r="D661" s="2" t="inlineStr">
        <is>
          <t>L9.J.239005</t>
        </is>
      </c>
      <c r="E661" s="2" t="n">
        <v>7027</v>
      </c>
      <c r="G661" s="2" t="inlineStr">
        <is>
          <t>Office of Pipetech QLD has moved to a site managed by another division of Downer, therefore no electricity will continue to be reported under at this Envizi location. Close this location at end of FY 19.</t>
        </is>
      </c>
      <c r="H661" s="2" t="inlineStr">
        <is>
          <t>QLD</t>
        </is>
      </c>
      <c r="I661" s="2" t="inlineStr">
        <is>
          <t>QLD</t>
        </is>
      </c>
      <c r="J661" s="2" t="inlineStr">
        <is>
          <t>QLD</t>
        </is>
      </c>
      <c r="M661" s="2" t="inlineStr">
        <is>
          <t>Queensland</t>
        </is>
      </c>
      <c r="N661" s="2" t="inlineStr">
        <is>
          <t>Australia</t>
        </is>
      </c>
      <c r="P661" s="2" t="inlineStr">
        <is>
          <t>Operational Control</t>
        </is>
      </c>
      <c r="Q661" s="2" t="inlineStr">
        <is>
          <t>Operational Control</t>
        </is>
      </c>
      <c r="R661" s="2" t="inlineStr">
        <is>
          <t>Energy and Utilities (EU)</t>
        </is>
      </c>
      <c r="S661" s="2" t="inlineStr">
        <is>
          <t>Downer</t>
        </is>
      </c>
      <c r="T661" s="2" t="n">
        <v>100</v>
      </c>
      <c r="W661" s="2" t="inlineStr">
        <is>
          <t>Classification</t>
        </is>
      </c>
      <c r="X661" s="2" t="n">
        <v>-27.434004</v>
      </c>
      <c r="Y661" s="2" t="n">
        <v>153.086039</v>
      </c>
      <c r="Z661" s="2" t="n">
        <v>281</v>
      </c>
    </row>
    <row r="662">
      <c r="A662" s="2" t="inlineStr">
        <is>
          <t>Downer</t>
        </is>
      </c>
      <c r="B662" s="2" t="inlineStr">
        <is>
          <t>_CLOSED_Western Port Highway Upgrade</t>
        </is>
      </c>
      <c r="C662" s="2" t="inlineStr">
        <is>
          <t>Construction Site</t>
        </is>
      </c>
      <c r="D662" s="2" t="inlineStr">
        <is>
          <t>L9.J.20042041</t>
        </is>
      </c>
      <c r="E662" s="2" t="n">
        <v>6019</v>
      </c>
      <c r="H662" s="2" t="inlineStr">
        <is>
          <t>565 Cranbourne Frankston Road</t>
        </is>
      </c>
      <c r="I662" s="2" t="inlineStr">
        <is>
          <t>Langwarrin</t>
        </is>
      </c>
      <c r="J662" s="2" t="inlineStr">
        <is>
          <t>VIC</t>
        </is>
      </c>
      <c r="L662" s="2" t="inlineStr">
        <is>
          <t>Australia</t>
        </is>
      </c>
      <c r="M662" s="2" t="inlineStr">
        <is>
          <t>Victoria</t>
        </is>
      </c>
      <c r="N662" s="2" t="inlineStr">
        <is>
          <t>Australia</t>
        </is>
      </c>
      <c r="P662" s="2" t="inlineStr">
        <is>
          <t>Operational Control</t>
        </is>
      </c>
      <c r="Q662" s="2" t="inlineStr">
        <is>
          <t>Operational Control</t>
        </is>
      </c>
      <c r="R662" s="2" t="inlineStr">
        <is>
          <t>DT Infrastructure (pre Sept 23 divestment)</t>
        </is>
      </c>
      <c r="S662" s="2" t="inlineStr">
        <is>
          <t>Downer</t>
        </is>
      </c>
      <c r="T662" s="2" t="n">
        <v>100</v>
      </c>
      <c r="V662" s="11" t="n">
        <v>45199</v>
      </c>
      <c r="W662" s="2" t="inlineStr">
        <is>
          <t>Classification</t>
        </is>
      </c>
      <c r="AB662" s="11" t="n">
        <v>45108</v>
      </c>
    </row>
    <row r="663">
      <c r="A663" s="2" t="inlineStr">
        <is>
          <t>Downer</t>
        </is>
      </c>
      <c r="B663" s="2" t="inlineStr">
        <is>
          <t>_CLOSED_WF - Boco Rock Wind Defects</t>
        </is>
      </c>
      <c r="C663" s="2" t="inlineStr">
        <is>
          <t>Construction Site</t>
        </is>
      </c>
      <c r="D663" s="2" t="inlineStr">
        <is>
          <t>L9.J.39210473</t>
        </is>
      </c>
      <c r="E663" s="2" t="n">
        <v>70</v>
      </c>
      <c r="F663" s="2" t="n">
        <v>70</v>
      </c>
      <c r="G663" s="2" t="inlineStr">
        <is>
          <t>Minor energy use through warranty inspections and works ongoing.</t>
        </is>
      </c>
      <c r="H663" s="2" t="inlineStr">
        <is>
          <t>Avon Lake Road</t>
        </is>
      </c>
      <c r="I663" s="2" t="inlineStr">
        <is>
          <t>Springfield</t>
        </is>
      </c>
      <c r="J663" s="2" t="inlineStr">
        <is>
          <t>NSW</t>
        </is>
      </c>
      <c r="K663" s="2" t="n">
        <v>2630</v>
      </c>
      <c r="L663" s="2" t="inlineStr">
        <is>
          <t>Australia</t>
        </is>
      </c>
      <c r="M663" s="2" t="inlineStr">
        <is>
          <t>New South Wales</t>
        </is>
      </c>
      <c r="N663" s="2" t="inlineStr">
        <is>
          <t>Australia</t>
        </is>
      </c>
      <c r="P663" s="2" t="inlineStr">
        <is>
          <t>Operational Control</t>
        </is>
      </c>
      <c r="Q663" s="2" t="inlineStr">
        <is>
          <t>Operational Control</t>
        </is>
      </c>
      <c r="R663" s="2" t="inlineStr">
        <is>
          <t>Energy and Utilities (EU)</t>
        </is>
      </c>
      <c r="S663" s="2" t="inlineStr">
        <is>
          <t>Downer</t>
        </is>
      </c>
      <c r="T663" s="2" t="n">
        <v>100</v>
      </c>
      <c r="W663" s="2" t="inlineStr">
        <is>
          <t>Classification</t>
        </is>
      </c>
      <c r="X663" s="2" t="n">
        <v>-36.576409</v>
      </c>
      <c r="Y663" s="2" t="n">
        <v>149.126742</v>
      </c>
      <c r="Z663" s="2" t="n">
        <v>310</v>
      </c>
    </row>
    <row r="664">
      <c r="A664" s="2" t="inlineStr">
        <is>
          <t>Downer</t>
        </is>
      </c>
      <c r="B664" s="2" t="inlineStr">
        <is>
          <t>_CLOSED_WF - Murra Warra</t>
        </is>
      </c>
      <c r="C664" s="2" t="inlineStr">
        <is>
          <t>Construction Site</t>
        </is>
      </c>
      <c r="D664" s="2" t="inlineStr">
        <is>
          <t>L9.J.3775001202</t>
        </is>
      </c>
      <c r="E664" s="2" t="inlineStr">
        <is>
          <t>IP-360.369.889.353</t>
        </is>
      </c>
      <c r="G664" s="2" t="inlineStr">
        <is>
          <t>Murra Warra Wind Farm</t>
        </is>
      </c>
      <c r="H664" s="2" t="inlineStr">
        <is>
          <t>567 Collins Street</t>
        </is>
      </c>
      <c r="I664" s="2" t="inlineStr">
        <is>
          <t>Melbourne</t>
        </is>
      </c>
      <c r="J664" s="2" t="inlineStr">
        <is>
          <t>VIC</t>
        </is>
      </c>
      <c r="K664" s="2" t="n">
        <v>3000</v>
      </c>
      <c r="L664" s="2" t="inlineStr">
        <is>
          <t>Australia</t>
        </is>
      </c>
      <c r="M664" s="2" t="inlineStr">
        <is>
          <t>Victoria</t>
        </is>
      </c>
      <c r="N664" s="2" t="inlineStr">
        <is>
          <t>Australia</t>
        </is>
      </c>
      <c r="P664" s="2" t="inlineStr">
        <is>
          <t>Operational Control</t>
        </is>
      </c>
      <c r="Q664" s="2" t="inlineStr">
        <is>
          <t>Operational Control</t>
        </is>
      </c>
      <c r="R664" s="2" t="inlineStr">
        <is>
          <t>Energy and Utilities (EU)</t>
        </is>
      </c>
      <c r="S664" s="2" t="inlineStr">
        <is>
          <t>Downer</t>
        </is>
      </c>
      <c r="T664" s="2" t="n">
        <v>100</v>
      </c>
      <c r="W664" s="2" t="inlineStr">
        <is>
          <t>Classification</t>
        </is>
      </c>
      <c r="X664" s="2" t="n">
        <v>-37.819015</v>
      </c>
      <c r="Y664" s="2" t="n">
        <v>144.955762</v>
      </c>
      <c r="Z664" s="2" t="n">
        <v>310</v>
      </c>
    </row>
    <row r="665">
      <c r="A665" s="2" t="inlineStr">
        <is>
          <t>Downer</t>
        </is>
      </c>
      <c r="B665" s="2" t="inlineStr">
        <is>
          <t>_CLOSED_Wollongong Office (NSW)</t>
        </is>
      </c>
      <c r="C665" s="2" t="inlineStr">
        <is>
          <t>Branch Office</t>
        </is>
      </c>
      <c r="D665" s="2" t="inlineStr">
        <is>
          <t>L9.S.13000740</t>
        </is>
      </c>
      <c r="E665" s="2" t="n">
        <v>9047</v>
      </c>
      <c r="H665" s="2" t="inlineStr">
        <is>
          <t>1 Young St</t>
        </is>
      </c>
      <c r="I665" s="2" t="inlineStr">
        <is>
          <t>Wollongong</t>
        </is>
      </c>
      <c r="J665" s="2" t="inlineStr">
        <is>
          <t>NSW</t>
        </is>
      </c>
      <c r="K665" s="2" t="n">
        <v>2500</v>
      </c>
      <c r="M665" s="2" t="inlineStr">
        <is>
          <t>New South Wales</t>
        </is>
      </c>
      <c r="N665" s="2" t="inlineStr">
        <is>
          <t>Australia</t>
        </is>
      </c>
      <c r="P665" s="2" t="inlineStr">
        <is>
          <t>Operational Control</t>
        </is>
      </c>
      <c r="Q665" s="2" t="inlineStr">
        <is>
          <t>Operational Control</t>
        </is>
      </c>
      <c r="R665" s="2" t="inlineStr">
        <is>
          <t>Social Infra &amp; Citizen Serv (SICS)</t>
        </is>
      </c>
      <c r="S665" s="2" t="inlineStr">
        <is>
          <t>Downer</t>
        </is>
      </c>
      <c r="T665" s="2" t="n">
        <v>100</v>
      </c>
      <c r="W665" s="2" t="inlineStr">
        <is>
          <t>Classification</t>
        </is>
      </c>
      <c r="X665" s="2" t="n">
        <v>-34.423528</v>
      </c>
      <c r="Y665" s="2" t="n">
        <v>150.890668</v>
      </c>
      <c r="Z665" s="2" t="n">
        <v>729</v>
      </c>
      <c r="AB665" s="11" t="n">
        <v>43281</v>
      </c>
    </row>
    <row r="666">
      <c r="A666" s="2" t="inlineStr">
        <is>
          <t>Downer</t>
        </is>
      </c>
      <c r="B666" s="2" t="inlineStr">
        <is>
          <t>_CLOSED_WWTP - Muswellbrook</t>
        </is>
      </c>
      <c r="C666" s="2" t="inlineStr">
        <is>
          <t>Treatment Station</t>
        </is>
      </c>
      <c r="D666" s="2" t="inlineStr">
        <is>
          <t>L9.J.24120101</t>
        </is>
      </c>
      <c r="E666" s="2" t="n">
        <v>7005</v>
      </c>
      <c r="G666" s="2" t="inlineStr">
        <is>
          <t>Closed Jan 2021</t>
        </is>
      </c>
      <c r="H666" s="2" t="inlineStr">
        <is>
          <t>Skellatar Stock Route Road</t>
        </is>
      </c>
      <c r="I666" s="2" t="inlineStr">
        <is>
          <t>Muswellbrook</t>
        </is>
      </c>
      <c r="J666" s="2" t="inlineStr">
        <is>
          <t>NSW</t>
        </is>
      </c>
      <c r="K666" s="2" t="n">
        <v>2333</v>
      </c>
      <c r="L666" s="2" t="inlineStr">
        <is>
          <t>Australia</t>
        </is>
      </c>
      <c r="M666" s="2" t="inlineStr">
        <is>
          <t>New South Wales</t>
        </is>
      </c>
      <c r="N666" s="2" t="inlineStr">
        <is>
          <t>Australia</t>
        </is>
      </c>
      <c r="P666" s="2" t="inlineStr">
        <is>
          <t>Operational Control</t>
        </is>
      </c>
      <c r="Q666" s="2" t="inlineStr">
        <is>
          <t>Operational Control</t>
        </is>
      </c>
      <c r="R666" s="2" t="inlineStr">
        <is>
          <t>Energy and Utilities (EU)</t>
        </is>
      </c>
      <c r="S666" s="2" t="inlineStr">
        <is>
          <t>Downer</t>
        </is>
      </c>
      <c r="T666" s="2" t="n">
        <v>100</v>
      </c>
      <c r="W666" s="2" t="inlineStr">
        <is>
          <t>Classification</t>
        </is>
      </c>
      <c r="X666" s="2" t="n">
        <v>-32.278721</v>
      </c>
      <c r="Y666" s="2" t="n">
        <v>150.874447</v>
      </c>
      <c r="Z666" s="2" t="n">
        <v>281</v>
      </c>
      <c r="AB666" s="11" t="n">
        <v>44197</v>
      </c>
    </row>
    <row r="667">
      <c r="A667" s="2" t="inlineStr">
        <is>
          <t>Downer</t>
        </is>
      </c>
      <c r="B667" s="2" t="inlineStr">
        <is>
          <t>_CLOSED_WWTP - Rubyanna</t>
        </is>
      </c>
      <c r="C667" s="2" t="inlineStr">
        <is>
          <t>Other</t>
        </is>
      </c>
      <c r="D667" s="2" t="inlineStr">
        <is>
          <t>L9.J.2412008304</t>
        </is>
      </c>
      <c r="E667" s="2" t="n">
        <v>7004</v>
      </c>
      <c r="F667" s="2" t="n">
        <v>7004</v>
      </c>
      <c r="G667" s="2" t="inlineStr">
        <is>
          <t>BUndaberg</t>
        </is>
      </c>
      <c r="H667" s="2" t="inlineStr">
        <is>
          <t>Rubyanna Road</t>
        </is>
      </c>
      <c r="I667" s="2" t="inlineStr">
        <is>
          <t>Rubyanna</t>
        </is>
      </c>
      <c r="J667" s="2" t="inlineStr">
        <is>
          <t>QLD</t>
        </is>
      </c>
      <c r="K667" s="2" t="n">
        <v>4670</v>
      </c>
      <c r="L667" s="2" t="inlineStr">
        <is>
          <t>Australia</t>
        </is>
      </c>
      <c r="M667" s="2" t="inlineStr">
        <is>
          <t>Queensland</t>
        </is>
      </c>
      <c r="N667" s="2" t="inlineStr">
        <is>
          <t>Australia</t>
        </is>
      </c>
      <c r="P667" s="2" t="inlineStr">
        <is>
          <t>Operational Control</t>
        </is>
      </c>
      <c r="Q667" s="2" t="inlineStr">
        <is>
          <t>Operational Control</t>
        </is>
      </c>
      <c r="R667" s="2" t="inlineStr">
        <is>
          <t>Energy and Utilities (EU)</t>
        </is>
      </c>
      <c r="S667" s="2" t="inlineStr">
        <is>
          <t>Downer</t>
        </is>
      </c>
      <c r="T667" s="2" t="n">
        <v>100</v>
      </c>
      <c r="W667" s="2" t="inlineStr">
        <is>
          <t>Classification</t>
        </is>
      </c>
      <c r="X667" s="2" t="n">
        <v>-24.816165</v>
      </c>
      <c r="Y667" s="2" t="n">
        <v>152.391606</v>
      </c>
      <c r="Z667" s="2" t="n">
        <v>281</v>
      </c>
    </row>
    <row r="668">
      <c r="A668" s="2" t="inlineStr">
        <is>
          <t>Downer</t>
        </is>
      </c>
      <c r="B668" s="2" t="inlineStr">
        <is>
          <t>_CLOSED_WWTP - Yeppoon</t>
        </is>
      </c>
      <c r="C668" s="2" t="inlineStr">
        <is>
          <t>Construction Site</t>
        </is>
      </c>
      <c r="D668" s="2" t="inlineStr">
        <is>
          <t>L9.J.24160020</t>
        </is>
      </c>
      <c r="E668" s="2" t="n">
        <v>7033</v>
      </c>
      <c r="H668" s="2" t="inlineStr">
        <is>
          <t>Jabiru Driver</t>
        </is>
      </c>
      <c r="I668" s="2" t="inlineStr">
        <is>
          <t>Yeppoon</t>
        </is>
      </c>
      <c r="J668" s="2" t="inlineStr">
        <is>
          <t>QLD</t>
        </is>
      </c>
      <c r="K668" s="2" t="n">
        <v>4703</v>
      </c>
      <c r="L668" s="2" t="inlineStr">
        <is>
          <t>Australia</t>
        </is>
      </c>
      <c r="M668" s="2" t="inlineStr">
        <is>
          <t>Yeppoon</t>
        </is>
      </c>
      <c r="N668" s="2" t="inlineStr">
        <is>
          <t>Australia</t>
        </is>
      </c>
      <c r="P668" s="2" t="inlineStr">
        <is>
          <t>Operational Control</t>
        </is>
      </c>
      <c r="Q668" s="2" t="inlineStr">
        <is>
          <t>Operational Control</t>
        </is>
      </c>
      <c r="R668" s="2" t="inlineStr">
        <is>
          <t>Energy and Utilities (EU)</t>
        </is>
      </c>
      <c r="S668" s="2" t="inlineStr">
        <is>
          <t>Downer</t>
        </is>
      </c>
      <c r="T668" s="2" t="n">
        <v>100</v>
      </c>
      <c r="W668" s="2" t="inlineStr">
        <is>
          <t>Classification</t>
        </is>
      </c>
      <c r="X668" s="2" t="n">
        <v>-23.155602</v>
      </c>
      <c r="Y668" s="2" t="n">
        <v>150.706467</v>
      </c>
      <c r="Z668" s="2" t="n">
        <v>281</v>
      </c>
    </row>
    <row r="669">
      <c r="A669" s="2" t="inlineStr">
        <is>
          <t>Downer</t>
        </is>
      </c>
      <c r="B669" s="2" t="inlineStr">
        <is>
          <t>_CLOSED_Y10234 - North Yarra Main Relining</t>
        </is>
      </c>
      <c r="C669" s="2" t="inlineStr">
        <is>
          <t>Site</t>
        </is>
      </c>
      <c r="D669" s="2" t="inlineStr">
        <is>
          <t>L9.J.25820028</t>
        </is>
      </c>
      <c r="E669" s="2" t="inlineStr">
        <is>
          <t>L9.J.25820028</t>
        </is>
      </c>
      <c r="M669" s="2" t="inlineStr">
        <is>
          <t>Victoria</t>
        </is>
      </c>
      <c r="N669" s="2" t="inlineStr">
        <is>
          <t>Australia</t>
        </is>
      </c>
      <c r="P669" s="2" t="inlineStr">
        <is>
          <t>Operational Control</t>
        </is>
      </c>
      <c r="Q669" s="2" t="inlineStr">
        <is>
          <t>Operational Control</t>
        </is>
      </c>
      <c r="R669" s="2" t="inlineStr">
        <is>
          <t>Energy and Utilities (EU)</t>
        </is>
      </c>
      <c r="S669" s="2" t="inlineStr">
        <is>
          <t>Downer</t>
        </is>
      </c>
      <c r="T669" s="2" t="n">
        <v>100</v>
      </c>
      <c r="W669" s="2" t="inlineStr">
        <is>
          <t>Classification</t>
        </is>
      </c>
      <c r="AB669" s="11" t="n">
        <v>45657</v>
      </c>
    </row>
    <row r="670">
      <c r="A670" s="2" t="inlineStr">
        <is>
          <t>Downer</t>
        </is>
      </c>
      <c r="B670" s="2" t="inlineStr">
        <is>
          <t>_CLOSED_Y10248 - Gardiners Creek Main Sewer Rehabilitation</t>
        </is>
      </c>
      <c r="C670" s="2" t="inlineStr">
        <is>
          <t>Site</t>
        </is>
      </c>
      <c r="D670" s="2" t="inlineStr">
        <is>
          <t>L9.J.25820018</t>
        </is>
      </c>
      <c r="E670" s="2" t="inlineStr">
        <is>
          <t>UTIL-25820018</t>
        </is>
      </c>
      <c r="G670" s="2" t="inlineStr">
        <is>
          <t>SFP Gardiners Creek Main Sewer Rehabilitation</t>
        </is>
      </c>
      <c r="M670" s="2" t="inlineStr">
        <is>
          <t>Victoria</t>
        </is>
      </c>
      <c r="N670" s="2" t="inlineStr">
        <is>
          <t>Australia</t>
        </is>
      </c>
      <c r="P670" s="2" t="inlineStr">
        <is>
          <t>Operational Control</t>
        </is>
      </c>
      <c r="Q670" s="2" t="inlineStr">
        <is>
          <t>Operational Control</t>
        </is>
      </c>
      <c r="R670" s="2" t="inlineStr">
        <is>
          <t>Energy and Utilities (EU)</t>
        </is>
      </c>
      <c r="S670" s="2" t="inlineStr">
        <is>
          <t>Downer</t>
        </is>
      </c>
      <c r="T670" s="2" t="n">
        <v>100</v>
      </c>
      <c r="W670" s="2" t="inlineStr">
        <is>
          <t>Classification</t>
        </is>
      </c>
      <c r="AB670" s="11" t="n">
        <v>44926</v>
      </c>
    </row>
    <row r="671">
      <c r="A671" s="2" t="inlineStr">
        <is>
          <t>Downer</t>
        </is>
      </c>
      <c r="B671" s="2" t="inlineStr">
        <is>
          <t>_CLOSED_Y10307 - ETP 62HA Switchboard and Associated Assets Renewals</t>
        </is>
      </c>
      <c r="C671" s="2" t="inlineStr">
        <is>
          <t>Site</t>
        </is>
      </c>
      <c r="D671" s="2" t="inlineStr">
        <is>
          <t>L9.J.25820009</t>
        </is>
      </c>
      <c r="E671" s="2" t="inlineStr">
        <is>
          <t>UTIL-25820009</t>
        </is>
      </c>
      <c r="G671" s="2" t="inlineStr">
        <is>
          <t>SFP ETP 62HA Switchboard and Associated Assets Renewals</t>
        </is>
      </c>
      <c r="M671" s="2" t="inlineStr">
        <is>
          <t>Victoria</t>
        </is>
      </c>
      <c r="N671" s="2" t="inlineStr">
        <is>
          <t>Australia</t>
        </is>
      </c>
      <c r="P671" s="2" t="inlineStr">
        <is>
          <t>Operational Control</t>
        </is>
      </c>
      <c r="Q671" s="2" t="inlineStr">
        <is>
          <t>Operational Control</t>
        </is>
      </c>
      <c r="R671" s="2" t="inlineStr">
        <is>
          <t>Energy and Utilities (EU)</t>
        </is>
      </c>
      <c r="S671" s="2" t="inlineStr">
        <is>
          <t>Downer</t>
        </is>
      </c>
      <c r="T671" s="2" t="n">
        <v>100</v>
      </c>
      <c r="W671" s="2" t="inlineStr">
        <is>
          <t>Classification</t>
        </is>
      </c>
      <c r="AB671" s="11" t="n">
        <v>45657</v>
      </c>
    </row>
    <row r="672">
      <c r="A672" s="2" t="inlineStr">
        <is>
          <t>Downer</t>
        </is>
      </c>
      <c r="B672" s="2" t="inlineStr">
        <is>
          <t>_CLOSED_Y10314 - Essex St Main Drain Renewal Project</t>
        </is>
      </c>
      <c r="C672" s="2" t="inlineStr">
        <is>
          <t>Site</t>
        </is>
      </c>
      <c r="D672" s="2" t="inlineStr">
        <is>
          <t>L9.J.25820027</t>
        </is>
      </c>
      <c r="E672" s="2" t="inlineStr">
        <is>
          <t>L9.J.25820027</t>
        </is>
      </c>
      <c r="M672" s="2" t="inlineStr">
        <is>
          <t>Victoria</t>
        </is>
      </c>
      <c r="N672" s="2" t="inlineStr">
        <is>
          <t>Australia</t>
        </is>
      </c>
      <c r="P672" s="2" t="inlineStr">
        <is>
          <t>Operational Control</t>
        </is>
      </c>
      <c r="Q672" s="2" t="inlineStr">
        <is>
          <t>Operational Control</t>
        </is>
      </c>
      <c r="R672" s="2" t="inlineStr">
        <is>
          <t>Energy and Utilities (EU)</t>
        </is>
      </c>
      <c r="S672" s="2" t="inlineStr">
        <is>
          <t>Downer</t>
        </is>
      </c>
      <c r="T672" s="2" t="n">
        <v>100</v>
      </c>
      <c r="W672" s="2" t="inlineStr">
        <is>
          <t>Classification</t>
        </is>
      </c>
      <c r="AB672" s="11" t="n">
        <v>45639</v>
      </c>
    </row>
    <row r="673">
      <c r="A673" s="2" t="inlineStr">
        <is>
          <t>Downer</t>
        </is>
      </c>
      <c r="B673" s="2" t="inlineStr">
        <is>
          <t>_CLOSED_Y10364 - Thomson Hydro Capacitor Bank</t>
        </is>
      </c>
      <c r="C673" s="2" t="inlineStr">
        <is>
          <t>Construction Site</t>
        </is>
      </c>
      <c r="D673" s="2" t="inlineStr">
        <is>
          <t>L9.J.241209</t>
        </is>
      </c>
      <c r="E673" s="2" t="inlineStr">
        <is>
          <t>L9.J.241209</t>
        </is>
      </c>
      <c r="M673" s="2" t="inlineStr">
        <is>
          <t>Victoria</t>
        </is>
      </c>
      <c r="N673" s="2" t="inlineStr">
        <is>
          <t>Australia</t>
        </is>
      </c>
      <c r="P673" s="2" t="inlineStr">
        <is>
          <t>Operational Control</t>
        </is>
      </c>
      <c r="Q673" s="2" t="inlineStr">
        <is>
          <t>Operational Control</t>
        </is>
      </c>
      <c r="R673" s="2" t="inlineStr">
        <is>
          <t>Energy and Utilities (EU)</t>
        </is>
      </c>
      <c r="S673" s="2" t="inlineStr">
        <is>
          <t>Downer</t>
        </is>
      </c>
      <c r="T673" s="2" t="n">
        <v>100</v>
      </c>
      <c r="W673" s="2" t="inlineStr">
        <is>
          <t>Classification</t>
        </is>
      </c>
      <c r="AB673" s="11" t="n">
        <v>45891</v>
      </c>
    </row>
    <row r="674">
      <c r="A674" s="2" t="inlineStr">
        <is>
          <t>Downer</t>
        </is>
      </c>
      <c r="B674" s="2" t="inlineStr">
        <is>
          <t>_CLOSED_Young</t>
        </is>
      </c>
      <c r="C674" s="2" t="inlineStr">
        <is>
          <t>Other</t>
        </is>
      </c>
      <c r="D674" s="2" t="inlineStr">
        <is>
          <t>L9.J.17010035</t>
        </is>
      </c>
      <c r="E674" s="2" t="n">
        <v>324</v>
      </c>
      <c r="H674" s="2" t="inlineStr">
        <is>
          <t>Sherrenden Hill, Olympic Highway</t>
        </is>
      </c>
      <c r="I674" s="2" t="inlineStr">
        <is>
          <t>Young</t>
        </is>
      </c>
      <c r="J674" s="2" t="inlineStr">
        <is>
          <t>New South Wales</t>
        </is>
      </c>
      <c r="K674" s="2" t="n">
        <v>2594</v>
      </c>
      <c r="L674" s="2" t="inlineStr">
        <is>
          <t>Australia</t>
        </is>
      </c>
      <c r="M674" s="2" t="inlineStr">
        <is>
          <t>New South Wales</t>
        </is>
      </c>
      <c r="N674" s="2" t="inlineStr">
        <is>
          <t>Australia</t>
        </is>
      </c>
      <c r="P674" s="2" t="inlineStr">
        <is>
          <t>Operational Control</t>
        </is>
      </c>
      <c r="Q674" s="2" t="inlineStr">
        <is>
          <t>Operational Control</t>
        </is>
      </c>
      <c r="R674" s="2" t="inlineStr">
        <is>
          <t>Transport &amp; Infrastructure (T&amp;I)</t>
        </is>
      </c>
      <c r="S674" s="2" t="inlineStr">
        <is>
          <t>Downer</t>
        </is>
      </c>
      <c r="T674" s="2" t="n">
        <v>100</v>
      </c>
      <c r="W674" s="2" t="inlineStr">
        <is>
          <t>Classification</t>
        </is>
      </c>
      <c r="X674" s="2" t="n">
        <v>-34.287</v>
      </c>
      <c r="Y674" s="2" t="n">
        <v>148.374</v>
      </c>
      <c r="Z674" s="2" t="n">
        <v>310</v>
      </c>
    </row>
    <row r="675">
      <c r="A675" s="2" t="inlineStr">
        <is>
          <t>Downer</t>
        </is>
      </c>
      <c r="B675" s="2" t="inlineStr">
        <is>
          <t>110 - Hawkins CORPORATE HO_Other Subcontractors</t>
        </is>
      </c>
      <c r="C675" s="2" t="inlineStr">
        <is>
          <t>Virtual Location</t>
        </is>
      </c>
      <c r="D675" s="2" t="inlineStr">
        <is>
          <t>L9.DNZJ.55533</t>
        </is>
      </c>
      <c r="E675" s="2" t="inlineStr">
        <is>
          <t>L9.DNZJ.55533</t>
        </is>
      </c>
      <c r="M675" s="2" t="inlineStr">
        <is>
          <t>Auckland City</t>
        </is>
      </c>
      <c r="N675" s="2" t="inlineStr">
        <is>
          <t>New Zealand</t>
        </is>
      </c>
      <c r="P675" s="2" t="inlineStr">
        <is>
          <t>Operational Control</t>
        </is>
      </c>
      <c r="Q675" s="2" t="inlineStr">
        <is>
          <t>Operational Control</t>
        </is>
      </c>
      <c r="R675" s="2" t="inlineStr">
        <is>
          <t>Transport &amp; Infrastructure (T&amp;I)</t>
        </is>
      </c>
      <c r="S675" s="2" t="inlineStr">
        <is>
          <t>Downer</t>
        </is>
      </c>
      <c r="T675" s="2" t="n">
        <v>100</v>
      </c>
      <c r="W675" s="2" t="inlineStr">
        <is>
          <t>Classification</t>
        </is>
      </c>
    </row>
    <row r="676">
      <c r="A676" s="2" t="inlineStr">
        <is>
          <t>Downer</t>
        </is>
      </c>
      <c r="B676" s="2" t="inlineStr">
        <is>
          <t>112 - Hawkins Limited AUCKLAND_Other Subcontractors</t>
        </is>
      </c>
      <c r="C676" s="2" t="inlineStr">
        <is>
          <t>Other</t>
        </is>
      </c>
      <c r="D676" s="2" t="inlineStr">
        <is>
          <t>L9.DNZ.HA0392</t>
        </is>
      </c>
      <c r="E676" s="2" t="inlineStr">
        <is>
          <t>L9.DNZ.HA0392</t>
        </is>
      </c>
      <c r="M676" s="2" t="inlineStr">
        <is>
          <t>Auckland City</t>
        </is>
      </c>
      <c r="N676" s="2" t="inlineStr">
        <is>
          <t>New Zealand</t>
        </is>
      </c>
      <c r="P676" s="2" t="inlineStr">
        <is>
          <t>Operational Control</t>
        </is>
      </c>
      <c r="Q676" s="2" t="inlineStr">
        <is>
          <t>Operational Control</t>
        </is>
      </c>
      <c r="R676" s="2" t="inlineStr">
        <is>
          <t>Transport &amp; Infrastructure (T&amp;I)</t>
        </is>
      </c>
      <c r="S676" s="2" t="inlineStr">
        <is>
          <t>Downer</t>
        </is>
      </c>
      <c r="T676" s="2" t="n">
        <v>100</v>
      </c>
      <c r="W676" s="2" t="inlineStr">
        <is>
          <t>Classification</t>
        </is>
      </c>
    </row>
    <row r="677">
      <c r="A677" s="2" t="inlineStr">
        <is>
          <t>Downer</t>
        </is>
      </c>
      <c r="B677" s="2" t="inlineStr">
        <is>
          <t>113 - Hawkins Limited CENTRAL_Other Subcontractors</t>
        </is>
      </c>
      <c r="C677" s="2" t="inlineStr">
        <is>
          <t>Other</t>
        </is>
      </c>
      <c r="D677" s="2" t="inlineStr">
        <is>
          <t>L9.DNZ.HC0350</t>
        </is>
      </c>
      <c r="E677" s="2" t="inlineStr">
        <is>
          <t>L9.DNZ.HC0350</t>
        </is>
      </c>
      <c r="M677" s="2" t="inlineStr">
        <is>
          <t>Hamilton</t>
        </is>
      </c>
      <c r="N677" s="2" t="inlineStr">
        <is>
          <t>New Zealand</t>
        </is>
      </c>
      <c r="P677" s="2" t="inlineStr">
        <is>
          <t>Operational Control</t>
        </is>
      </c>
      <c r="Q677" s="2" t="inlineStr">
        <is>
          <t>Operational Control</t>
        </is>
      </c>
      <c r="R677" s="2" t="inlineStr">
        <is>
          <t>Transport &amp; Infrastructure (T&amp;I)</t>
        </is>
      </c>
      <c r="S677" s="2" t="inlineStr">
        <is>
          <t>Downer</t>
        </is>
      </c>
      <c r="T677" s="2" t="n">
        <v>100</v>
      </c>
      <c r="W677" s="2" t="inlineStr">
        <is>
          <t>Classification</t>
        </is>
      </c>
    </row>
    <row r="678">
      <c r="A678" s="2" t="inlineStr">
        <is>
          <t>Downer</t>
        </is>
      </c>
      <c r="B678" s="2" t="inlineStr">
        <is>
          <t>120 - Hawkins Limited WELLINGTON_Other Subcontractors</t>
        </is>
      </c>
      <c r="C678" s="2" t="inlineStr">
        <is>
          <t>Other</t>
        </is>
      </c>
      <c r="D678" s="2" t="inlineStr">
        <is>
          <t>L9.DNZ.HW0239</t>
        </is>
      </c>
      <c r="E678" s="2" t="inlineStr">
        <is>
          <t>L9.DNZ.HW0239</t>
        </is>
      </c>
      <c r="M678" s="2" t="inlineStr">
        <is>
          <t>Wellington</t>
        </is>
      </c>
      <c r="N678" s="2" t="inlineStr">
        <is>
          <t>New Zealand</t>
        </is>
      </c>
      <c r="P678" s="2" t="inlineStr">
        <is>
          <t>Operational Control</t>
        </is>
      </c>
      <c r="Q678" s="2" t="inlineStr">
        <is>
          <t>Operational Control</t>
        </is>
      </c>
      <c r="R678" s="2" t="inlineStr">
        <is>
          <t>Transport &amp; Infrastructure (T&amp;I)</t>
        </is>
      </c>
      <c r="S678" s="2" t="inlineStr">
        <is>
          <t>Downer</t>
        </is>
      </c>
      <c r="T678" s="2" t="n">
        <v>100</v>
      </c>
      <c r="W678" s="2" t="inlineStr">
        <is>
          <t>Classification</t>
        </is>
      </c>
    </row>
    <row r="679">
      <c r="A679" s="2" t="inlineStr">
        <is>
          <t>Downer</t>
        </is>
      </c>
      <c r="B679" s="2" t="inlineStr">
        <is>
          <t>121 - Hawkins Limited WELLINGTON_Other Subcontractors</t>
        </is>
      </c>
      <c r="C679" s="2" t="inlineStr">
        <is>
          <t>Virtual Location</t>
        </is>
      </c>
      <c r="D679" s="2" t="inlineStr">
        <is>
          <t>L9.DNZJ.88122</t>
        </is>
      </c>
      <c r="E679" s="2" t="inlineStr">
        <is>
          <t>L9.DNZJ.88122</t>
        </is>
      </c>
      <c r="M679" s="2" t="inlineStr">
        <is>
          <t>Auckland City</t>
        </is>
      </c>
      <c r="N679" s="2" t="inlineStr">
        <is>
          <t>New Zealand</t>
        </is>
      </c>
      <c r="P679" s="2" t="inlineStr">
        <is>
          <t>Operational Control</t>
        </is>
      </c>
      <c r="Q679" s="2" t="inlineStr">
        <is>
          <t>Operational Control</t>
        </is>
      </c>
      <c r="R679" s="2" t="inlineStr">
        <is>
          <t>Transport &amp; Infrastructure (T&amp;I)</t>
        </is>
      </c>
      <c r="S679" s="2" t="inlineStr">
        <is>
          <t>Downer</t>
        </is>
      </c>
      <c r="T679" s="2" t="n">
        <v>100</v>
      </c>
      <c r="W679" s="2" t="inlineStr">
        <is>
          <t>Classification</t>
        </is>
      </c>
    </row>
    <row r="680">
      <c r="A680" s="2" t="inlineStr">
        <is>
          <t>Downer</t>
        </is>
      </c>
      <c r="B680" s="2" t="inlineStr">
        <is>
          <t>122 - Hawkins Limited SOUTH_Other Subcontractors</t>
        </is>
      </c>
      <c r="C680" s="2" t="inlineStr">
        <is>
          <t>Other</t>
        </is>
      </c>
      <c r="D680" s="2" t="inlineStr">
        <is>
          <t>L9.DNZ.HS0140</t>
        </is>
      </c>
      <c r="E680" s="2" t="inlineStr">
        <is>
          <t>L9.DNZ.HS0140</t>
        </is>
      </c>
      <c r="M680" s="2" t="inlineStr">
        <is>
          <t>Christchurch</t>
        </is>
      </c>
      <c r="N680" s="2" t="inlineStr">
        <is>
          <t>New Zealand</t>
        </is>
      </c>
      <c r="P680" s="2" t="inlineStr">
        <is>
          <t>Operational Control</t>
        </is>
      </c>
      <c r="Q680" s="2" t="inlineStr">
        <is>
          <t>Operational Control</t>
        </is>
      </c>
      <c r="R680" s="2" t="inlineStr">
        <is>
          <t>Transport &amp; Infrastructure (T&amp;I)</t>
        </is>
      </c>
      <c r="S680" s="2" t="inlineStr">
        <is>
          <t>Downer</t>
        </is>
      </c>
      <c r="T680" s="2" t="n">
        <v>100</v>
      </c>
      <c r="W680" s="2" t="inlineStr">
        <is>
          <t>Classification</t>
        </is>
      </c>
    </row>
    <row r="681">
      <c r="A681" s="2" t="inlineStr">
        <is>
          <t>Downer</t>
        </is>
      </c>
      <c r="B681" s="2" t="inlineStr">
        <is>
          <t>130 - Hawkins Limited PLANT_Other Subcontractors</t>
        </is>
      </c>
      <c r="C681" s="2" t="inlineStr">
        <is>
          <t>Other</t>
        </is>
      </c>
      <c r="D681" s="2" t="inlineStr">
        <is>
          <t>L9.DNZ.AKL</t>
        </is>
      </c>
      <c r="E681" s="2" t="inlineStr">
        <is>
          <t>L9.DNZ.AKL</t>
        </is>
      </c>
      <c r="M681" s="2" t="inlineStr">
        <is>
          <t>Auckland City</t>
        </is>
      </c>
      <c r="N681" s="2" t="inlineStr">
        <is>
          <t>New Zealand</t>
        </is>
      </c>
      <c r="P681" s="2" t="inlineStr">
        <is>
          <t>Operational Control</t>
        </is>
      </c>
      <c r="Q681" s="2" t="inlineStr">
        <is>
          <t>Operational Control</t>
        </is>
      </c>
      <c r="R681" s="2" t="inlineStr">
        <is>
          <t>Transport &amp; Infrastructure (T&amp;I)</t>
        </is>
      </c>
      <c r="S681" s="2" t="inlineStr">
        <is>
          <t>Downer</t>
        </is>
      </c>
      <c r="T681" s="2" t="n">
        <v>100</v>
      </c>
      <c r="W681" s="2" t="inlineStr">
        <is>
          <t>Classification</t>
        </is>
      </c>
    </row>
    <row r="682">
      <c r="A682" s="2" t="inlineStr">
        <is>
          <t>Downer</t>
        </is>
      </c>
      <c r="B682" s="2" t="inlineStr">
        <is>
          <t>140 St Georges Terrace - Perth</t>
        </is>
      </c>
      <c r="C682" s="2" t="inlineStr">
        <is>
          <t>Office</t>
        </is>
      </c>
      <c r="D682" s="2" t="inlineStr">
        <is>
          <t>L9.J.10920044</t>
        </is>
      </c>
      <c r="E682" s="2" t="inlineStr">
        <is>
          <t>COR-10920044</t>
        </is>
      </c>
      <c r="G682" s="2" t="inlineStr">
        <is>
          <t>Chevron Office. Moved in 6-Feb-2019.</t>
        </is>
      </c>
      <c r="H682" s="2" t="inlineStr">
        <is>
          <t>140 St Georges Terrace</t>
        </is>
      </c>
      <c r="I682" s="2" t="inlineStr">
        <is>
          <t>Perth</t>
        </is>
      </c>
      <c r="J682" s="2" t="inlineStr">
        <is>
          <t>WA</t>
        </is>
      </c>
      <c r="K682" s="2" t="n">
        <v>6000</v>
      </c>
      <c r="L682" s="2" t="inlineStr">
        <is>
          <t>Australia</t>
        </is>
      </c>
      <c r="M682" s="2" t="inlineStr">
        <is>
          <t>Perth</t>
        </is>
      </c>
      <c r="N682" s="2" t="inlineStr">
        <is>
          <t>Australia</t>
        </is>
      </c>
      <c r="P682" s="2" t="inlineStr">
        <is>
          <t>Operational Control</t>
        </is>
      </c>
      <c r="Q682" s="2" t="inlineStr">
        <is>
          <t>Operational Control</t>
        </is>
      </c>
      <c r="R682" s="2" t="inlineStr">
        <is>
          <t>Corporate</t>
        </is>
      </c>
      <c r="S682" s="2" t="inlineStr">
        <is>
          <t>Downer</t>
        </is>
      </c>
      <c r="T682" s="2" t="n">
        <v>100</v>
      </c>
      <c r="W682" s="2" t="inlineStr">
        <is>
          <t>Classification</t>
        </is>
      </c>
      <c r="X682" s="2" t="n">
        <v>-31.954083</v>
      </c>
      <c r="Y682" s="2" t="n">
        <v>115.856382</v>
      </c>
      <c r="Z682" s="2" t="n">
        <v>729</v>
      </c>
    </row>
    <row r="683">
      <c r="A683" s="2" t="inlineStr">
        <is>
          <t>Downer</t>
        </is>
      </c>
      <c r="B683" s="2" t="inlineStr">
        <is>
          <t>171 - TI-HO Office Subcontractors (Other)</t>
        </is>
      </c>
      <c r="C683" s="2" t="inlineStr">
        <is>
          <t>Other</t>
        </is>
      </c>
      <c r="D683" s="2" t="inlineStr">
        <is>
          <t>L9.J.170999</t>
        </is>
      </c>
      <c r="E683" s="2" t="inlineStr">
        <is>
          <t>L9.J.170999</t>
        </is>
      </c>
      <c r="M683" s="2" t="inlineStr">
        <is>
          <t>North Ryde</t>
        </is>
      </c>
      <c r="N683" s="2" t="inlineStr">
        <is>
          <t>Australia</t>
        </is>
      </c>
      <c r="P683" s="2" t="inlineStr">
        <is>
          <t>Operational Control</t>
        </is>
      </c>
      <c r="Q683" s="2" t="inlineStr">
        <is>
          <t>Operational Control</t>
        </is>
      </c>
      <c r="R683" s="2" t="inlineStr">
        <is>
          <t>Transport &amp; Infrastructure (T&amp;I)</t>
        </is>
      </c>
      <c r="S683" s="2" t="inlineStr">
        <is>
          <t>Downer</t>
        </is>
      </c>
      <c r="T683" s="2" t="n">
        <v>100</v>
      </c>
      <c r="W683" s="2" t="inlineStr">
        <is>
          <t>Classification</t>
        </is>
      </c>
    </row>
    <row r="684">
      <c r="A684" s="2" t="inlineStr">
        <is>
          <t>Downer</t>
        </is>
      </c>
      <c r="B684" s="2" t="inlineStr">
        <is>
          <t>172 - Reconomy Subcontractors (Other)</t>
        </is>
      </c>
      <c r="C684" s="2" t="inlineStr">
        <is>
          <t>Industrial</t>
        </is>
      </c>
      <c r="D684" s="2" t="inlineStr">
        <is>
          <t>L9.J.17072004</t>
        </is>
      </c>
      <c r="E684" s="2" t="inlineStr">
        <is>
          <t>L9.J.17072004</t>
        </is>
      </c>
      <c r="M684" s="2" t="inlineStr">
        <is>
          <t>North Ryde</t>
        </is>
      </c>
      <c r="N684" s="2" t="inlineStr">
        <is>
          <t>Australia</t>
        </is>
      </c>
      <c r="P684" s="2" t="inlineStr">
        <is>
          <t>Operational Control</t>
        </is>
      </c>
      <c r="Q684" s="2" t="inlineStr">
        <is>
          <t>Operational Control</t>
        </is>
      </c>
      <c r="R684" s="2" t="inlineStr">
        <is>
          <t>Transport &amp; Infrastructure (T&amp;I)</t>
        </is>
      </c>
      <c r="S684" s="2" t="inlineStr">
        <is>
          <t>Downer</t>
        </is>
      </c>
      <c r="T684" s="2" t="n">
        <v>100</v>
      </c>
      <c r="W684" s="2" t="inlineStr">
        <is>
          <t>Classification</t>
        </is>
      </c>
    </row>
    <row r="685">
      <c r="A685" s="2" t="inlineStr">
        <is>
          <t>Downer</t>
        </is>
      </c>
      <c r="B685" s="2" t="inlineStr">
        <is>
          <t>173 - Pavements Subcontractors (Other)</t>
        </is>
      </c>
      <c r="C685" s="2" t="inlineStr">
        <is>
          <t>Industrial</t>
        </is>
      </c>
      <c r="D685" s="2" t="inlineStr">
        <is>
          <t>L9.J.170238</t>
        </is>
      </c>
      <c r="E685" s="2" t="inlineStr">
        <is>
          <t>L9.J.170238</t>
        </is>
      </c>
      <c r="M685" s="2" t="inlineStr">
        <is>
          <t>North Ryde</t>
        </is>
      </c>
      <c r="N685" s="2" t="inlineStr">
        <is>
          <t>Australia</t>
        </is>
      </c>
      <c r="P685" s="2" t="inlineStr">
        <is>
          <t>Operational Control</t>
        </is>
      </c>
      <c r="Q685" s="2" t="inlineStr">
        <is>
          <t>Operational Control</t>
        </is>
      </c>
      <c r="R685" s="2" t="inlineStr">
        <is>
          <t>Transport &amp; Infrastructure (T&amp;I)</t>
        </is>
      </c>
      <c r="S685" s="2" t="inlineStr">
        <is>
          <t>Downer</t>
        </is>
      </c>
      <c r="T685" s="2" t="n">
        <v>100</v>
      </c>
      <c r="W685" s="2" t="inlineStr">
        <is>
          <t>Classification</t>
        </is>
      </c>
    </row>
    <row r="686">
      <c r="A686" s="2" t="inlineStr">
        <is>
          <t>Downer</t>
        </is>
      </c>
      <c r="B686" s="2" t="inlineStr">
        <is>
          <t>174 - DM Roads Subcontractors (Other)</t>
        </is>
      </c>
      <c r="C686" s="2" t="inlineStr">
        <is>
          <t>Industrial</t>
        </is>
      </c>
      <c r="D686" s="2" t="inlineStr">
        <is>
          <t>L9.J.17021011</t>
        </is>
      </c>
      <c r="E686" s="2" t="inlineStr">
        <is>
          <t>L9.J.17021011</t>
        </is>
      </c>
      <c r="M686" s="2" t="inlineStr">
        <is>
          <t>North Ryde</t>
        </is>
      </c>
      <c r="N686" s="2" t="inlineStr">
        <is>
          <t>Australia</t>
        </is>
      </c>
      <c r="P686" s="2" t="inlineStr">
        <is>
          <t>Operational Control</t>
        </is>
      </c>
      <c r="Q686" s="2" t="inlineStr">
        <is>
          <t>Operational Control</t>
        </is>
      </c>
      <c r="R686" s="2" t="inlineStr">
        <is>
          <t>Transport &amp; Infrastructure (T&amp;I)</t>
        </is>
      </c>
      <c r="S686" s="2" t="inlineStr">
        <is>
          <t>Downer</t>
        </is>
      </c>
      <c r="T686" s="2" t="n">
        <v>100</v>
      </c>
      <c r="W686" s="2" t="inlineStr">
        <is>
          <t>Classification</t>
        </is>
      </c>
    </row>
    <row r="687">
      <c r="A687" s="2" t="inlineStr">
        <is>
          <t>Downer</t>
        </is>
      </c>
      <c r="B687" s="2" t="inlineStr">
        <is>
          <t>174 - Maintenance &amp; ITS Subcontractors (Other)</t>
        </is>
      </c>
      <c r="C687" s="2" t="inlineStr">
        <is>
          <t>Other</t>
        </is>
      </c>
      <c r="D687" s="2" t="inlineStr">
        <is>
          <t>L9.J.259103</t>
        </is>
      </c>
      <c r="E687" s="2" t="inlineStr">
        <is>
          <t>L9.J.259103</t>
        </is>
      </c>
      <c r="M687" s="2" t="inlineStr">
        <is>
          <t>North Ryde</t>
        </is>
      </c>
      <c r="N687" s="2" t="inlineStr">
        <is>
          <t>Australia</t>
        </is>
      </c>
      <c r="P687" s="2" t="inlineStr">
        <is>
          <t>Operational Control</t>
        </is>
      </c>
      <c r="Q687" s="2" t="inlineStr">
        <is>
          <t>Operational Control</t>
        </is>
      </c>
      <c r="R687" s="2" t="inlineStr">
        <is>
          <t>Transport &amp; Infrastructure (T&amp;I)</t>
        </is>
      </c>
      <c r="S687" s="2" t="inlineStr">
        <is>
          <t>Downer</t>
        </is>
      </c>
      <c r="T687" s="2" t="n">
        <v>100</v>
      </c>
      <c r="W687" s="2" t="inlineStr">
        <is>
          <t>Classification</t>
        </is>
      </c>
    </row>
    <row r="688">
      <c r="A688" s="2" t="inlineStr">
        <is>
          <t>Downer</t>
        </is>
      </c>
      <c r="B688" s="2" t="inlineStr">
        <is>
          <t>175 - Central and West Sprayseal Subcontractors (Other)</t>
        </is>
      </c>
      <c r="C688" s="2" t="inlineStr">
        <is>
          <t>Industrial</t>
        </is>
      </c>
      <c r="D688" s="2" t="inlineStr">
        <is>
          <t>L9.J.17050015</t>
        </is>
      </c>
      <c r="E688" s="2" t="inlineStr">
        <is>
          <t>L9.J.17050015</t>
        </is>
      </c>
      <c r="M688" s="2" t="inlineStr">
        <is>
          <t>North Ryde</t>
        </is>
      </c>
      <c r="N688" s="2" t="inlineStr">
        <is>
          <t>Australia</t>
        </is>
      </c>
      <c r="P688" s="2" t="inlineStr">
        <is>
          <t>Operational Control</t>
        </is>
      </c>
      <c r="Q688" s="2" t="inlineStr">
        <is>
          <t>Operational Control</t>
        </is>
      </c>
      <c r="R688" s="2" t="inlineStr">
        <is>
          <t>Transport &amp; Infrastructure (T&amp;I)</t>
        </is>
      </c>
      <c r="S688" s="2" t="inlineStr">
        <is>
          <t>Downer</t>
        </is>
      </c>
      <c r="T688" s="2" t="n">
        <v>100</v>
      </c>
      <c r="W688" s="2" t="inlineStr">
        <is>
          <t>Classification</t>
        </is>
      </c>
    </row>
    <row r="689">
      <c r="A689" s="2" t="inlineStr">
        <is>
          <t>Downer</t>
        </is>
      </c>
      <c r="B689" s="2" t="inlineStr">
        <is>
          <t>176 - AU Roads Plant Subcontractors (Other)</t>
        </is>
      </c>
      <c r="C689" s="2" t="inlineStr">
        <is>
          <t>Industrial</t>
        </is>
      </c>
      <c r="D689" s="2" t="inlineStr">
        <is>
          <t>L9.J.17022510</t>
        </is>
      </c>
      <c r="E689" s="2" t="inlineStr">
        <is>
          <t>L9.J.17022510</t>
        </is>
      </c>
      <c r="M689" s="2" t="inlineStr">
        <is>
          <t>North Ryde</t>
        </is>
      </c>
      <c r="N689" s="2" t="inlineStr">
        <is>
          <t>Australia</t>
        </is>
      </c>
      <c r="P689" s="2" t="inlineStr">
        <is>
          <t>Operational Control</t>
        </is>
      </c>
      <c r="Q689" s="2" t="inlineStr">
        <is>
          <t>Operational Control</t>
        </is>
      </c>
      <c r="R689" s="2" t="inlineStr">
        <is>
          <t>Transport &amp; Infrastructure (T&amp;I)</t>
        </is>
      </c>
      <c r="S689" s="2" t="inlineStr">
        <is>
          <t>Downer</t>
        </is>
      </c>
      <c r="T689" s="2" t="n">
        <v>100</v>
      </c>
      <c r="W689" s="2" t="inlineStr">
        <is>
          <t>Classification</t>
        </is>
      </c>
    </row>
    <row r="690">
      <c r="A690" s="2" t="inlineStr">
        <is>
          <t>Downer</t>
        </is>
      </c>
      <c r="B690" s="2" t="inlineStr">
        <is>
          <t>178 - Tasmania Operations Subcontractors (Other)</t>
        </is>
      </c>
      <c r="C690" s="2" t="inlineStr">
        <is>
          <t>Industrial</t>
        </is>
      </c>
      <c r="D690" s="2" t="inlineStr">
        <is>
          <t>L9.J.17031257</t>
        </is>
      </c>
      <c r="E690" s="2" t="inlineStr">
        <is>
          <t>L9.J.17031257</t>
        </is>
      </c>
      <c r="M690" s="2" t="inlineStr">
        <is>
          <t>North Ryde</t>
        </is>
      </c>
      <c r="N690" s="2" t="inlineStr">
        <is>
          <t>Australia</t>
        </is>
      </c>
      <c r="P690" s="2" t="inlineStr">
        <is>
          <t>Operational Control</t>
        </is>
      </c>
      <c r="Q690" s="2" t="inlineStr">
        <is>
          <t>Operational Control</t>
        </is>
      </c>
      <c r="R690" s="2" t="inlineStr">
        <is>
          <t>Transport &amp; Infrastructure (T&amp;I)</t>
        </is>
      </c>
      <c r="S690" s="2" t="inlineStr">
        <is>
          <t>Downer</t>
        </is>
      </c>
      <c r="T690" s="2" t="n">
        <v>100</v>
      </c>
      <c r="W690" s="2" t="inlineStr">
        <is>
          <t>Classification</t>
        </is>
      </c>
    </row>
    <row r="691">
      <c r="A691" s="2" t="inlineStr">
        <is>
          <t>Downer</t>
        </is>
      </c>
      <c r="B691" s="2" t="inlineStr">
        <is>
          <t>179 - RPQ Subcontractors (Other)</t>
        </is>
      </c>
      <c r="C691" s="2" t="inlineStr">
        <is>
          <t>Industrial</t>
        </is>
      </c>
      <c r="D691" s="2" t="inlineStr">
        <is>
          <t>L9.J.17011208</t>
        </is>
      </c>
      <c r="E691" s="2" t="inlineStr">
        <is>
          <t>L9.J.17011208</t>
        </is>
      </c>
      <c r="M691" s="2" t="inlineStr">
        <is>
          <t>North Ryde</t>
        </is>
      </c>
      <c r="N691" s="2" t="inlineStr">
        <is>
          <t>Australia</t>
        </is>
      </c>
      <c r="P691" s="2" t="inlineStr">
        <is>
          <t>Operational Control</t>
        </is>
      </c>
      <c r="Q691" s="2" t="inlineStr">
        <is>
          <t>Operational Control</t>
        </is>
      </c>
      <c r="R691" s="2" t="inlineStr">
        <is>
          <t>Transport &amp; Infrastructure (T&amp;I)</t>
        </is>
      </c>
      <c r="S691" s="2" t="inlineStr">
        <is>
          <t>Downer</t>
        </is>
      </c>
      <c r="T691" s="2" t="n">
        <v>100</v>
      </c>
      <c r="W691" s="2" t="inlineStr">
        <is>
          <t>Classification</t>
        </is>
      </c>
    </row>
    <row r="692">
      <c r="A692" s="2" t="inlineStr">
        <is>
          <t>Downer</t>
        </is>
      </c>
      <c r="B692" s="2" t="inlineStr">
        <is>
          <t>180 - Pavement Preservation Subcontractors (Other)</t>
        </is>
      </c>
      <c r="C692" s="2" t="inlineStr">
        <is>
          <t>Industrial</t>
        </is>
      </c>
      <c r="D692" s="2" t="inlineStr">
        <is>
          <t>L9.J.17036029</t>
        </is>
      </c>
      <c r="E692" s="2" t="inlineStr">
        <is>
          <t>L9.J.17036029</t>
        </is>
      </c>
      <c r="M692" s="2" t="inlineStr">
        <is>
          <t>North Ryde</t>
        </is>
      </c>
      <c r="N692" s="2" t="inlineStr">
        <is>
          <t>Australia</t>
        </is>
      </c>
      <c r="P692" s="2" t="inlineStr">
        <is>
          <t>Operational Control</t>
        </is>
      </c>
      <c r="Q692" s="2" t="inlineStr">
        <is>
          <t>Operational Control</t>
        </is>
      </c>
      <c r="R692" s="2" t="inlineStr">
        <is>
          <t>Transport &amp; Infrastructure (T&amp;I)</t>
        </is>
      </c>
      <c r="S692" s="2" t="inlineStr">
        <is>
          <t>Downer</t>
        </is>
      </c>
      <c r="T692" s="2" t="n">
        <v>100</v>
      </c>
      <c r="W692" s="2" t="inlineStr">
        <is>
          <t>Classification</t>
        </is>
      </c>
    </row>
    <row r="693">
      <c r="A693" s="2" t="inlineStr">
        <is>
          <t>Downer</t>
        </is>
      </c>
      <c r="B693" s="2" t="inlineStr">
        <is>
          <t>181 - Blended Products Subcontractors (Other)</t>
        </is>
      </c>
      <c r="C693" s="2" t="inlineStr">
        <is>
          <t>Industrial</t>
        </is>
      </c>
      <c r="D693" s="2" t="inlineStr">
        <is>
          <t>L9.J.17090176</t>
        </is>
      </c>
      <c r="E693" s="2" t="inlineStr">
        <is>
          <t>L9.J.17090176</t>
        </is>
      </c>
      <c r="M693" s="2" t="inlineStr">
        <is>
          <t>North Ryde</t>
        </is>
      </c>
      <c r="N693" s="2" t="inlineStr">
        <is>
          <t>Australia</t>
        </is>
      </c>
      <c r="P693" s="2" t="inlineStr">
        <is>
          <t>Operational Control</t>
        </is>
      </c>
      <c r="Q693" s="2" t="inlineStr">
        <is>
          <t>Operational Control</t>
        </is>
      </c>
      <c r="R693" s="2" t="inlineStr">
        <is>
          <t>Transport &amp; Infrastructure (T&amp;I)</t>
        </is>
      </c>
      <c r="S693" s="2" t="inlineStr">
        <is>
          <t>Downer</t>
        </is>
      </c>
      <c r="T693" s="2" t="n">
        <v>100</v>
      </c>
      <c r="W693" s="2" t="inlineStr">
        <is>
          <t>Classification</t>
        </is>
      </c>
    </row>
    <row r="694">
      <c r="A694" s="2" t="inlineStr">
        <is>
          <t>Downer</t>
        </is>
      </c>
      <c r="B694" s="2" t="inlineStr">
        <is>
          <t>182 - AU Bitumen Subcontractors (Other)</t>
        </is>
      </c>
      <c r="C694" s="2" t="inlineStr">
        <is>
          <t>Industrial</t>
        </is>
      </c>
      <c r="D694" s="2" t="inlineStr">
        <is>
          <t>L9.J.17090314</t>
        </is>
      </c>
      <c r="E694" s="2" t="inlineStr">
        <is>
          <t>L9.J.17090314</t>
        </is>
      </c>
      <c r="M694" s="2" t="inlineStr">
        <is>
          <t>North Ryde</t>
        </is>
      </c>
      <c r="N694" s="2" t="inlineStr">
        <is>
          <t>Australia</t>
        </is>
      </c>
      <c r="P694" s="2" t="inlineStr">
        <is>
          <t>Operational Control</t>
        </is>
      </c>
      <c r="Q694" s="2" t="inlineStr">
        <is>
          <t>Operational Control</t>
        </is>
      </c>
      <c r="R694" s="2" t="inlineStr">
        <is>
          <t>Transport &amp; Infrastructure (T&amp;I)</t>
        </is>
      </c>
      <c r="S694" s="2" t="inlineStr">
        <is>
          <t>Downer</t>
        </is>
      </c>
      <c r="T694" s="2" t="n">
        <v>100</v>
      </c>
      <c r="W694" s="2" t="inlineStr">
        <is>
          <t>Classification</t>
        </is>
      </c>
    </row>
    <row r="695">
      <c r="A695" s="2" t="inlineStr">
        <is>
          <t>Downer</t>
        </is>
      </c>
      <c r="B695" s="2" t="inlineStr">
        <is>
          <t>187 - Asphalt &amp; Products Subcontractors (Other)</t>
        </is>
      </c>
      <c r="C695" s="2" t="inlineStr">
        <is>
          <t>Other</t>
        </is>
      </c>
      <c r="D695" s="2" t="inlineStr">
        <is>
          <t>L9.J.17090789</t>
        </is>
      </c>
      <c r="E695" s="2" t="inlineStr">
        <is>
          <t>L9.J.17090789</t>
        </is>
      </c>
      <c r="M695" s="2" t="inlineStr">
        <is>
          <t>North Ryde</t>
        </is>
      </c>
      <c r="N695" s="2" t="inlineStr">
        <is>
          <t>Australia</t>
        </is>
      </c>
      <c r="P695" s="2" t="inlineStr">
        <is>
          <t>Operational Control</t>
        </is>
      </c>
      <c r="Q695" s="2" t="inlineStr">
        <is>
          <t>Operational Control</t>
        </is>
      </c>
      <c r="R695" s="2" t="inlineStr">
        <is>
          <t>Transport &amp; Infrastructure (T&amp;I)</t>
        </is>
      </c>
      <c r="S695" s="2" t="inlineStr">
        <is>
          <t>Downer</t>
        </is>
      </c>
      <c r="T695" s="2" t="n">
        <v>100</v>
      </c>
      <c r="W695" s="2" t="inlineStr">
        <is>
          <t>Classification</t>
        </is>
      </c>
    </row>
    <row r="696">
      <c r="A696" s="2" t="inlineStr">
        <is>
          <t>Downer</t>
        </is>
      </c>
      <c r="B696" s="2" t="inlineStr">
        <is>
          <t>188 - Pavement Rehab &amp; Civils Subcontractors (Other)</t>
        </is>
      </c>
      <c r="C696" s="2" t="inlineStr">
        <is>
          <t>Other</t>
        </is>
      </c>
      <c r="D696" s="2" t="inlineStr">
        <is>
          <t>L9.J.17093156</t>
        </is>
      </c>
      <c r="E696" s="2" t="inlineStr">
        <is>
          <t>L9.J.17093156</t>
        </is>
      </c>
      <c r="M696" s="2" t="inlineStr">
        <is>
          <t>North Ryde</t>
        </is>
      </c>
      <c r="N696" s="2" t="inlineStr">
        <is>
          <t>Australia</t>
        </is>
      </c>
      <c r="P696" s="2" t="inlineStr">
        <is>
          <t>Operational Control</t>
        </is>
      </c>
      <c r="Q696" s="2" t="inlineStr">
        <is>
          <t>Operational Control</t>
        </is>
      </c>
      <c r="R696" s="2" t="inlineStr">
        <is>
          <t>Transport &amp; Infrastructure (T&amp;I)</t>
        </is>
      </c>
      <c r="S696" s="2" t="inlineStr">
        <is>
          <t>Downer</t>
        </is>
      </c>
      <c r="T696" s="2" t="n">
        <v>100</v>
      </c>
      <c r="W696" s="2" t="inlineStr">
        <is>
          <t>Classification</t>
        </is>
      </c>
    </row>
    <row r="697">
      <c r="A697" s="2" t="inlineStr">
        <is>
          <t>Downer</t>
        </is>
      </c>
      <c r="B697" s="2" t="inlineStr">
        <is>
          <t>189 - Specialised Pavements &amp; Projec Subcontractors (Other)</t>
        </is>
      </c>
      <c r="C697" s="2" t="inlineStr">
        <is>
          <t>Other</t>
        </is>
      </c>
      <c r="D697" s="2" t="inlineStr">
        <is>
          <t>L9.J.17075013</t>
        </is>
      </c>
      <c r="E697" s="2" t="inlineStr">
        <is>
          <t>L9.J.17075013</t>
        </is>
      </c>
      <c r="M697" s="2" t="inlineStr">
        <is>
          <t>North Ryde</t>
        </is>
      </c>
      <c r="N697" s="2" t="inlineStr">
        <is>
          <t>Australia</t>
        </is>
      </c>
      <c r="P697" s="2" t="inlineStr">
        <is>
          <t>Operational Control</t>
        </is>
      </c>
      <c r="Q697" s="2" t="inlineStr">
        <is>
          <t>Operational Control</t>
        </is>
      </c>
      <c r="R697" s="2" t="inlineStr">
        <is>
          <t>Transport &amp; Infrastructure (T&amp;I)</t>
        </is>
      </c>
      <c r="S697" s="2" t="inlineStr">
        <is>
          <t>Downer</t>
        </is>
      </c>
      <c r="T697" s="2" t="n">
        <v>100</v>
      </c>
      <c r="W697" s="2" t="inlineStr">
        <is>
          <t>Classification</t>
        </is>
      </c>
    </row>
    <row r="698">
      <c r="A698" s="2" t="inlineStr">
        <is>
          <t>Downer</t>
        </is>
      </c>
      <c r="B698" s="2" t="inlineStr">
        <is>
          <t>19 - National Plant_Cartage Subcontractors</t>
        </is>
      </c>
      <c r="C698" s="2" t="inlineStr">
        <is>
          <t>Other</t>
        </is>
      </c>
      <c r="D698" s="2" t="inlineStr">
        <is>
          <t>L9.DNZJ.1923</t>
        </is>
      </c>
      <c r="E698" s="2" t="inlineStr">
        <is>
          <t>L9.DNZJ.1923</t>
        </is>
      </c>
      <c r="M698" s="2" t="inlineStr">
        <is>
          <t>Auckland City</t>
        </is>
      </c>
      <c r="N698" s="2" t="inlineStr">
        <is>
          <t>New Zealand</t>
        </is>
      </c>
      <c r="P698" s="2" t="inlineStr">
        <is>
          <t>Operational Control</t>
        </is>
      </c>
      <c r="Q698" s="2" t="inlineStr">
        <is>
          <t>Operational Control</t>
        </is>
      </c>
      <c r="R698" s="2" t="inlineStr">
        <is>
          <t>Transport &amp; Infrastructure (T&amp;I)</t>
        </is>
      </c>
      <c r="S698" s="2" t="inlineStr">
        <is>
          <t>Downer</t>
        </is>
      </c>
      <c r="T698" s="2" t="n">
        <v>100</v>
      </c>
      <c r="W698" s="2" t="inlineStr">
        <is>
          <t>Classification</t>
        </is>
      </c>
    </row>
    <row r="699">
      <c r="A699" s="2" t="inlineStr">
        <is>
          <t>Downer</t>
        </is>
      </c>
      <c r="B699" s="2" t="inlineStr">
        <is>
          <t>19 - National Plant_Other Subcontractors</t>
        </is>
      </c>
      <c r="C699" s="2" t="inlineStr">
        <is>
          <t>Other</t>
        </is>
      </c>
      <c r="D699" s="2" t="inlineStr">
        <is>
          <t>L9.DNZJ.55907</t>
        </is>
      </c>
      <c r="E699" s="2" t="inlineStr">
        <is>
          <t>L9.DNZJ.55907</t>
        </is>
      </c>
      <c r="M699" s="2" t="inlineStr">
        <is>
          <t>Auckland City</t>
        </is>
      </c>
      <c r="N699" s="2" t="inlineStr">
        <is>
          <t>New Zealand</t>
        </is>
      </c>
      <c r="P699" s="2" t="inlineStr">
        <is>
          <t>Operational Control</t>
        </is>
      </c>
      <c r="Q699" s="2" t="inlineStr">
        <is>
          <t>Operational Control</t>
        </is>
      </c>
      <c r="R699" s="2" t="inlineStr">
        <is>
          <t>Transport &amp; Infrastructure (T&amp;I)</t>
        </is>
      </c>
      <c r="S699" s="2" t="inlineStr">
        <is>
          <t>Downer</t>
        </is>
      </c>
      <c r="T699" s="2" t="n">
        <v>100</v>
      </c>
      <c r="W699" s="2" t="inlineStr">
        <is>
          <t>Classification</t>
        </is>
      </c>
    </row>
    <row r="700">
      <c r="A700" s="2" t="inlineStr">
        <is>
          <t>Downer</t>
        </is>
      </c>
      <c r="B700" s="2" t="inlineStr">
        <is>
          <t>190 - Thin Surfacing Subcontractors (Other)</t>
        </is>
      </c>
      <c r="C700" s="2" t="inlineStr">
        <is>
          <t>Other</t>
        </is>
      </c>
      <c r="D700" s="2" t="inlineStr">
        <is>
          <t>L9.J.17091427</t>
        </is>
      </c>
      <c r="E700" s="2" t="inlineStr">
        <is>
          <t>L9.J.17091427</t>
        </is>
      </c>
      <c r="M700" s="2" t="inlineStr">
        <is>
          <t>North Ryde</t>
        </is>
      </c>
      <c r="N700" s="2" t="inlineStr">
        <is>
          <t>Australia</t>
        </is>
      </c>
      <c r="P700" s="2" t="inlineStr">
        <is>
          <t>Operational Control</t>
        </is>
      </c>
      <c r="Q700" s="2" t="inlineStr">
        <is>
          <t>Operational Control</t>
        </is>
      </c>
      <c r="R700" s="2" t="inlineStr">
        <is>
          <t>Transport &amp; Infrastructure (T&amp;I)</t>
        </is>
      </c>
      <c r="S700" s="2" t="inlineStr">
        <is>
          <t>Downer</t>
        </is>
      </c>
      <c r="T700" s="2" t="n">
        <v>100</v>
      </c>
      <c r="W700" s="2" t="inlineStr">
        <is>
          <t>Classification</t>
        </is>
      </c>
    </row>
    <row r="701">
      <c r="A701" s="2" t="inlineStr">
        <is>
          <t>Downer</t>
        </is>
      </c>
      <c r="B701" s="2" t="inlineStr">
        <is>
          <t>21 ROLLESTON ST MAIN</t>
        </is>
      </c>
      <c r="C701" s="2" t="inlineStr">
        <is>
          <t>Other</t>
        </is>
      </c>
      <c r="D701" s="2" t="inlineStr">
        <is>
          <t>L9.DNZ.HW0213</t>
        </is>
      </c>
      <c r="E701" s="2" t="inlineStr">
        <is>
          <t>JP_HW0213</t>
        </is>
      </c>
      <c r="H701" s="2" t="inlineStr">
        <is>
          <t>21 Rolleston Street</t>
        </is>
      </c>
      <c r="I701" s="2" t="inlineStr">
        <is>
          <t>Mount Cook</t>
        </is>
      </c>
      <c r="J701" s="2" t="inlineStr">
        <is>
          <t>Wellington</t>
        </is>
      </c>
      <c r="K701" s="2" t="n">
        <v>6021</v>
      </c>
      <c r="L701" s="2" t="inlineStr">
        <is>
          <t>New Zealand</t>
        </is>
      </c>
      <c r="M701" s="2" t="inlineStr">
        <is>
          <t>Kelburn</t>
        </is>
      </c>
      <c r="N701" s="2" t="inlineStr">
        <is>
          <t>New Zealand</t>
        </is>
      </c>
      <c r="P701" s="2" t="inlineStr">
        <is>
          <t>Operational Control</t>
        </is>
      </c>
      <c r="Q701" s="2" t="inlineStr">
        <is>
          <t>Operational Control</t>
        </is>
      </c>
      <c r="R701" s="2" t="inlineStr">
        <is>
          <t>Transport &amp; Infrastructure (T&amp;I)</t>
        </is>
      </c>
      <c r="S701" s="2" t="inlineStr">
        <is>
          <t>Downer</t>
        </is>
      </c>
      <c r="T701" s="2" t="n">
        <v>100</v>
      </c>
      <c r="W701" s="2" t="inlineStr">
        <is>
          <t>Classification</t>
        </is>
      </c>
      <c r="X701" s="2" t="n">
        <v>-41.303</v>
      </c>
      <c r="Y701" s="2" t="n">
        <v>174.7734</v>
      </c>
    </row>
    <row r="702">
      <c r="A702" s="2" t="inlineStr">
        <is>
          <t>Downer</t>
        </is>
      </c>
      <c r="B702" s="2" t="inlineStr">
        <is>
          <t>25820023 - Hoppers Crossing Pump Station 66kV Renewal</t>
        </is>
      </c>
      <c r="C702" s="2" t="inlineStr">
        <is>
          <t>Construction Site</t>
        </is>
      </c>
      <c r="D702" s="2" t="inlineStr">
        <is>
          <t>L9.J.241209</t>
        </is>
      </c>
      <c r="E702" s="2" t="inlineStr">
        <is>
          <t>L9.J.241209</t>
        </is>
      </c>
      <c r="M702" s="2" t="inlineStr">
        <is>
          <t>Victoria</t>
        </is>
      </c>
      <c r="N702" s="2" t="inlineStr">
        <is>
          <t>Australia</t>
        </is>
      </c>
      <c r="P702" s="2" t="inlineStr">
        <is>
          <t>Operational Control</t>
        </is>
      </c>
      <c r="Q702" s="2" t="inlineStr">
        <is>
          <t>Operational Control</t>
        </is>
      </c>
      <c r="R702" s="2" t="inlineStr">
        <is>
          <t>Energy and Utilities (EU)</t>
        </is>
      </c>
      <c r="S702" s="2" t="inlineStr">
        <is>
          <t>Downer</t>
        </is>
      </c>
      <c r="T702" s="2" t="n">
        <v>100</v>
      </c>
      <c r="W702" s="2" t="inlineStr">
        <is>
          <t>Classification</t>
        </is>
      </c>
    </row>
    <row r="703">
      <c r="A703" s="2" t="inlineStr">
        <is>
          <t>Downer</t>
        </is>
      </c>
      <c r="B703" s="2" t="inlineStr">
        <is>
          <t>2Degrees Build EU Subcontractors</t>
        </is>
      </c>
      <c r="C703" s="2" t="inlineStr">
        <is>
          <t>Other</t>
        </is>
      </c>
      <c r="D703" s="2" t="inlineStr">
        <is>
          <t>L9.DNZ.810.20988</t>
        </is>
      </c>
      <c r="E703" s="2" t="inlineStr">
        <is>
          <t>L9.DNZ.810.20988</t>
        </is>
      </c>
      <c r="M703" s="2" t="inlineStr">
        <is>
          <t>Auckland City</t>
        </is>
      </c>
      <c r="N703" s="2" t="inlineStr">
        <is>
          <t>New Zealand</t>
        </is>
      </c>
      <c r="P703" s="2" t="inlineStr">
        <is>
          <t>Operational Control</t>
        </is>
      </c>
      <c r="Q703" s="2" t="inlineStr">
        <is>
          <t>Operational Control</t>
        </is>
      </c>
      <c r="R703" s="2" t="inlineStr">
        <is>
          <t>Energy and Utilities (EU)</t>
        </is>
      </c>
      <c r="S703" s="2" t="inlineStr">
        <is>
          <t>Downer</t>
        </is>
      </c>
      <c r="T703" s="2" t="n">
        <v>100</v>
      </c>
      <c r="W703" s="2" t="inlineStr">
        <is>
          <t>Classification</t>
        </is>
      </c>
    </row>
    <row r="704">
      <c r="A704" s="2" t="inlineStr">
        <is>
          <t>Downer</t>
        </is>
      </c>
      <c r="B704" s="2" t="inlineStr">
        <is>
          <t>2Degrees Maintenance EU Subcontractors</t>
        </is>
      </c>
      <c r="C704" s="2" t="inlineStr">
        <is>
          <t>Other</t>
        </is>
      </c>
      <c r="D704" s="2" t="inlineStr">
        <is>
          <t>L9.DNZ.810.20987</t>
        </is>
      </c>
      <c r="E704" s="2" t="inlineStr">
        <is>
          <t>L9.DNZ.810.20987</t>
        </is>
      </c>
      <c r="M704" s="2" t="inlineStr">
        <is>
          <t>Auckland City</t>
        </is>
      </c>
      <c r="N704" s="2" t="inlineStr">
        <is>
          <t>New Zealand</t>
        </is>
      </c>
      <c r="P704" s="2" t="inlineStr">
        <is>
          <t>Operational Control</t>
        </is>
      </c>
      <c r="Q704" s="2" t="inlineStr">
        <is>
          <t>Operational Control</t>
        </is>
      </c>
      <c r="R704" s="2" t="inlineStr">
        <is>
          <t>Energy and Utilities (EU)</t>
        </is>
      </c>
      <c r="S704" s="2" t="inlineStr">
        <is>
          <t>Downer</t>
        </is>
      </c>
      <c r="T704" s="2" t="n">
        <v>100</v>
      </c>
      <c r="W704" s="2" t="inlineStr">
        <is>
          <t>Classification</t>
        </is>
      </c>
    </row>
    <row r="705">
      <c r="A705" s="2" t="inlineStr">
        <is>
          <t>Downer</t>
        </is>
      </c>
      <c r="B705" s="2" t="inlineStr">
        <is>
          <t>30 - RS – Bitumen Plants_Cartage Subcontractors</t>
        </is>
      </c>
      <c r="C705" s="2" t="inlineStr">
        <is>
          <t>Other</t>
        </is>
      </c>
      <c r="D705" s="2" t="inlineStr">
        <is>
          <t>L9.DNZJ.3024</t>
        </is>
      </c>
      <c r="E705" s="2" t="inlineStr">
        <is>
          <t>L9.DNZJ.3024</t>
        </is>
      </c>
      <c r="M705" s="2" t="inlineStr">
        <is>
          <t>Auckland City</t>
        </is>
      </c>
      <c r="N705" s="2" t="inlineStr">
        <is>
          <t>New Zealand</t>
        </is>
      </c>
      <c r="P705" s="2" t="inlineStr">
        <is>
          <t>Operational Control</t>
        </is>
      </c>
      <c r="Q705" s="2" t="inlineStr">
        <is>
          <t>Operational Control</t>
        </is>
      </c>
      <c r="R705" s="2" t="inlineStr">
        <is>
          <t>Transport &amp; Infrastructure (T&amp;I)</t>
        </is>
      </c>
      <c r="S705" s="2" t="inlineStr">
        <is>
          <t>Downer</t>
        </is>
      </c>
      <c r="T705" s="2" t="n">
        <v>100</v>
      </c>
      <c r="W705" s="2" t="inlineStr">
        <is>
          <t>Classification</t>
        </is>
      </c>
    </row>
    <row r="706">
      <c r="A706" s="2" t="inlineStr">
        <is>
          <t>Downer</t>
        </is>
      </c>
      <c r="B706" s="2" t="inlineStr">
        <is>
          <t>30 - RS – Bitumen Plants_Other Subcontractors</t>
        </is>
      </c>
      <c r="C706" s="2" t="inlineStr">
        <is>
          <t>Other</t>
        </is>
      </c>
      <c r="D706" s="2" t="inlineStr">
        <is>
          <t>L9.DNZJ.3005</t>
        </is>
      </c>
      <c r="E706" s="2" t="inlineStr">
        <is>
          <t>L9.DNZJ.3005</t>
        </is>
      </c>
      <c r="M706" s="2" t="inlineStr">
        <is>
          <t>Auckland City</t>
        </is>
      </c>
      <c r="N706" s="2" t="inlineStr">
        <is>
          <t>New Zealand</t>
        </is>
      </c>
      <c r="P706" s="2" t="inlineStr">
        <is>
          <t>Operational Control</t>
        </is>
      </c>
      <c r="Q706" s="2" t="inlineStr">
        <is>
          <t>Operational Control</t>
        </is>
      </c>
      <c r="R706" s="2" t="inlineStr">
        <is>
          <t>Transport &amp; Infrastructure (T&amp;I)</t>
        </is>
      </c>
      <c r="S706" s="2" t="inlineStr">
        <is>
          <t>Downer</t>
        </is>
      </c>
      <c r="T706" s="2" t="n">
        <v>100</v>
      </c>
      <c r="W706" s="2" t="inlineStr">
        <is>
          <t>Classification</t>
        </is>
      </c>
    </row>
    <row r="707">
      <c r="A707" s="2" t="inlineStr">
        <is>
          <t>Downer</t>
        </is>
      </c>
      <c r="B707" s="2" t="inlineStr">
        <is>
          <t>31 - The Roading Company_Other Subcontractors</t>
        </is>
      </c>
      <c r="C707" s="2" t="inlineStr">
        <is>
          <t>Other</t>
        </is>
      </c>
      <c r="D707" s="2" t="inlineStr">
        <is>
          <t>L9.DNZJ.559227</t>
        </is>
      </c>
      <c r="E707" s="2" t="inlineStr">
        <is>
          <t>L9.DNZJ.559227</t>
        </is>
      </c>
      <c r="M707" s="2" t="inlineStr">
        <is>
          <t>Auckland City</t>
        </is>
      </c>
      <c r="N707" s="2" t="inlineStr">
        <is>
          <t>New Zealand</t>
        </is>
      </c>
      <c r="P707" s="2" t="inlineStr">
        <is>
          <t>Operational Control</t>
        </is>
      </c>
      <c r="Q707" s="2" t="inlineStr">
        <is>
          <t>Operational Control</t>
        </is>
      </c>
      <c r="R707" s="2" t="inlineStr">
        <is>
          <t>Transport &amp; Infrastructure (T&amp;I)</t>
        </is>
      </c>
      <c r="S707" s="2" t="inlineStr">
        <is>
          <t>Downer</t>
        </is>
      </c>
      <c r="T707" s="2" t="n">
        <v>100</v>
      </c>
      <c r="W707" s="2" t="inlineStr">
        <is>
          <t>Classification</t>
        </is>
      </c>
    </row>
    <row r="708">
      <c r="A708" s="2" t="inlineStr">
        <is>
          <t>Downer</t>
        </is>
      </c>
      <c r="B708" s="2" t="inlineStr">
        <is>
          <t>32 - Green Vision Recycling_Cartage Subcontractors</t>
        </is>
      </c>
      <c r="C708" s="2" t="inlineStr">
        <is>
          <t>Other</t>
        </is>
      </c>
      <c r="D708" s="2" t="inlineStr">
        <is>
          <t>L9.DNZJ.3200</t>
        </is>
      </c>
      <c r="E708" s="2" t="inlineStr">
        <is>
          <t>L9.DNZJ.3200</t>
        </is>
      </c>
      <c r="M708" s="2" t="inlineStr">
        <is>
          <t>Auckland City</t>
        </is>
      </c>
      <c r="N708" s="2" t="inlineStr">
        <is>
          <t>New Zealand</t>
        </is>
      </c>
      <c r="P708" s="2" t="inlineStr">
        <is>
          <t>Operational Control</t>
        </is>
      </c>
      <c r="Q708" s="2" t="inlineStr">
        <is>
          <t>Operational Control</t>
        </is>
      </c>
      <c r="R708" s="2" t="inlineStr">
        <is>
          <t>Transport &amp; Infrastructure (T&amp;I)</t>
        </is>
      </c>
      <c r="S708" s="2" t="inlineStr">
        <is>
          <t>Downer</t>
        </is>
      </c>
      <c r="T708" s="2" t="n">
        <v>100</v>
      </c>
      <c r="W708" s="2" t="inlineStr">
        <is>
          <t>Classification</t>
        </is>
      </c>
    </row>
    <row r="709">
      <c r="A709" s="2" t="inlineStr">
        <is>
          <t>Downer</t>
        </is>
      </c>
      <c r="B709" s="2" t="inlineStr">
        <is>
          <t>32 - Green Vision Recycling_Other Subcontractors</t>
        </is>
      </c>
      <c r="C709" s="2" t="inlineStr">
        <is>
          <t>Other</t>
        </is>
      </c>
      <c r="D709" s="2" t="inlineStr">
        <is>
          <t>L9.DNZJ.3201</t>
        </is>
      </c>
      <c r="E709" s="2" t="inlineStr">
        <is>
          <t>L9.DNZJ.3201</t>
        </is>
      </c>
      <c r="M709" s="2" t="inlineStr">
        <is>
          <t>Auckland City</t>
        </is>
      </c>
      <c r="N709" s="2" t="inlineStr">
        <is>
          <t>New Zealand</t>
        </is>
      </c>
      <c r="P709" s="2" t="inlineStr">
        <is>
          <t>Operational Control</t>
        </is>
      </c>
      <c r="Q709" s="2" t="inlineStr">
        <is>
          <t>Operational Control</t>
        </is>
      </c>
      <c r="R709" s="2" t="inlineStr">
        <is>
          <t>Transport &amp; Infrastructure (T&amp;I)</t>
        </is>
      </c>
      <c r="S709" s="2" t="inlineStr">
        <is>
          <t>Downer</t>
        </is>
      </c>
      <c r="T709" s="2" t="n">
        <v>100</v>
      </c>
      <c r="W709" s="2" t="inlineStr">
        <is>
          <t>Classification</t>
        </is>
      </c>
    </row>
    <row r="710">
      <c r="A710" s="2" t="inlineStr">
        <is>
          <t>Downer</t>
        </is>
      </c>
      <c r="B710" s="2" t="inlineStr">
        <is>
          <t>35 - RS – Asphalt Plants &amp; Labs_Cartage Subcontractors</t>
        </is>
      </c>
      <c r="C710" s="2" t="inlineStr">
        <is>
          <t>Other</t>
        </is>
      </c>
      <c r="D710" s="2" t="inlineStr">
        <is>
          <t>L9.DNZJ.3500</t>
        </is>
      </c>
      <c r="E710" s="2" t="inlineStr">
        <is>
          <t>L9.DNZJ.3500</t>
        </is>
      </c>
      <c r="M710" s="2" t="inlineStr">
        <is>
          <t>Auckland City</t>
        </is>
      </c>
      <c r="N710" s="2" t="inlineStr">
        <is>
          <t>New Zealand</t>
        </is>
      </c>
      <c r="P710" s="2" t="inlineStr">
        <is>
          <t>Operational Control</t>
        </is>
      </c>
      <c r="Q710" s="2" t="inlineStr">
        <is>
          <t>Operational Control</t>
        </is>
      </c>
      <c r="R710" s="2" t="inlineStr">
        <is>
          <t>Transport &amp; Infrastructure (T&amp;I)</t>
        </is>
      </c>
      <c r="S710" s="2" t="inlineStr">
        <is>
          <t>Downer</t>
        </is>
      </c>
      <c r="T710" s="2" t="n">
        <v>100</v>
      </c>
      <c r="W710" s="2" t="inlineStr">
        <is>
          <t>Classification</t>
        </is>
      </c>
    </row>
    <row r="711">
      <c r="A711" s="2" t="inlineStr">
        <is>
          <t>Downer</t>
        </is>
      </c>
      <c r="B711" s="2" t="inlineStr">
        <is>
          <t>35 - RS – Asphalt Plants &amp; Labs_Other Subcontractors</t>
        </is>
      </c>
      <c r="C711" s="2" t="inlineStr">
        <is>
          <t>Other</t>
        </is>
      </c>
      <c r="D711" s="2" t="inlineStr">
        <is>
          <t>L9.DNZJ.3520</t>
        </is>
      </c>
      <c r="E711" s="2" t="inlineStr">
        <is>
          <t>L9.DNZJ.3520</t>
        </is>
      </c>
      <c r="M711" s="2" t="inlineStr">
        <is>
          <t>Auckland City</t>
        </is>
      </c>
      <c r="N711" s="2" t="inlineStr">
        <is>
          <t>New Zealand</t>
        </is>
      </c>
      <c r="P711" s="2" t="inlineStr">
        <is>
          <t>Operational Control</t>
        </is>
      </c>
      <c r="Q711" s="2" t="inlineStr">
        <is>
          <t>Operational Control</t>
        </is>
      </c>
      <c r="R711" s="2" t="inlineStr">
        <is>
          <t>Transport &amp; Infrastructure (T&amp;I)</t>
        </is>
      </c>
      <c r="S711" s="2" t="inlineStr">
        <is>
          <t>Downer</t>
        </is>
      </c>
      <c r="T711" s="2" t="n">
        <v>100</v>
      </c>
      <c r="W711" s="2" t="inlineStr">
        <is>
          <t>Classification</t>
        </is>
      </c>
    </row>
    <row r="712">
      <c r="A712" s="2" t="inlineStr">
        <is>
          <t>Downer</t>
        </is>
      </c>
      <c r="B712" s="2" t="inlineStr">
        <is>
          <t>352 Macaulay Road</t>
        </is>
      </c>
      <c r="C712" s="2" t="inlineStr">
        <is>
          <t>Depot</t>
        </is>
      </c>
      <c r="D712" s="2" t="inlineStr">
        <is>
          <t>L9.S.16016161</t>
        </is>
      </c>
      <c r="E712" s="2" t="n">
        <v>16016161</v>
      </c>
      <c r="G712" s="2" t="inlineStr">
        <is>
          <t>Under Metro Trains &amp; Yarra Trams Cleaning contract</t>
        </is>
      </c>
      <c r="M712" s="2" t="inlineStr">
        <is>
          <t>Melbourne</t>
        </is>
      </c>
      <c r="N712" s="2" t="inlineStr">
        <is>
          <t>Australia</t>
        </is>
      </c>
      <c r="P712" s="2" t="inlineStr">
        <is>
          <t>Operational Control</t>
        </is>
      </c>
      <c r="Q712" s="2" t="inlineStr">
        <is>
          <t>Operational Control</t>
        </is>
      </c>
      <c r="R712" s="2" t="inlineStr">
        <is>
          <t>Social Infra &amp; Citizen Serv (SICS)</t>
        </is>
      </c>
      <c r="S712" s="2" t="inlineStr">
        <is>
          <t>Downer</t>
        </is>
      </c>
      <c r="T712" s="2" t="n">
        <v>100</v>
      </c>
      <c r="W712" s="2" t="inlineStr">
        <is>
          <t>Classification</t>
        </is>
      </c>
    </row>
    <row r="713">
      <c r="A713" s="2" t="inlineStr">
        <is>
          <t>Downer</t>
        </is>
      </c>
      <c r="B713" s="2" t="inlineStr">
        <is>
          <t>4 Redwood Lane - Tauriko West Enabling Works</t>
        </is>
      </c>
      <c r="C713" s="2" t="inlineStr">
        <is>
          <t>Depot</t>
        </is>
      </c>
      <c r="D713" s="2" t="inlineStr">
        <is>
          <t>L9.DNZJ.553912</t>
        </is>
      </c>
      <c r="E713" s="2" t="inlineStr">
        <is>
          <t>L9.DNZJ.553912</t>
        </is>
      </c>
      <c r="M713" s="2" t="inlineStr">
        <is>
          <t>Bay of Plenty</t>
        </is>
      </c>
      <c r="N713" s="2" t="inlineStr">
        <is>
          <t>New Zealand</t>
        </is>
      </c>
      <c r="P713" s="2" t="inlineStr">
        <is>
          <t>Operational Control</t>
        </is>
      </c>
      <c r="Q713" s="2" t="inlineStr">
        <is>
          <t>Operational Control</t>
        </is>
      </c>
      <c r="R713" s="2" t="inlineStr">
        <is>
          <t>Transport &amp; Infrastructure (T&amp;I)</t>
        </is>
      </c>
      <c r="S713" s="2" t="inlineStr">
        <is>
          <t>Downer</t>
        </is>
      </c>
      <c r="T713" s="2" t="n">
        <v>100</v>
      </c>
      <c r="W713" s="2" t="inlineStr">
        <is>
          <t>Classification</t>
        </is>
      </c>
    </row>
    <row r="714">
      <c r="A714" s="2" t="inlineStr">
        <is>
          <t>Downer</t>
        </is>
      </c>
      <c r="B714" s="2" t="inlineStr">
        <is>
          <t>45 Clem Newby Road, Hamilton - Power &amp; Gas Depot</t>
        </is>
      </c>
      <c r="C714" s="2" t="inlineStr">
        <is>
          <t>Depot</t>
        </is>
      </c>
      <c r="D714" s="2" t="inlineStr">
        <is>
          <t>L9.DUN.79211</t>
        </is>
      </c>
      <c r="E714" s="2" t="inlineStr">
        <is>
          <t>L9.DUN.79211</t>
        </is>
      </c>
      <c r="M714" s="2" t="inlineStr">
        <is>
          <t>Hamilton</t>
        </is>
      </c>
      <c r="N714" s="2" t="inlineStr">
        <is>
          <t>New Zealand</t>
        </is>
      </c>
      <c r="P714" s="2" t="inlineStr">
        <is>
          <t>Operational Control</t>
        </is>
      </c>
      <c r="Q714" s="2" t="inlineStr">
        <is>
          <t>Operational Control</t>
        </is>
      </c>
      <c r="R714" s="2" t="inlineStr">
        <is>
          <t>Energy and Utilities (EU)</t>
        </is>
      </c>
      <c r="S714" s="2" t="inlineStr">
        <is>
          <t>Downer</t>
        </is>
      </c>
      <c r="T714" s="2" t="n">
        <v>100</v>
      </c>
      <c r="W714" s="2" t="inlineStr">
        <is>
          <t>Classification</t>
        </is>
      </c>
    </row>
    <row r="715">
      <c r="A715" s="2" t="inlineStr">
        <is>
          <t>Downer</t>
        </is>
      </c>
      <c r="B715" s="2" t="inlineStr">
        <is>
          <t>54 - Road Maintenance_Cartage Subcontractors</t>
        </is>
      </c>
      <c r="C715" s="2" t="inlineStr">
        <is>
          <t>Other</t>
        </is>
      </c>
      <c r="D715" s="2" t="inlineStr">
        <is>
          <t>L9.DNZJ.55927</t>
        </is>
      </c>
      <c r="E715" s="2" t="inlineStr">
        <is>
          <t>L9.DNZJ.55927</t>
        </is>
      </c>
      <c r="M715" s="2" t="inlineStr">
        <is>
          <t>Auckland City</t>
        </is>
      </c>
      <c r="N715" s="2" t="inlineStr">
        <is>
          <t>New Zealand</t>
        </is>
      </c>
      <c r="P715" s="2" t="inlineStr">
        <is>
          <t>Operational Control</t>
        </is>
      </c>
      <c r="Q715" s="2" t="inlineStr">
        <is>
          <t>Operational Control</t>
        </is>
      </c>
      <c r="R715" s="2" t="inlineStr">
        <is>
          <t>Transport &amp; Infrastructure (T&amp;I)</t>
        </is>
      </c>
      <c r="S715" s="2" t="inlineStr">
        <is>
          <t>Downer</t>
        </is>
      </c>
      <c r="T715" s="2" t="n">
        <v>100</v>
      </c>
      <c r="W715" s="2" t="inlineStr">
        <is>
          <t>Classification</t>
        </is>
      </c>
    </row>
    <row r="716">
      <c r="A716" s="2" t="inlineStr">
        <is>
          <t>Downer</t>
        </is>
      </c>
      <c r="B716" s="2" t="inlineStr">
        <is>
          <t>54 - Road Maintenance_Other Subcontractors</t>
        </is>
      </c>
      <c r="C716" s="2" t="inlineStr">
        <is>
          <t>Other</t>
        </is>
      </c>
      <c r="D716" s="2" t="inlineStr">
        <is>
          <t>L9.DNZJ.550588</t>
        </is>
      </c>
      <c r="E716" s="2" t="inlineStr">
        <is>
          <t>L9.DNZJ.550588</t>
        </is>
      </c>
      <c r="M716" s="2" t="inlineStr">
        <is>
          <t>Auckland City</t>
        </is>
      </c>
      <c r="N716" s="2" t="inlineStr">
        <is>
          <t>New Zealand</t>
        </is>
      </c>
      <c r="P716" s="2" t="inlineStr">
        <is>
          <t>Operational Control</t>
        </is>
      </c>
      <c r="Q716" s="2" t="inlineStr">
        <is>
          <t>Operational Control</t>
        </is>
      </c>
      <c r="R716" s="2" t="inlineStr">
        <is>
          <t>Transport &amp; Infrastructure (T&amp;I)</t>
        </is>
      </c>
      <c r="S716" s="2" t="inlineStr">
        <is>
          <t>Downer</t>
        </is>
      </c>
      <c r="T716" s="2" t="n">
        <v>100</v>
      </c>
      <c r="W716" s="2" t="inlineStr">
        <is>
          <t>Classification</t>
        </is>
      </c>
    </row>
    <row r="717">
      <c r="A717" s="2" t="inlineStr">
        <is>
          <t>Downer</t>
        </is>
      </c>
      <c r="B717" s="2" t="inlineStr">
        <is>
          <t>55 - Road Maintenance_Cartage Subcontractors</t>
        </is>
      </c>
      <c r="C717" s="2" t="inlineStr">
        <is>
          <t>Other</t>
        </is>
      </c>
      <c r="D717" s="2" t="inlineStr">
        <is>
          <t>L9.DNZJ.55000</t>
        </is>
      </c>
      <c r="E717" s="2" t="inlineStr">
        <is>
          <t>L9.DNZJ.55000</t>
        </is>
      </c>
      <c r="M717" s="2" t="inlineStr">
        <is>
          <t>Auckland City</t>
        </is>
      </c>
      <c r="N717" s="2" t="inlineStr">
        <is>
          <t>New Zealand</t>
        </is>
      </c>
      <c r="P717" s="2" t="inlineStr">
        <is>
          <t>Operational Control</t>
        </is>
      </c>
      <c r="Q717" s="2" t="inlineStr">
        <is>
          <t>Operational Control</t>
        </is>
      </c>
      <c r="R717" s="2" t="inlineStr">
        <is>
          <t>Transport &amp; Infrastructure (T&amp;I)</t>
        </is>
      </c>
      <c r="S717" s="2" t="inlineStr">
        <is>
          <t>Downer</t>
        </is>
      </c>
      <c r="T717" s="2" t="n">
        <v>100</v>
      </c>
      <c r="W717" s="2" t="inlineStr">
        <is>
          <t>Classification</t>
        </is>
      </c>
    </row>
    <row r="718">
      <c r="A718" s="2" t="inlineStr">
        <is>
          <t>Downer</t>
        </is>
      </c>
      <c r="B718" s="2" t="inlineStr">
        <is>
          <t>55 - Road Maintenance_Other Subcontractors</t>
        </is>
      </c>
      <c r="C718" s="2" t="inlineStr">
        <is>
          <t>Other</t>
        </is>
      </c>
      <c r="D718" s="2" t="inlineStr">
        <is>
          <t>L9.DNZJ.55223</t>
        </is>
      </c>
      <c r="E718" s="2" t="inlineStr">
        <is>
          <t>L9.DNZJ.55223</t>
        </is>
      </c>
      <c r="M718" s="2" t="inlineStr">
        <is>
          <t>Auckland City</t>
        </is>
      </c>
      <c r="N718" s="2" t="inlineStr">
        <is>
          <t>New Zealand</t>
        </is>
      </c>
      <c r="P718" s="2" t="inlineStr">
        <is>
          <t>Operational Control</t>
        </is>
      </c>
      <c r="Q718" s="2" t="inlineStr">
        <is>
          <t>Operational Control</t>
        </is>
      </c>
      <c r="R718" s="2" t="inlineStr">
        <is>
          <t>Transport &amp; Infrastructure (T&amp;I)</t>
        </is>
      </c>
      <c r="S718" s="2" t="inlineStr">
        <is>
          <t>Downer</t>
        </is>
      </c>
      <c r="T718" s="2" t="n">
        <v>100</v>
      </c>
      <c r="W718" s="2" t="inlineStr">
        <is>
          <t>Classification</t>
        </is>
      </c>
    </row>
    <row r="719">
      <c r="A719" s="2" t="inlineStr">
        <is>
          <t>Downer</t>
        </is>
      </c>
      <c r="B719" s="2" t="inlineStr">
        <is>
          <t>567 Collins St - Level 10</t>
        </is>
      </c>
      <c r="C719" s="2" t="inlineStr">
        <is>
          <t>Office</t>
        </is>
      </c>
      <c r="D719" s="2" t="inlineStr">
        <is>
          <t>L9.J.10920008</t>
        </is>
      </c>
      <c r="E719" s="2" t="n">
        <v>1005</v>
      </c>
      <c r="F719" s="2" t="n">
        <v>49</v>
      </c>
      <c r="G719" s="2" t="inlineStr">
        <is>
          <t>303 Collins st office closed 30/06/2017. Collins St Office Reopened August 2015- renamed "Melbourne Collins St Office" and ANZSIC changed to 729. Previously named "Collins Street Rail Office" DI-Rail Infrastructure office closed 30/06/2014, occupied by other party until 2015.</t>
        </is>
      </c>
      <c r="H719" s="2" t="inlineStr">
        <is>
          <t>Level 10 567 Collins St</t>
        </is>
      </c>
      <c r="I719" s="2" t="inlineStr">
        <is>
          <t>Melbourne</t>
        </is>
      </c>
      <c r="J719" s="2" t="inlineStr">
        <is>
          <t>VIC</t>
        </is>
      </c>
      <c r="K719" s="2" t="n">
        <v>3000</v>
      </c>
      <c r="L719" s="2" t="inlineStr">
        <is>
          <t>Australia</t>
        </is>
      </c>
      <c r="M719" s="2" t="inlineStr">
        <is>
          <t>Melbourne</t>
        </is>
      </c>
      <c r="N719" s="2" t="inlineStr">
        <is>
          <t>Australia</t>
        </is>
      </c>
      <c r="P719" s="2" t="inlineStr">
        <is>
          <t>Operational Control</t>
        </is>
      </c>
      <c r="Q719" s="2" t="inlineStr">
        <is>
          <t>Operational Control</t>
        </is>
      </c>
      <c r="R719" s="2" t="inlineStr">
        <is>
          <t>Corporate</t>
        </is>
      </c>
      <c r="S719" s="2" t="inlineStr">
        <is>
          <t>Downer</t>
        </is>
      </c>
      <c r="T719" s="2" t="n">
        <v>100</v>
      </c>
      <c r="W719" s="2" t="inlineStr">
        <is>
          <t>Classification</t>
        </is>
      </c>
      <c r="X719" s="2" t="n">
        <v>-37.819038</v>
      </c>
      <c r="Y719" s="2" t="n">
        <v>144.955774</v>
      </c>
      <c r="Z719" s="2" t="n">
        <v>729</v>
      </c>
    </row>
    <row r="720">
      <c r="A720" s="2" t="inlineStr">
        <is>
          <t>Downer</t>
        </is>
      </c>
      <c r="B720" s="2" t="inlineStr">
        <is>
          <t>567 Collins St - Level 5</t>
        </is>
      </c>
      <c r="C720" s="2" t="inlineStr">
        <is>
          <t>Office</t>
        </is>
      </c>
      <c r="D720" s="2" t="inlineStr">
        <is>
          <t>L9.J.10920014</t>
        </is>
      </c>
      <c r="E720" s="2" t="n">
        <v>1014</v>
      </c>
      <c r="H720" s="2" t="inlineStr">
        <is>
          <t>Level 5 567 Collins Street</t>
        </is>
      </c>
      <c r="I720" s="2" t="inlineStr">
        <is>
          <t>Melbourne</t>
        </is>
      </c>
      <c r="J720" s="2" t="inlineStr">
        <is>
          <t>VIC</t>
        </is>
      </c>
      <c r="K720" s="2" t="n">
        <v>3000</v>
      </c>
      <c r="L720" s="2" t="inlineStr">
        <is>
          <t>Australia</t>
        </is>
      </c>
      <c r="M720" s="2" t="inlineStr">
        <is>
          <t>Melbourne</t>
        </is>
      </c>
      <c r="N720" s="2" t="inlineStr">
        <is>
          <t>Australia</t>
        </is>
      </c>
      <c r="P720" s="2" t="inlineStr">
        <is>
          <t>Operational Control</t>
        </is>
      </c>
      <c r="Q720" s="2" t="inlineStr">
        <is>
          <t>Operational Control</t>
        </is>
      </c>
      <c r="R720" s="2" t="inlineStr">
        <is>
          <t>Corporate</t>
        </is>
      </c>
      <c r="S720" s="2" t="inlineStr">
        <is>
          <t>Downer</t>
        </is>
      </c>
      <c r="T720" s="2" t="n">
        <v>100</v>
      </c>
      <c r="W720" s="2" t="inlineStr">
        <is>
          <t>Classification</t>
        </is>
      </c>
      <c r="X720" s="2" t="n">
        <v>-37.819038</v>
      </c>
      <c r="Y720" s="2" t="n">
        <v>144.955774</v>
      </c>
      <c r="Z720" s="2" t="n">
        <v>729</v>
      </c>
      <c r="AA720" s="11" t="n">
        <v>42928</v>
      </c>
    </row>
    <row r="721">
      <c r="A721" s="2" t="inlineStr">
        <is>
          <t>Downer</t>
        </is>
      </c>
      <c r="B721" s="2" t="inlineStr">
        <is>
          <t>57 - NZ Transport &amp; Infrastructure_Other Subcontractors</t>
        </is>
      </c>
      <c r="C721" s="2" t="inlineStr">
        <is>
          <t>Other</t>
        </is>
      </c>
      <c r="D721" s="2" t="inlineStr">
        <is>
          <t>L9.DNZJ.57989</t>
        </is>
      </c>
      <c r="E721" s="2" t="inlineStr">
        <is>
          <t>L9.DNZJ.57989</t>
        </is>
      </c>
      <c r="M721" s="2" t="inlineStr">
        <is>
          <t>Auckland City</t>
        </is>
      </c>
      <c r="N721" s="2" t="inlineStr">
        <is>
          <t>New Zealand</t>
        </is>
      </c>
      <c r="P721" s="2" t="inlineStr">
        <is>
          <t>Operational Control</t>
        </is>
      </c>
      <c r="Q721" s="2" t="inlineStr">
        <is>
          <t>Operational Control</t>
        </is>
      </c>
      <c r="R721" s="2" t="inlineStr">
        <is>
          <t>Transport &amp; Infrastructure (T&amp;I)</t>
        </is>
      </c>
      <c r="S721" s="2" t="inlineStr">
        <is>
          <t>Downer</t>
        </is>
      </c>
      <c r="T721" s="2" t="n">
        <v>100</v>
      </c>
      <c r="W721" s="2" t="inlineStr">
        <is>
          <t>Classification</t>
        </is>
      </c>
    </row>
    <row r="722">
      <c r="A722" s="2" t="inlineStr">
        <is>
          <t>Downer</t>
        </is>
      </c>
      <c r="B722" s="2" t="inlineStr">
        <is>
          <t>66 - Downer Facilities Services_Other Subcontractors</t>
        </is>
      </c>
      <c r="C722" s="2" t="inlineStr">
        <is>
          <t>Other</t>
        </is>
      </c>
      <c r="D722" s="2" t="inlineStr">
        <is>
          <t>L9.DNZJ.57990</t>
        </is>
      </c>
      <c r="E722" s="2" t="inlineStr">
        <is>
          <t>L9.DNZJ.57990</t>
        </is>
      </c>
      <c r="M722" s="2" t="inlineStr">
        <is>
          <t>Auckland City</t>
        </is>
      </c>
      <c r="N722" s="2" t="inlineStr">
        <is>
          <t>New Zealand</t>
        </is>
      </c>
      <c r="P722" s="2" t="inlineStr">
        <is>
          <t>Operational Control</t>
        </is>
      </c>
      <c r="Q722" s="2" t="inlineStr">
        <is>
          <t>Operational Control</t>
        </is>
      </c>
      <c r="R722" s="2" t="inlineStr">
        <is>
          <t>Transport &amp; Infrastructure (T&amp;I)</t>
        </is>
      </c>
      <c r="S722" s="2" t="inlineStr">
        <is>
          <t>Downer</t>
        </is>
      </c>
      <c r="T722" s="2" t="n">
        <v>100</v>
      </c>
      <c r="W722" s="2" t="inlineStr">
        <is>
          <t>Classification</t>
        </is>
      </c>
    </row>
    <row r="723">
      <c r="A723" s="2" t="inlineStr">
        <is>
          <t>Downer</t>
        </is>
      </c>
      <c r="B723" s="2" t="inlineStr">
        <is>
          <t>67 - Bio Security_Other Subcontractors</t>
        </is>
      </c>
      <c r="C723" s="2" t="inlineStr">
        <is>
          <t>Other</t>
        </is>
      </c>
      <c r="D723" s="2" t="inlineStr">
        <is>
          <t>L9.DNZJ.559133</t>
        </is>
      </c>
      <c r="E723" s="2" t="inlineStr">
        <is>
          <t>L9.DNZJ.559133</t>
        </is>
      </c>
      <c r="M723" s="2" t="inlineStr">
        <is>
          <t>Auckland City</t>
        </is>
      </c>
      <c r="N723" s="2" t="inlineStr">
        <is>
          <t>New Zealand</t>
        </is>
      </c>
      <c r="P723" s="2" t="inlineStr">
        <is>
          <t>Operational Control</t>
        </is>
      </c>
      <c r="Q723" s="2" t="inlineStr">
        <is>
          <t>Operational Control</t>
        </is>
      </c>
      <c r="R723" s="2" t="inlineStr">
        <is>
          <t>Transport &amp; Infrastructure (T&amp;I)</t>
        </is>
      </c>
      <c r="S723" s="2" t="inlineStr">
        <is>
          <t>Downer</t>
        </is>
      </c>
      <c r="T723" s="2" t="n">
        <v>100</v>
      </c>
      <c r="W723" s="2" t="inlineStr">
        <is>
          <t>Classification</t>
        </is>
      </c>
    </row>
    <row r="724">
      <c r="A724" s="2" t="inlineStr">
        <is>
          <t>Downer</t>
        </is>
      </c>
      <c r="B724" s="2" t="inlineStr">
        <is>
          <t>778 SH29 - Tauriko West Enabling Works</t>
        </is>
      </c>
      <c r="C724" s="2" t="inlineStr">
        <is>
          <t>Depot</t>
        </is>
      </c>
      <c r="D724" s="2" t="inlineStr">
        <is>
          <t>L9.DNZJ.553912</t>
        </is>
      </c>
      <c r="E724" s="2" t="inlineStr">
        <is>
          <t>L9.DNZJ.553912</t>
        </is>
      </c>
      <c r="M724" s="2" t="inlineStr">
        <is>
          <t>Bay of Plenty</t>
        </is>
      </c>
      <c r="N724" s="2" t="inlineStr">
        <is>
          <t>New Zealand</t>
        </is>
      </c>
      <c r="P724" s="2" t="inlineStr">
        <is>
          <t>Operational Control</t>
        </is>
      </c>
      <c r="Q724" s="2" t="inlineStr">
        <is>
          <t>Operational Control</t>
        </is>
      </c>
      <c r="R724" s="2" t="inlineStr">
        <is>
          <t>Transport &amp; Infrastructure (T&amp;I)</t>
        </is>
      </c>
      <c r="S724" s="2" t="inlineStr">
        <is>
          <t>Downer</t>
        </is>
      </c>
      <c r="T724" s="2" t="n">
        <v>100</v>
      </c>
      <c r="W724" s="2" t="inlineStr">
        <is>
          <t>Classification</t>
        </is>
      </c>
    </row>
    <row r="725">
      <c r="A725" s="2" t="inlineStr">
        <is>
          <t>Downer</t>
        </is>
      </c>
      <c r="B725" s="2" t="inlineStr">
        <is>
          <t>80 - Pacific Region_Cartage Subcontractors</t>
        </is>
      </c>
      <c r="C725" s="2" t="inlineStr">
        <is>
          <t>Other</t>
        </is>
      </c>
      <c r="D725" s="2" t="inlineStr">
        <is>
          <t>L9.DNZJ.3515</t>
        </is>
      </c>
      <c r="E725" s="2" t="inlineStr">
        <is>
          <t>L9.DNZJ.3515</t>
        </is>
      </c>
      <c r="M725" s="2" t="inlineStr">
        <is>
          <t>Auckland City</t>
        </is>
      </c>
      <c r="N725" s="2" t="inlineStr">
        <is>
          <t>New Zealand</t>
        </is>
      </c>
      <c r="P725" s="2" t="inlineStr">
        <is>
          <t>Operational Control</t>
        </is>
      </c>
      <c r="Q725" s="2" t="inlineStr">
        <is>
          <t>Operational Control</t>
        </is>
      </c>
      <c r="R725" s="2" t="inlineStr">
        <is>
          <t>Transport &amp; Infrastructure (T&amp;I)</t>
        </is>
      </c>
      <c r="S725" s="2" t="inlineStr">
        <is>
          <t>Downer</t>
        </is>
      </c>
      <c r="T725" s="2" t="n">
        <v>100</v>
      </c>
      <c r="W725" s="2" t="inlineStr">
        <is>
          <t>Classification</t>
        </is>
      </c>
    </row>
    <row r="726">
      <c r="A726" s="2" t="inlineStr">
        <is>
          <t>Downer</t>
        </is>
      </c>
      <c r="B726" s="2" t="inlineStr">
        <is>
          <t>80 - Pacific Region_Other Subcontractors</t>
        </is>
      </c>
      <c r="C726" s="2" t="inlineStr">
        <is>
          <t>Other</t>
        </is>
      </c>
      <c r="D726" s="2" t="inlineStr">
        <is>
          <t>L9.DNZJ.300203</t>
        </is>
      </c>
      <c r="E726" s="2" t="inlineStr">
        <is>
          <t>L9.DNZJ.300203</t>
        </is>
      </c>
      <c r="M726" s="2" t="inlineStr">
        <is>
          <t>Niue</t>
        </is>
      </c>
      <c r="N726" s="2" t="inlineStr">
        <is>
          <t>Niue</t>
        </is>
      </c>
      <c r="P726" s="2" t="inlineStr">
        <is>
          <t>Operational Control</t>
        </is>
      </c>
      <c r="Q726" s="2" t="inlineStr">
        <is>
          <t>Operational Control</t>
        </is>
      </c>
      <c r="R726" s="2" t="inlineStr">
        <is>
          <t>Transport &amp; Infrastructure (T&amp;I)</t>
        </is>
      </c>
      <c r="S726" s="2" t="inlineStr">
        <is>
          <t>Downer</t>
        </is>
      </c>
      <c r="T726" s="2" t="n">
        <v>100</v>
      </c>
      <c r="W726" s="2" t="inlineStr">
        <is>
          <t>Classification</t>
        </is>
      </c>
    </row>
    <row r="727">
      <c r="A727" s="2" t="inlineStr">
        <is>
          <t>Downer</t>
        </is>
      </c>
      <c r="B727" s="2" t="inlineStr">
        <is>
          <t>81 - Major Projects - Southern_Cartage Subcontractors</t>
        </is>
      </c>
      <c r="C727" s="2" t="inlineStr">
        <is>
          <t>Other</t>
        </is>
      </c>
      <c r="D727" s="2" t="inlineStr">
        <is>
          <t>L9.DNZJ.8114</t>
        </is>
      </c>
      <c r="E727" s="2" t="inlineStr">
        <is>
          <t>L9.DNZJ.8114</t>
        </is>
      </c>
      <c r="M727" s="2" t="inlineStr">
        <is>
          <t>Auckland City</t>
        </is>
      </c>
      <c r="N727" s="2" t="inlineStr">
        <is>
          <t>New Zealand</t>
        </is>
      </c>
      <c r="P727" s="2" t="inlineStr">
        <is>
          <t>Operational Control</t>
        </is>
      </c>
      <c r="Q727" s="2" t="inlineStr">
        <is>
          <t>Operational Control</t>
        </is>
      </c>
      <c r="R727" s="2" t="inlineStr">
        <is>
          <t>Transport &amp; Infrastructure (T&amp;I)</t>
        </is>
      </c>
      <c r="S727" s="2" t="inlineStr">
        <is>
          <t>Downer</t>
        </is>
      </c>
      <c r="T727" s="2" t="n">
        <v>100</v>
      </c>
      <c r="W727" s="2" t="inlineStr">
        <is>
          <t>Classification</t>
        </is>
      </c>
    </row>
    <row r="728">
      <c r="A728" s="2" t="inlineStr">
        <is>
          <t>Downer</t>
        </is>
      </c>
      <c r="B728" s="2" t="inlineStr">
        <is>
          <t>81 - Major Projects - Southern_Other Subcontractors</t>
        </is>
      </c>
      <c r="C728" s="2" t="inlineStr">
        <is>
          <t>Other</t>
        </is>
      </c>
      <c r="D728" s="2" t="inlineStr">
        <is>
          <t>L9.DNZJ.812657</t>
        </is>
      </c>
      <c r="E728" s="2" t="inlineStr">
        <is>
          <t>L9.DNZJ.812657</t>
        </is>
      </c>
      <c r="M728" s="2" t="inlineStr">
        <is>
          <t>Christchurch</t>
        </is>
      </c>
      <c r="N728" s="2" t="inlineStr">
        <is>
          <t>New Zealand</t>
        </is>
      </c>
      <c r="P728" s="2" t="inlineStr">
        <is>
          <t>Operational Control</t>
        </is>
      </c>
      <c r="Q728" s="2" t="inlineStr">
        <is>
          <t>Operational Control</t>
        </is>
      </c>
      <c r="R728" s="2" t="inlineStr">
        <is>
          <t>Transport &amp; Infrastructure (T&amp;I)</t>
        </is>
      </c>
      <c r="S728" s="2" t="inlineStr">
        <is>
          <t>Downer</t>
        </is>
      </c>
      <c r="T728" s="2" t="n">
        <v>100</v>
      </c>
      <c r="W728" s="2" t="inlineStr">
        <is>
          <t>Classification</t>
        </is>
      </c>
    </row>
    <row r="729">
      <c r="A729" s="2" t="inlineStr">
        <is>
          <t>Downer</t>
        </is>
      </c>
      <c r="B729" s="2" t="inlineStr">
        <is>
          <t>88 - Major Projects_Cartage Subcontractors</t>
        </is>
      </c>
      <c r="C729" s="2" t="inlineStr">
        <is>
          <t>Other</t>
        </is>
      </c>
      <c r="D729" s="2" t="inlineStr">
        <is>
          <t>L9.DNZJ.881195</t>
        </is>
      </c>
      <c r="E729" s="2" t="inlineStr">
        <is>
          <t>L9.DNZJ.881195</t>
        </is>
      </c>
      <c r="M729" s="2" t="inlineStr">
        <is>
          <t>Auckland City</t>
        </is>
      </c>
      <c r="N729" s="2" t="inlineStr">
        <is>
          <t>New Zealand</t>
        </is>
      </c>
      <c r="P729" s="2" t="inlineStr">
        <is>
          <t>Operational Control</t>
        </is>
      </c>
      <c r="Q729" s="2" t="inlineStr">
        <is>
          <t>Operational Control</t>
        </is>
      </c>
      <c r="R729" s="2" t="inlineStr">
        <is>
          <t>Transport &amp; Infrastructure (T&amp;I)</t>
        </is>
      </c>
      <c r="S729" s="2" t="inlineStr">
        <is>
          <t>Downer</t>
        </is>
      </c>
      <c r="T729" s="2" t="n">
        <v>100</v>
      </c>
      <c r="W729" s="2" t="inlineStr">
        <is>
          <t>Classification</t>
        </is>
      </c>
    </row>
    <row r="730">
      <c r="A730" s="2" t="inlineStr">
        <is>
          <t>Downer</t>
        </is>
      </c>
      <c r="B730" s="2" t="inlineStr">
        <is>
          <t>88 - Major Projects_Other Subcontractors</t>
        </is>
      </c>
      <c r="C730" s="2" t="inlineStr">
        <is>
          <t>Other</t>
        </is>
      </c>
      <c r="D730" s="2" t="inlineStr">
        <is>
          <t>L9.DNZJ.881187</t>
        </is>
      </c>
      <c r="E730" s="2" t="inlineStr">
        <is>
          <t>L9.DNZJ.881187</t>
        </is>
      </c>
      <c r="M730" s="2" t="inlineStr">
        <is>
          <t>Auckland City</t>
        </is>
      </c>
      <c r="N730" s="2" t="inlineStr">
        <is>
          <t>New Zealand</t>
        </is>
      </c>
      <c r="P730" s="2" t="inlineStr">
        <is>
          <t>Operational Control</t>
        </is>
      </c>
      <c r="Q730" s="2" t="inlineStr">
        <is>
          <t>Operational Control</t>
        </is>
      </c>
      <c r="R730" s="2" t="inlineStr">
        <is>
          <t>Transport &amp; Infrastructure (T&amp;I)</t>
        </is>
      </c>
      <c r="S730" s="2" t="inlineStr">
        <is>
          <t>Downer</t>
        </is>
      </c>
      <c r="T730" s="2" t="n">
        <v>100</v>
      </c>
      <c r="W730" s="2" t="inlineStr">
        <is>
          <t>Classification</t>
        </is>
      </c>
    </row>
    <row r="731">
      <c r="A731" s="2" t="inlineStr">
        <is>
          <t>Downer</t>
        </is>
      </c>
      <c r="B731" s="2" t="inlineStr">
        <is>
          <t>959 Abernethy Rd</t>
        </is>
      </c>
      <c r="C731" s="2" t="inlineStr">
        <is>
          <t>Office</t>
        </is>
      </c>
      <c r="D731" s="2" t="inlineStr">
        <is>
          <t>L9.J.109203</t>
        </is>
      </c>
      <c r="E731" s="2" t="n">
        <v>109203</v>
      </c>
      <c r="M731" s="2" t="inlineStr">
        <is>
          <t>Western Australia</t>
        </is>
      </c>
      <c r="N731" s="2" t="inlineStr">
        <is>
          <t>Australia</t>
        </is>
      </c>
      <c r="P731" s="2" t="inlineStr">
        <is>
          <t>Operational Control</t>
        </is>
      </c>
      <c r="Q731" s="2" t="inlineStr">
        <is>
          <t>Operational Control</t>
        </is>
      </c>
      <c r="R731" s="2" t="inlineStr">
        <is>
          <t>Corporate</t>
        </is>
      </c>
      <c r="S731" s="2" t="inlineStr">
        <is>
          <t>Downer</t>
        </is>
      </c>
      <c r="T731" s="2" t="n">
        <v>100</v>
      </c>
      <c r="W731" s="2" t="inlineStr">
        <is>
          <t>Classification</t>
        </is>
      </c>
    </row>
    <row r="732">
      <c r="A732" s="2" t="inlineStr">
        <is>
          <t>Downer</t>
        </is>
      </c>
      <c r="B732" s="2" t="inlineStr">
        <is>
          <t>95a Tirangi Road Wellington, Project Site</t>
        </is>
      </c>
      <c r="C732" s="2" t="inlineStr">
        <is>
          <t>Project</t>
        </is>
      </c>
      <c r="D732" s="2" t="inlineStr">
        <is>
          <t>L9.DNZJ.DS2675</t>
        </is>
      </c>
      <c r="E732" s="2" t="inlineStr">
        <is>
          <t>L9.DNZJ.DS2675</t>
        </is>
      </c>
      <c r="M732" s="2" t="inlineStr">
        <is>
          <t>Wellington</t>
        </is>
      </c>
      <c r="N732" s="2" t="inlineStr">
        <is>
          <t>New Zealand</t>
        </is>
      </c>
      <c r="P732" s="2" t="inlineStr">
        <is>
          <t>Operational Control</t>
        </is>
      </c>
      <c r="Q732" s="2" t="inlineStr">
        <is>
          <t>Operational Control</t>
        </is>
      </c>
      <c r="R732" s="2" t="inlineStr">
        <is>
          <t>Transport &amp; Infrastructure (T&amp;I)</t>
        </is>
      </c>
      <c r="S732" s="2" t="inlineStr">
        <is>
          <t>Downer</t>
        </is>
      </c>
      <c r="T732" s="2" t="n">
        <v>100</v>
      </c>
      <c r="W732" s="2" t="inlineStr">
        <is>
          <t>Classification</t>
        </is>
      </c>
    </row>
    <row r="733">
      <c r="A733" s="2" t="inlineStr">
        <is>
          <t>Downer</t>
        </is>
      </c>
      <c r="B733" s="2" t="inlineStr">
        <is>
          <t>AD&amp;S - Circuit Shaw Warehouse</t>
        </is>
      </c>
      <c r="C733" s="2" t="inlineStr">
        <is>
          <t>Retail, Warehouse</t>
        </is>
      </c>
      <c r="D733" s="2" t="inlineStr">
        <is>
          <t>L9.S.13001040</t>
        </is>
      </c>
      <c r="E733" s="2" t="inlineStr">
        <is>
          <t>L9.S.13001040</t>
        </is>
      </c>
      <c r="G733" s="2" t="inlineStr">
        <is>
          <t>Previous warehouse was "Spotless - Mount Louisa"</t>
        </is>
      </c>
      <c r="M733" s="2" t="inlineStr">
        <is>
          <t>Queensland</t>
        </is>
      </c>
      <c r="N733" s="2" t="inlineStr">
        <is>
          <t>Australia</t>
        </is>
      </c>
      <c r="P733" s="2" t="inlineStr">
        <is>
          <t>Operational Control</t>
        </is>
      </c>
      <c r="Q733" s="2" t="inlineStr">
        <is>
          <t>Operational Control</t>
        </is>
      </c>
      <c r="R733" s="2" t="inlineStr">
        <is>
          <t>Asset &amp; Development Services (Baseline)</t>
        </is>
      </c>
      <c r="S733" s="2" t="inlineStr">
        <is>
          <t>Downer</t>
        </is>
      </c>
      <c r="T733" s="2" t="n">
        <v>100</v>
      </c>
      <c r="V733" s="11" t="n">
        <v>45107</v>
      </c>
      <c r="W733" s="2" t="inlineStr">
        <is>
          <t>Classification</t>
        </is>
      </c>
    </row>
    <row r="734">
      <c r="A734" s="2" t="inlineStr">
        <is>
          <t>Downer</t>
        </is>
      </c>
      <c r="B734" s="2" t="inlineStr">
        <is>
          <t>Admin - Pacific Recharges</t>
        </is>
      </c>
      <c r="C734" s="2" t="inlineStr">
        <is>
          <t>Other</t>
        </is>
      </c>
      <c r="D734" s="2" t="inlineStr">
        <is>
          <t>L9.DNZJ.8002</t>
        </is>
      </c>
      <c r="E734" s="2" t="n">
        <v>8002</v>
      </c>
      <c r="M734" s="2" t="inlineStr">
        <is>
          <t>Auckland</t>
        </is>
      </c>
      <c r="N734" s="2" t="inlineStr">
        <is>
          <t>New Zealand</t>
        </is>
      </c>
      <c r="P734" s="2" t="inlineStr">
        <is>
          <t>Operational Control</t>
        </is>
      </c>
      <c r="Q734" s="2" t="inlineStr">
        <is>
          <t>Operational Control</t>
        </is>
      </c>
      <c r="R734" s="2" t="inlineStr">
        <is>
          <t>Transport &amp; Infrastructure (T&amp;I)</t>
        </is>
      </c>
      <c r="S734" s="2" t="inlineStr">
        <is>
          <t>Downer</t>
        </is>
      </c>
      <c r="T734" s="2" t="n">
        <v>100</v>
      </c>
      <c r="W734" s="2" t="inlineStr">
        <is>
          <t>Classification</t>
        </is>
      </c>
    </row>
    <row r="735">
      <c r="A735" s="2" t="inlineStr">
        <is>
          <t>Downer</t>
        </is>
      </c>
      <c r="B735" s="2" t="inlineStr">
        <is>
          <t>Administration Dept</t>
        </is>
      </c>
      <c r="C735" s="2" t="inlineStr">
        <is>
          <t>Other</t>
        </is>
      </c>
      <c r="D735" s="2" t="inlineStr">
        <is>
          <t>L9.DNZJ.3001</t>
        </is>
      </c>
      <c r="E735" s="2" t="n">
        <v>3001</v>
      </c>
      <c r="H735" s="2" t="inlineStr">
        <is>
          <t>2A/13 Owens Place</t>
        </is>
      </c>
      <c r="I735" s="2" t="inlineStr">
        <is>
          <t>Mount Maunganui</t>
        </is>
      </c>
      <c r="J735" s="2" t="inlineStr">
        <is>
          <t>Mount Maunganui</t>
        </is>
      </c>
      <c r="K735" s="2" t="n">
        <v>3116</v>
      </c>
      <c r="L735" s="2" t="inlineStr">
        <is>
          <t>New Zealand</t>
        </is>
      </c>
      <c r="M735" s="2" t="inlineStr">
        <is>
          <t>Tauranga</t>
        </is>
      </c>
      <c r="N735" s="2" t="inlineStr">
        <is>
          <t>New Zealand</t>
        </is>
      </c>
      <c r="P735" s="2" t="inlineStr">
        <is>
          <t>Operational Control</t>
        </is>
      </c>
      <c r="Q735" s="2" t="inlineStr">
        <is>
          <t>Operational Control</t>
        </is>
      </c>
      <c r="R735" s="2" t="inlineStr">
        <is>
          <t>Transport &amp; Infrastructure (T&amp;I)</t>
        </is>
      </c>
      <c r="S735" s="2" t="inlineStr">
        <is>
          <t>Downer</t>
        </is>
      </c>
      <c r="T735" s="2" t="n">
        <v>100</v>
      </c>
      <c r="W735" s="2" t="inlineStr">
        <is>
          <t>Classification</t>
        </is>
      </c>
      <c r="X735" s="2" t="n">
        <v>-37.6788</v>
      </c>
      <c r="Y735" s="2" t="n">
        <v>176.2206</v>
      </c>
    </row>
    <row r="736">
      <c r="A736" s="2" t="inlineStr">
        <is>
          <t>Downer</t>
        </is>
      </c>
      <c r="B736" s="2" t="inlineStr">
        <is>
          <t>AE Smith - Dandenong South</t>
        </is>
      </c>
      <c r="C736" s="2" t="inlineStr">
        <is>
          <t>Office</t>
        </is>
      </c>
      <c r="D736" s="2" t="inlineStr">
        <is>
          <t>L9.S.16015130</t>
        </is>
      </c>
      <c r="E736" s="2" t="n">
        <v>9215</v>
      </c>
      <c r="G736" s="2" t="inlineStr">
        <is>
          <t>Moved from Scoresby Office</t>
        </is>
      </c>
      <c r="H736" s="2" t="inlineStr">
        <is>
          <t>21 VILLAS RD</t>
        </is>
      </c>
      <c r="I736" s="2" t="inlineStr">
        <is>
          <t>DANDENONG SOUTH</t>
        </is>
      </c>
      <c r="J736" s="2" t="inlineStr">
        <is>
          <t>VIC</t>
        </is>
      </c>
      <c r="K736" s="2" t="n">
        <v>3175</v>
      </c>
      <c r="M736" s="2" t="inlineStr">
        <is>
          <t>Victoria</t>
        </is>
      </c>
      <c r="N736" s="2" t="inlineStr">
        <is>
          <t>Australia</t>
        </is>
      </c>
      <c r="P736" s="2" t="inlineStr">
        <is>
          <t>Operational Control</t>
        </is>
      </c>
      <c r="Q736" s="2" t="inlineStr">
        <is>
          <t>Operational Control</t>
        </is>
      </c>
      <c r="R736" s="2" t="inlineStr">
        <is>
          <t>Asset &amp; Development Services (Baseline)</t>
        </is>
      </c>
      <c r="S736" s="2" t="inlineStr">
        <is>
          <t>Downer</t>
        </is>
      </c>
      <c r="T736" s="2" t="n">
        <v>100</v>
      </c>
      <c r="V736" s="11" t="n">
        <v>45107</v>
      </c>
      <c r="W736" s="2" t="inlineStr">
        <is>
          <t>Classification</t>
        </is>
      </c>
    </row>
    <row r="737">
      <c r="A737" s="2" t="inlineStr">
        <is>
          <t>Downer</t>
        </is>
      </c>
      <c r="B737" s="2" t="inlineStr">
        <is>
          <t>AE Smith - Kawana</t>
        </is>
      </c>
      <c r="C737" s="2" t="inlineStr">
        <is>
          <t>Retail, Warehouse</t>
        </is>
      </c>
      <c r="D737" s="2" t="inlineStr">
        <is>
          <t>L9.S.13001053</t>
        </is>
      </c>
      <c r="E737" s="2" t="n">
        <v>9033</v>
      </c>
      <c r="H737" s="2" t="inlineStr">
        <is>
          <t>28 Chappell Street</t>
        </is>
      </c>
      <c r="I737" s="2" t="inlineStr">
        <is>
          <t>Kawana</t>
        </is>
      </c>
      <c r="J737" s="2" t="inlineStr">
        <is>
          <t>QLD</t>
        </is>
      </c>
      <c r="K737" s="2" t="n">
        <v>4701</v>
      </c>
      <c r="M737" s="2" t="inlineStr">
        <is>
          <t>Queensland</t>
        </is>
      </c>
      <c r="N737" s="2" t="inlineStr">
        <is>
          <t>Australia</t>
        </is>
      </c>
      <c r="P737" s="2" t="inlineStr">
        <is>
          <t>Operational Control</t>
        </is>
      </c>
      <c r="Q737" s="2" t="inlineStr">
        <is>
          <t>Operational Control</t>
        </is>
      </c>
      <c r="R737" s="2" t="inlineStr">
        <is>
          <t>Asset &amp; Development Services (Baseline)</t>
        </is>
      </c>
      <c r="S737" s="2" t="inlineStr">
        <is>
          <t>Downer</t>
        </is>
      </c>
      <c r="T737" s="2" t="n">
        <v>100</v>
      </c>
      <c r="V737" s="11" t="n">
        <v>45107</v>
      </c>
      <c r="W737" s="2" t="inlineStr">
        <is>
          <t>Classification</t>
        </is>
      </c>
      <c r="X737" s="2" t="n">
        <v>-23.33672</v>
      </c>
      <c r="Y737" s="2" t="n">
        <v>150.509305</v>
      </c>
      <c r="Z737" s="2" t="n">
        <v>692</v>
      </c>
    </row>
    <row r="738">
      <c r="A738" s="2" t="inlineStr">
        <is>
          <t>Downer</t>
        </is>
      </c>
      <c r="B738" s="2" t="inlineStr">
        <is>
          <t>AE Smith - Molendinar</t>
        </is>
      </c>
      <c r="C738" s="2" t="inlineStr">
        <is>
          <t>Office / Warehouse</t>
        </is>
      </c>
      <c r="D738" s="2" t="inlineStr">
        <is>
          <t>L9.S.13001037</t>
        </is>
      </c>
      <c r="E738" s="2" t="n">
        <v>9126</v>
      </c>
      <c r="G738" s="2" t="inlineStr">
        <is>
          <t>UASG Office &amp; Warehouse Lease (10/5/17 to 9/5/2022)</t>
        </is>
      </c>
      <c r="H738" s="2" t="inlineStr">
        <is>
          <t>24 Export Drive</t>
        </is>
      </c>
      <c r="I738" s="2" t="inlineStr">
        <is>
          <t>Molendinar</t>
        </is>
      </c>
      <c r="J738" s="2" t="inlineStr">
        <is>
          <t>QLD</t>
        </is>
      </c>
      <c r="K738" s="2" t="n">
        <v>4214</v>
      </c>
      <c r="M738" s="2" t="inlineStr">
        <is>
          <t>Nerang</t>
        </is>
      </c>
      <c r="N738" s="2" t="inlineStr">
        <is>
          <t>Australia</t>
        </is>
      </c>
      <c r="P738" s="2" t="inlineStr">
        <is>
          <t>Operational Control</t>
        </is>
      </c>
      <c r="Q738" s="2" t="inlineStr">
        <is>
          <t>Operational Control</t>
        </is>
      </c>
      <c r="R738" s="2" t="inlineStr">
        <is>
          <t>Asset &amp; Development Services (Baseline)</t>
        </is>
      </c>
      <c r="S738" s="2" t="inlineStr">
        <is>
          <t>Downer</t>
        </is>
      </c>
      <c r="T738" s="2" t="n">
        <v>100</v>
      </c>
      <c r="V738" s="11" t="n">
        <v>45107</v>
      </c>
      <c r="W738" s="2" t="inlineStr">
        <is>
          <t>Classification</t>
        </is>
      </c>
      <c r="Z738" s="2" t="n">
        <v>692</v>
      </c>
    </row>
    <row r="739">
      <c r="A739" s="2" t="inlineStr">
        <is>
          <t>Downer</t>
        </is>
      </c>
      <c r="B739" s="2" t="inlineStr">
        <is>
          <t>AE Smith - Paget</t>
        </is>
      </c>
      <c r="C739" s="2" t="inlineStr">
        <is>
          <t>Branch Office</t>
        </is>
      </c>
      <c r="D739" s="2" t="inlineStr">
        <is>
          <t>L9.S.16015137</t>
        </is>
      </c>
      <c r="E739" s="2" t="n">
        <v>9017</v>
      </c>
      <c r="H739" s="2" t="inlineStr">
        <is>
          <t>13 Margaret Vella Dve</t>
        </is>
      </c>
      <c r="I739" s="2" t="inlineStr">
        <is>
          <t>Paget</t>
        </is>
      </c>
      <c r="J739" s="2" t="inlineStr">
        <is>
          <t>QLD</t>
        </is>
      </c>
      <c r="K739" s="2" t="n">
        <v>4740</v>
      </c>
      <c r="M739" s="2" t="inlineStr">
        <is>
          <t>Queensland</t>
        </is>
      </c>
      <c r="N739" s="2" t="inlineStr">
        <is>
          <t>Australia</t>
        </is>
      </c>
      <c r="P739" s="2" t="inlineStr">
        <is>
          <t>Operational Control</t>
        </is>
      </c>
      <c r="Q739" s="2" t="inlineStr">
        <is>
          <t>Operational Control</t>
        </is>
      </c>
      <c r="R739" s="2" t="inlineStr">
        <is>
          <t>Asset &amp; Development Services (Baseline)</t>
        </is>
      </c>
      <c r="S739" s="2" t="inlineStr">
        <is>
          <t>Downer</t>
        </is>
      </c>
      <c r="T739" s="2" t="n">
        <v>100</v>
      </c>
      <c r="V739" s="11" t="n">
        <v>45107</v>
      </c>
      <c r="W739" s="2" t="inlineStr">
        <is>
          <t>Classification</t>
        </is>
      </c>
      <c r="X739" s="2" t="n">
        <v>-21.171068</v>
      </c>
      <c r="Y739" s="2" t="n">
        <v>149.163403</v>
      </c>
      <c r="Z739" s="2" t="n">
        <v>692</v>
      </c>
    </row>
    <row r="740">
      <c r="A740" s="2" t="inlineStr">
        <is>
          <t>Downer</t>
        </is>
      </c>
      <c r="B740" s="2" t="inlineStr">
        <is>
          <t>AES NZ Construction 45003670</t>
        </is>
      </c>
      <c r="C740" s="2" t="inlineStr">
        <is>
          <t>Other</t>
        </is>
      </c>
      <c r="D740" s="2" t="inlineStr">
        <is>
          <t>L9.S.24000317</t>
        </is>
      </c>
      <c r="E740" s="2" t="n">
        <v>2000008001</v>
      </c>
      <c r="H740" s="2" t="inlineStr">
        <is>
          <t>130 Kerrs Road</t>
        </is>
      </c>
      <c r="I740" s="2" t="inlineStr">
        <is>
          <t>Wiri</t>
        </is>
      </c>
      <c r="J740" s="2" t="inlineStr">
        <is>
          <t>Auckland</t>
        </is>
      </c>
      <c r="K740" s="2" t="n">
        <v>2104</v>
      </c>
      <c r="L740" s="2" t="inlineStr">
        <is>
          <t>New Zealand</t>
        </is>
      </c>
      <c r="M740" s="2" t="inlineStr">
        <is>
          <t>Manurewa</t>
        </is>
      </c>
      <c r="N740" s="2" t="inlineStr">
        <is>
          <t>New Zealand</t>
        </is>
      </c>
      <c r="P740" s="2" t="inlineStr">
        <is>
          <t>Operational Control</t>
        </is>
      </c>
      <c r="Q740" s="2" t="inlineStr">
        <is>
          <t>Operational Control</t>
        </is>
      </c>
      <c r="R740" s="2" t="inlineStr">
        <is>
          <t>Social Infra &amp; Citizen Serv (SICS)</t>
        </is>
      </c>
      <c r="S740" s="2" t="inlineStr">
        <is>
          <t>Downer</t>
        </is>
      </c>
      <c r="T740" s="2" t="n">
        <v>100</v>
      </c>
      <c r="V740" s="11" t="n">
        <v>45291</v>
      </c>
      <c r="W740" s="2" t="inlineStr">
        <is>
          <t>Classification</t>
        </is>
      </c>
      <c r="X740" s="2" t="n">
        <v>-37.0083</v>
      </c>
      <c r="Y740" s="2" t="n">
        <v>174.8705</v>
      </c>
    </row>
    <row r="741">
      <c r="A741" s="2" t="inlineStr">
        <is>
          <t>Downer</t>
        </is>
      </c>
      <c r="B741" s="2" t="inlineStr">
        <is>
          <t>AES NZ Service Hub 4500xxxx</t>
        </is>
      </c>
      <c r="C741" s="2" t="inlineStr">
        <is>
          <t>Other</t>
        </is>
      </c>
      <c r="D741" s="2" t="inlineStr">
        <is>
          <t>L9.S.24000318</t>
        </is>
      </c>
      <c r="E741" s="2" t="n">
        <v>2000008003</v>
      </c>
      <c r="H741" s="2" t="inlineStr">
        <is>
          <t>130 Kerrs Road</t>
        </is>
      </c>
      <c r="I741" s="2" t="inlineStr">
        <is>
          <t>Wiri</t>
        </is>
      </c>
      <c r="J741" s="2" t="inlineStr">
        <is>
          <t>Auckland</t>
        </is>
      </c>
      <c r="K741" s="2" t="n">
        <v>2104</v>
      </c>
      <c r="L741" s="2" t="inlineStr">
        <is>
          <t>New Zealand</t>
        </is>
      </c>
      <c r="M741" s="2" t="inlineStr">
        <is>
          <t>Manurewa</t>
        </is>
      </c>
      <c r="N741" s="2" t="inlineStr">
        <is>
          <t>New Zealand</t>
        </is>
      </c>
      <c r="P741" s="2" t="inlineStr">
        <is>
          <t>Operational Control</t>
        </is>
      </c>
      <c r="Q741" s="2" t="inlineStr">
        <is>
          <t>Operational Control</t>
        </is>
      </c>
      <c r="R741" s="2" t="inlineStr">
        <is>
          <t>Social Infra &amp; Citizen Serv (SICS)</t>
        </is>
      </c>
      <c r="S741" s="2" t="inlineStr">
        <is>
          <t>Downer</t>
        </is>
      </c>
      <c r="T741" s="2" t="n">
        <v>100</v>
      </c>
      <c r="V741" s="11" t="n">
        <v>45291</v>
      </c>
      <c r="W741" s="2" t="inlineStr">
        <is>
          <t>Classification</t>
        </is>
      </c>
      <c r="X741" s="2" t="n">
        <v>-37.0083</v>
      </c>
      <c r="Y741" s="2" t="n">
        <v>174.8705</v>
      </c>
    </row>
    <row r="742">
      <c r="A742" s="2" t="inlineStr">
        <is>
          <t>Downer</t>
        </is>
      </c>
      <c r="B742" s="2" t="inlineStr">
        <is>
          <t>AIAL DP EARLY WORKS</t>
        </is>
      </c>
      <c r="C742" s="2" t="inlineStr">
        <is>
          <t>Airport</t>
        </is>
      </c>
      <c r="D742" s="2" t="inlineStr">
        <is>
          <t>L9.DNZ.HA0413</t>
        </is>
      </c>
      <c r="E742" s="2" t="inlineStr">
        <is>
          <t>JP_HA0413</t>
        </is>
      </c>
      <c r="G742" s="2" t="inlineStr">
        <is>
          <t>TI-NZT-BP.HA0413-AIAL DP Early Works</t>
        </is>
      </c>
      <c r="M742" s="2" t="inlineStr">
        <is>
          <t>Auckland</t>
        </is>
      </c>
      <c r="N742" s="2" t="inlineStr">
        <is>
          <t>New Zealand</t>
        </is>
      </c>
      <c r="P742" s="2" t="inlineStr">
        <is>
          <t>Operational Control</t>
        </is>
      </c>
      <c r="Q742" s="2" t="inlineStr">
        <is>
          <t>Operational Control</t>
        </is>
      </c>
      <c r="R742" s="2" t="inlineStr">
        <is>
          <t>Transport &amp; Infrastructure (T&amp;I)</t>
        </is>
      </c>
      <c r="S742" s="2" t="inlineStr">
        <is>
          <t>Downer</t>
        </is>
      </c>
      <c r="T742" s="2" t="n">
        <v>100</v>
      </c>
      <c r="W742" s="2" t="inlineStr">
        <is>
          <t>Classification</t>
        </is>
      </c>
    </row>
    <row r="743">
      <c r="A743" s="2" t="inlineStr">
        <is>
          <t>Downer</t>
        </is>
      </c>
      <c r="B743" s="2" t="inlineStr">
        <is>
          <t>Airport Office Balance Sheet</t>
        </is>
      </c>
      <c r="C743" s="2" t="inlineStr">
        <is>
          <t>Other</t>
        </is>
      </c>
      <c r="D743" s="2" t="inlineStr">
        <is>
          <t>L9.DNZJ.9000</t>
        </is>
      </c>
      <c r="E743" s="2" t="n">
        <v>9000</v>
      </c>
      <c r="G743" s="2" t="inlineStr">
        <is>
          <t>COR-NZHO.9000-Airport Office Balance Sheet</t>
        </is>
      </c>
      <c r="M743" s="2" t="inlineStr">
        <is>
          <t>Auckland</t>
        </is>
      </c>
      <c r="N743" s="2" t="inlineStr">
        <is>
          <t>New Zealand</t>
        </is>
      </c>
      <c r="P743" s="2" t="inlineStr">
        <is>
          <t>Operational Control</t>
        </is>
      </c>
      <c r="Q743" s="2" t="inlineStr">
        <is>
          <t>Operational Control</t>
        </is>
      </c>
      <c r="R743" s="2" t="inlineStr">
        <is>
          <t>Corporate</t>
        </is>
      </c>
      <c r="S743" s="2" t="inlineStr">
        <is>
          <t>Downer</t>
        </is>
      </c>
      <c r="T743" s="2" t="n">
        <v>100</v>
      </c>
      <c r="W743" s="2" t="inlineStr">
        <is>
          <t>Classification</t>
        </is>
      </c>
    </row>
    <row r="744">
      <c r="A744" s="2" t="inlineStr">
        <is>
          <t>Downer</t>
        </is>
      </c>
      <c r="B744" s="2" t="inlineStr">
        <is>
          <t>AKL Mobile Network Maintenance</t>
        </is>
      </c>
      <c r="C744" s="2" t="inlineStr">
        <is>
          <t>Other</t>
        </is>
      </c>
      <c r="D744" s="2" t="inlineStr">
        <is>
          <t>L9.DNZ.810.10.239</t>
        </is>
      </c>
      <c r="E744" s="2" t="n">
        <v>10239</v>
      </c>
      <c r="G744" s="2" t="n">
        <v>10.239</v>
      </c>
      <c r="H744" s="2" t="inlineStr">
        <is>
          <t>130 Kerrs Road</t>
        </is>
      </c>
      <c r="I744" s="2" t="inlineStr">
        <is>
          <t>Wiri</t>
        </is>
      </c>
      <c r="J744" s="2" t="inlineStr">
        <is>
          <t>Auckland</t>
        </is>
      </c>
      <c r="K744" s="2" t="n">
        <v>2104</v>
      </c>
      <c r="L744" s="2" t="inlineStr">
        <is>
          <t>New Zealand</t>
        </is>
      </c>
      <c r="M744" s="2" t="inlineStr">
        <is>
          <t>Manurewa</t>
        </is>
      </c>
      <c r="N744" s="2" t="inlineStr">
        <is>
          <t>New Zealand</t>
        </is>
      </c>
      <c r="P744" s="2" t="inlineStr">
        <is>
          <t>Operational Control</t>
        </is>
      </c>
      <c r="Q744" s="2" t="inlineStr">
        <is>
          <t>Operational Control</t>
        </is>
      </c>
      <c r="R744" s="2" t="inlineStr">
        <is>
          <t>Energy and Utilities (EU)</t>
        </is>
      </c>
      <c r="S744" s="2" t="inlineStr">
        <is>
          <t>Downer</t>
        </is>
      </c>
      <c r="T744" s="2" t="n">
        <v>100</v>
      </c>
      <c r="W744" s="2" t="inlineStr">
        <is>
          <t>Classification</t>
        </is>
      </c>
      <c r="X744" s="2" t="n">
        <v>-37.0083</v>
      </c>
      <c r="Y744" s="2" t="n">
        <v>174.8705</v>
      </c>
    </row>
    <row r="745">
      <c r="A745" s="2" t="inlineStr">
        <is>
          <t>Downer</t>
        </is>
      </c>
      <c r="B745" s="2" t="inlineStr">
        <is>
          <t>AKN Regional Office</t>
        </is>
      </c>
      <c r="C745" s="2" t="inlineStr">
        <is>
          <t>Other</t>
        </is>
      </c>
      <c r="D745" s="2" t="inlineStr">
        <is>
          <t>L9.DNZJ.1901</t>
        </is>
      </c>
      <c r="E745" s="2" t="n">
        <v>1901</v>
      </c>
      <c r="M745" s="2" t="inlineStr">
        <is>
          <t>Manurewa</t>
        </is>
      </c>
      <c r="N745" s="2" t="inlineStr">
        <is>
          <t>New Zealand</t>
        </is>
      </c>
      <c r="P745" s="2" t="inlineStr">
        <is>
          <t>Operational Control</t>
        </is>
      </c>
      <c r="Q745" s="2" t="inlineStr">
        <is>
          <t>Operational Control</t>
        </is>
      </c>
      <c r="R745" s="2" t="inlineStr">
        <is>
          <t>Transport &amp; Infrastructure (T&amp;I)</t>
        </is>
      </c>
      <c r="S745" s="2" t="inlineStr">
        <is>
          <t>Downer</t>
        </is>
      </c>
      <c r="T745" s="2" t="n">
        <v>100</v>
      </c>
      <c r="W745" s="2" t="inlineStr">
        <is>
          <t>Classification</t>
        </is>
      </c>
    </row>
    <row r="746">
      <c r="A746" s="2" t="inlineStr">
        <is>
          <t>Downer</t>
        </is>
      </c>
      <c r="B746" s="2" t="inlineStr">
        <is>
          <t>Albany Depot(Water)</t>
        </is>
      </c>
      <c r="C746" s="2" t="inlineStr">
        <is>
          <t>Other</t>
        </is>
      </c>
      <c r="D746" s="2" t="inlineStr">
        <is>
          <t>L9.DNZJ.55535</t>
        </is>
      </c>
      <c r="E746" s="2" t="n">
        <v>55535</v>
      </c>
      <c r="H746" s="2" t="inlineStr">
        <is>
          <t>2B/3 William Pickering Drive</t>
        </is>
      </c>
      <c r="I746" s="2" t="inlineStr">
        <is>
          <t>Albany</t>
        </is>
      </c>
      <c r="J746" s="2" t="inlineStr">
        <is>
          <t>Auckland</t>
        </is>
      </c>
      <c r="K746" s="2" t="n">
        <v>632</v>
      </c>
      <c r="L746" s="2" t="inlineStr">
        <is>
          <t>New Zealand</t>
        </is>
      </c>
      <c r="M746" s="2" t="inlineStr">
        <is>
          <t>North Shore</t>
        </is>
      </c>
      <c r="N746" s="2" t="inlineStr">
        <is>
          <t>New Zealand</t>
        </is>
      </c>
      <c r="P746" s="2" t="inlineStr">
        <is>
          <t>Operational Control</t>
        </is>
      </c>
      <c r="Q746" s="2" t="inlineStr">
        <is>
          <t>Operational Control</t>
        </is>
      </c>
      <c r="R746" s="2" t="inlineStr">
        <is>
          <t>Energy and Utilities (EU)</t>
        </is>
      </c>
      <c r="S746" s="2" t="inlineStr">
        <is>
          <t>Downer</t>
        </is>
      </c>
      <c r="T746" s="2" t="n">
        <v>100</v>
      </c>
      <c r="W746" s="2" t="inlineStr">
        <is>
          <t>Classification</t>
        </is>
      </c>
      <c r="X746" s="2" t="n">
        <v>-36.7538</v>
      </c>
      <c r="Y746" s="2" t="n">
        <v>174.7067</v>
      </c>
    </row>
    <row r="747">
      <c r="A747" s="2" t="inlineStr">
        <is>
          <t>Downer</t>
        </is>
      </c>
      <c r="B747" s="2" t="inlineStr">
        <is>
          <t>Alice Springs Site</t>
        </is>
      </c>
      <c r="C747" s="2" t="inlineStr">
        <is>
          <t>Depot</t>
        </is>
      </c>
      <c r="D747" s="2" t="inlineStr">
        <is>
          <t>L9.J.17050957</t>
        </is>
      </c>
      <c r="E747" s="2" t="n">
        <v>3</v>
      </c>
      <c r="H747" s="2" t="inlineStr">
        <is>
          <t>226 North Stuart HWY</t>
        </is>
      </c>
      <c r="I747" s="2" t="inlineStr">
        <is>
          <t>Alice Springs</t>
        </is>
      </c>
      <c r="J747" s="2" t="inlineStr">
        <is>
          <t>NT</t>
        </is>
      </c>
      <c r="K747" s="2" t="n">
        <v>870</v>
      </c>
      <c r="L747" s="2" t="inlineStr">
        <is>
          <t>Australia</t>
        </is>
      </c>
      <c r="M747" s="2" t="inlineStr">
        <is>
          <t>Northern Territory</t>
        </is>
      </c>
      <c r="N747" s="2" t="inlineStr">
        <is>
          <t>Australia</t>
        </is>
      </c>
      <c r="P747" s="2" t="inlineStr">
        <is>
          <t>Operational Control</t>
        </is>
      </c>
      <c r="Q747" s="2" t="inlineStr">
        <is>
          <t>Operational Control</t>
        </is>
      </c>
      <c r="R747" s="2" t="inlineStr">
        <is>
          <t>Transport &amp; Infrastructure (T&amp;I)</t>
        </is>
      </c>
      <c r="S747" s="2" t="inlineStr">
        <is>
          <t>Downer</t>
        </is>
      </c>
      <c r="T747" s="2" t="n">
        <v>100</v>
      </c>
      <c r="W747" s="2" t="inlineStr">
        <is>
          <t>Classification</t>
        </is>
      </c>
      <c r="X747" s="2" t="n">
        <v>-23.668</v>
      </c>
      <c r="Y747" s="2" t="n">
        <v>133.867</v>
      </c>
      <c r="Z747" s="2" t="n">
        <v>310</v>
      </c>
    </row>
    <row r="748">
      <c r="A748" s="2" t="inlineStr">
        <is>
          <t>Downer</t>
        </is>
      </c>
      <c r="B748" s="2" t="inlineStr">
        <is>
          <t>Amberley (58 Grays Road)</t>
        </is>
      </c>
      <c r="C748" s="2" t="inlineStr">
        <is>
          <t>Other</t>
        </is>
      </c>
      <c r="D748" s="2" t="inlineStr">
        <is>
          <t>L9.DNZJ.91359</t>
        </is>
      </c>
      <c r="E748" s="2" t="n">
        <v>91359</v>
      </c>
      <c r="H748" s="2" t="inlineStr">
        <is>
          <t>58 Grays Road</t>
        </is>
      </c>
      <c r="I748" s="2" t="inlineStr">
        <is>
          <t>Amberley</t>
        </is>
      </c>
      <c r="J748" s="2" t="inlineStr">
        <is>
          <t>Amberley</t>
        </is>
      </c>
      <c r="K748" s="2" t="n">
        <v>7481</v>
      </c>
      <c r="L748" s="2" t="inlineStr">
        <is>
          <t>New Zealand</t>
        </is>
      </c>
      <c r="M748" s="2" t="inlineStr">
        <is>
          <t>Amberley</t>
        </is>
      </c>
      <c r="N748" s="2" t="inlineStr">
        <is>
          <t>New Zealand</t>
        </is>
      </c>
      <c r="P748" s="2" t="inlineStr">
        <is>
          <t>Operational Control</t>
        </is>
      </c>
      <c r="Q748" s="2" t="inlineStr">
        <is>
          <t>Operational Control</t>
        </is>
      </c>
      <c r="R748" s="2" t="inlineStr">
        <is>
          <t>Corporate</t>
        </is>
      </c>
      <c r="S748" s="2" t="inlineStr">
        <is>
          <t>Downer</t>
        </is>
      </c>
      <c r="T748" s="2" t="n">
        <v>100</v>
      </c>
      <c r="W748" s="2" t="inlineStr">
        <is>
          <t>Classification</t>
        </is>
      </c>
      <c r="X748" s="2" t="n">
        <v>-43.1633</v>
      </c>
      <c r="Y748" s="2" t="n">
        <v>172.7262</v>
      </c>
    </row>
    <row r="749">
      <c r="A749" s="2" t="inlineStr">
        <is>
          <t>Downer</t>
        </is>
      </c>
      <c r="B749" s="2" t="inlineStr">
        <is>
          <t>APA SA EU Subcontractors</t>
        </is>
      </c>
      <c r="C749" s="2" t="inlineStr">
        <is>
          <t>Other</t>
        </is>
      </c>
      <c r="D749" s="2" t="inlineStr">
        <is>
          <t>L9.J.24190255</t>
        </is>
      </c>
      <c r="E749" s="2" t="inlineStr">
        <is>
          <t>L9.J.24190255</t>
        </is>
      </c>
      <c r="M749" s="2" t="inlineStr">
        <is>
          <t>North Ryde</t>
        </is>
      </c>
      <c r="N749" s="2" t="inlineStr">
        <is>
          <t>Australia</t>
        </is>
      </c>
      <c r="P749" s="2" t="inlineStr">
        <is>
          <t>Operational Control</t>
        </is>
      </c>
      <c r="Q749" s="2" t="inlineStr">
        <is>
          <t>Operational Control</t>
        </is>
      </c>
      <c r="R749" s="2" t="inlineStr">
        <is>
          <t>Energy and Utilities (EU)</t>
        </is>
      </c>
      <c r="S749" s="2" t="inlineStr">
        <is>
          <t>Downer</t>
        </is>
      </c>
      <c r="T749" s="2" t="n">
        <v>100</v>
      </c>
      <c r="W749" s="2" t="inlineStr">
        <is>
          <t>Classification</t>
        </is>
      </c>
    </row>
    <row r="750">
      <c r="A750" s="2" t="inlineStr">
        <is>
          <t>Downer</t>
        </is>
      </c>
      <c r="B750" s="2" t="inlineStr">
        <is>
          <t>APA Vic EU Subcontractors</t>
        </is>
      </c>
      <c r="C750" s="2" t="inlineStr">
        <is>
          <t>Other</t>
        </is>
      </c>
      <c r="D750" s="2" t="inlineStr">
        <is>
          <t>L9.J.24190324</t>
        </is>
      </c>
      <c r="E750" s="2" t="inlineStr">
        <is>
          <t>L9.J.24190324</t>
        </is>
      </c>
      <c r="M750" s="2" t="inlineStr">
        <is>
          <t>North Ryde</t>
        </is>
      </c>
      <c r="N750" s="2" t="inlineStr">
        <is>
          <t>Australia</t>
        </is>
      </c>
      <c r="P750" s="2" t="inlineStr">
        <is>
          <t>Operational Control</t>
        </is>
      </c>
      <c r="Q750" s="2" t="inlineStr">
        <is>
          <t>Operational Control</t>
        </is>
      </c>
      <c r="R750" s="2" t="inlineStr">
        <is>
          <t>Energy and Utilities (EU)</t>
        </is>
      </c>
      <c r="S750" s="2" t="inlineStr">
        <is>
          <t>Downer</t>
        </is>
      </c>
      <c r="T750" s="2" t="n">
        <v>100</v>
      </c>
      <c r="W750" s="2" t="inlineStr">
        <is>
          <t>Classification</t>
        </is>
      </c>
    </row>
    <row r="751">
      <c r="A751" s="2" t="inlineStr">
        <is>
          <t>Downer</t>
        </is>
      </c>
      <c r="B751" s="2" t="inlineStr">
        <is>
          <t>APLNG Gathering Panel</t>
        </is>
      </c>
      <c r="C751" s="2" t="inlineStr">
        <is>
          <t>Infrastructure</t>
        </is>
      </c>
      <c r="D751" s="2" t="inlineStr">
        <is>
          <t>L9.J.38139001</t>
        </is>
      </c>
      <c r="E751" s="2" t="n">
        <v>38139001</v>
      </c>
      <c r="G751" s="2" t="inlineStr">
        <is>
          <t>EU-38139001 - APLNG Well Site M&amp;E</t>
        </is>
      </c>
      <c r="M751" s="2" t="inlineStr">
        <is>
          <t>Queensland</t>
        </is>
      </c>
      <c r="N751" s="2" t="inlineStr">
        <is>
          <t>Australia</t>
        </is>
      </c>
      <c r="P751" s="2" t="inlineStr">
        <is>
          <t>Operational Control</t>
        </is>
      </c>
      <c r="Q751" s="2" t="inlineStr">
        <is>
          <t>Operational Control</t>
        </is>
      </c>
      <c r="R751" s="2" t="inlineStr">
        <is>
          <t>Energy and Utilities (EU)</t>
        </is>
      </c>
      <c r="S751" s="2" t="inlineStr">
        <is>
          <t>Downer</t>
        </is>
      </c>
      <c r="T751" s="2" t="n">
        <v>100</v>
      </c>
      <c r="W751" s="2" t="inlineStr">
        <is>
          <t>Classification</t>
        </is>
      </c>
    </row>
    <row r="752">
      <c r="A752" s="2" t="inlineStr">
        <is>
          <t>Downer</t>
        </is>
      </c>
      <c r="B752" s="2" t="inlineStr">
        <is>
          <t>Arnold Dam Upgrade</t>
        </is>
      </c>
      <c r="C752" s="2" t="inlineStr">
        <is>
          <t>Other</t>
        </is>
      </c>
      <c r="D752" s="2" t="inlineStr">
        <is>
          <t>L9.DNZJ.55368</t>
        </is>
      </c>
      <c r="E752" s="2" t="inlineStr">
        <is>
          <t>JP_DS2672</t>
        </is>
      </c>
      <c r="F752" s="2" t="inlineStr">
        <is>
          <t>JP_DS2672</t>
        </is>
      </c>
      <c r="M752" s="2" t="inlineStr">
        <is>
          <t>Christchurch</t>
        </is>
      </c>
      <c r="N752" s="2" t="inlineStr">
        <is>
          <t>New Zealand</t>
        </is>
      </c>
      <c r="P752" s="2" t="inlineStr">
        <is>
          <t>Operational Control</t>
        </is>
      </c>
      <c r="Q752" s="2" t="inlineStr">
        <is>
          <t>Operational Control</t>
        </is>
      </c>
      <c r="R752" s="2" t="inlineStr">
        <is>
          <t>Transport &amp; Infrastructure (T&amp;I)</t>
        </is>
      </c>
      <c r="S752" s="2" t="inlineStr">
        <is>
          <t>Downer</t>
        </is>
      </c>
      <c r="T752" s="2" t="n">
        <v>100</v>
      </c>
      <c r="W752" s="2" t="inlineStr">
        <is>
          <t>Classification</t>
        </is>
      </c>
    </row>
    <row r="753">
      <c r="A753" s="2" t="inlineStr">
        <is>
          <t>Downer</t>
        </is>
      </c>
      <c r="B753" s="2" t="inlineStr">
        <is>
          <t>AS Plant EU Subcontractors</t>
        </is>
      </c>
      <c r="C753" s="2" t="inlineStr">
        <is>
          <t>Other</t>
        </is>
      </c>
      <c r="D753" s="2" t="inlineStr">
        <is>
          <t>L9.J.392301</t>
        </is>
      </c>
      <c r="E753" s="2" t="inlineStr">
        <is>
          <t>L9.J.392301</t>
        </is>
      </c>
      <c r="M753" s="2" t="inlineStr">
        <is>
          <t>North Ryde</t>
        </is>
      </c>
      <c r="N753" s="2" t="inlineStr">
        <is>
          <t>Australia</t>
        </is>
      </c>
      <c r="P753" s="2" t="inlineStr">
        <is>
          <t>Operational Control</t>
        </is>
      </c>
      <c r="Q753" s="2" t="inlineStr">
        <is>
          <t>Operational Control</t>
        </is>
      </c>
      <c r="R753" s="2" t="inlineStr">
        <is>
          <t>Energy and Utilities (EU)</t>
        </is>
      </c>
      <c r="S753" s="2" t="inlineStr">
        <is>
          <t>Downer</t>
        </is>
      </c>
      <c r="T753" s="2" t="n">
        <v>100</v>
      </c>
      <c r="W753" s="2" t="inlineStr">
        <is>
          <t>Classification</t>
        </is>
      </c>
    </row>
    <row r="754">
      <c r="A754" s="2" t="inlineStr">
        <is>
          <t>Downer</t>
        </is>
      </c>
      <c r="B754" s="2" t="inlineStr">
        <is>
          <t>Ascot Hospital B&amp;E - 45002512</t>
        </is>
      </c>
      <c r="C754" s="2" t="inlineStr">
        <is>
          <t>Other</t>
        </is>
      </c>
      <c r="D754" s="2" t="inlineStr">
        <is>
          <t>L9.S.26016963</t>
        </is>
      </c>
      <c r="E754" s="2" t="n">
        <v>2000004550</v>
      </c>
      <c r="G754" s="2" t="inlineStr">
        <is>
          <t>As per INX,
SI-NZF-26016963-Ascot Hospital B&amp;E Serv. Del</t>
        </is>
      </c>
      <c r="M754" s="2" t="inlineStr">
        <is>
          <t>Auckland</t>
        </is>
      </c>
      <c r="N754" s="2" t="inlineStr">
        <is>
          <t>New Zealand</t>
        </is>
      </c>
      <c r="P754" s="2" t="inlineStr">
        <is>
          <t>Operational Control</t>
        </is>
      </c>
      <c r="Q754" s="2" t="inlineStr">
        <is>
          <t>Operational Control</t>
        </is>
      </c>
      <c r="R754" s="2" t="inlineStr">
        <is>
          <t>Social Infra &amp; Citizen Serv (SICS)</t>
        </is>
      </c>
      <c r="S754" s="2" t="inlineStr">
        <is>
          <t>Downer</t>
        </is>
      </c>
      <c r="T754" s="2" t="n">
        <v>100</v>
      </c>
      <c r="W754" s="2" t="inlineStr">
        <is>
          <t>Classification</t>
        </is>
      </c>
    </row>
    <row r="755">
      <c r="A755" s="2" t="inlineStr">
        <is>
          <t>Downer</t>
        </is>
      </c>
      <c r="B755" s="2" t="inlineStr">
        <is>
          <t>ASHBURTON COLLEGE</t>
        </is>
      </c>
      <c r="C755" s="2" t="inlineStr">
        <is>
          <t>Other</t>
        </is>
      </c>
      <c r="D755" s="2" t="inlineStr">
        <is>
          <t>L9.DNZ.HS0162</t>
        </is>
      </c>
      <c r="E755" s="2" t="inlineStr">
        <is>
          <t>JP_HS0162</t>
        </is>
      </c>
      <c r="M755" s="2" t="inlineStr">
        <is>
          <t>Manurewa</t>
        </is>
      </c>
      <c r="N755" s="2" t="inlineStr">
        <is>
          <t>New Zealand</t>
        </is>
      </c>
      <c r="P755" s="2" t="inlineStr">
        <is>
          <t>Operational Control</t>
        </is>
      </c>
      <c r="Q755" s="2" t="inlineStr">
        <is>
          <t>Operational Control</t>
        </is>
      </c>
      <c r="R755" s="2" t="inlineStr">
        <is>
          <t>Transport &amp; Infrastructure (T&amp;I)</t>
        </is>
      </c>
      <c r="S755" s="2" t="inlineStr">
        <is>
          <t>Downer</t>
        </is>
      </c>
      <c r="T755" s="2" t="n">
        <v>100</v>
      </c>
      <c r="W755" s="2" t="inlineStr">
        <is>
          <t>Classification</t>
        </is>
      </c>
    </row>
    <row r="756">
      <c r="A756" s="2" t="inlineStr">
        <is>
          <t>Downer</t>
        </is>
      </c>
      <c r="B756" s="2" t="inlineStr">
        <is>
          <t>ASHBURTON INTERMEDIATE SCHOOL</t>
        </is>
      </c>
      <c r="C756" s="2" t="inlineStr">
        <is>
          <t>Other</t>
        </is>
      </c>
      <c r="D756" s="2" t="inlineStr">
        <is>
          <t>L9.DNZ.HS0157</t>
        </is>
      </c>
      <c r="E756" s="2" t="inlineStr">
        <is>
          <t>JP_HS0157</t>
        </is>
      </c>
      <c r="H756" s="2" t="inlineStr">
        <is>
          <t>144 Cass Street</t>
        </is>
      </c>
      <c r="I756" s="2" t="inlineStr">
        <is>
          <t>Ashburton</t>
        </is>
      </c>
      <c r="J756" s="2" t="inlineStr">
        <is>
          <t>Ashburton</t>
        </is>
      </c>
      <c r="K756" s="2" t="n">
        <v>7700</v>
      </c>
      <c r="L756" s="2" t="inlineStr">
        <is>
          <t>New Zealand</t>
        </is>
      </c>
      <c r="M756" s="2" t="inlineStr">
        <is>
          <t>Ashburton</t>
        </is>
      </c>
      <c r="N756" s="2" t="inlineStr">
        <is>
          <t>New Zealand</t>
        </is>
      </c>
      <c r="P756" s="2" t="inlineStr">
        <is>
          <t>Operational Control</t>
        </is>
      </c>
      <c r="Q756" s="2" t="inlineStr">
        <is>
          <t>Operational Control</t>
        </is>
      </c>
      <c r="R756" s="2" t="inlineStr">
        <is>
          <t>Transport &amp; Infrastructure (T&amp;I)</t>
        </is>
      </c>
      <c r="S756" s="2" t="inlineStr">
        <is>
          <t>Downer</t>
        </is>
      </c>
      <c r="T756" s="2" t="n">
        <v>100</v>
      </c>
      <c r="W756" s="2" t="inlineStr">
        <is>
          <t>Classification</t>
        </is>
      </c>
      <c r="X756" s="2" t="n">
        <v>-43.9006</v>
      </c>
      <c r="Y756" s="2" t="n">
        <v>171.7582</v>
      </c>
    </row>
    <row r="757">
      <c r="A757" s="2" t="inlineStr">
        <is>
          <t>Downer</t>
        </is>
      </c>
      <c r="B757" s="2" t="inlineStr">
        <is>
          <t>Asphalt Paving - Lower South</t>
        </is>
      </c>
      <c r="C757" s="2" t="inlineStr">
        <is>
          <t>Other</t>
        </is>
      </c>
      <c r="D757" s="2" t="inlineStr">
        <is>
          <t>L9.DNZJ.55389</t>
        </is>
      </c>
      <c r="E757" s="2" t="n">
        <v>55389</v>
      </c>
      <c r="H757" s="2" t="inlineStr">
        <is>
          <t>130 Kerrs Road</t>
        </is>
      </c>
      <c r="I757" s="2" t="inlineStr">
        <is>
          <t>Wiri</t>
        </is>
      </c>
      <c r="J757" s="2" t="inlineStr">
        <is>
          <t>Auckland</t>
        </is>
      </c>
      <c r="K757" s="2" t="n">
        <v>2104</v>
      </c>
      <c r="L757" s="2" t="inlineStr">
        <is>
          <t>New Zealand</t>
        </is>
      </c>
      <c r="M757" s="2" t="inlineStr">
        <is>
          <t>Manurewa</t>
        </is>
      </c>
      <c r="N757" s="2" t="inlineStr">
        <is>
          <t>New Zealand</t>
        </is>
      </c>
      <c r="P757" s="2" t="inlineStr">
        <is>
          <t>Operational Control</t>
        </is>
      </c>
      <c r="Q757" s="2" t="inlineStr">
        <is>
          <t>Operational Control</t>
        </is>
      </c>
      <c r="R757" s="2" t="inlineStr">
        <is>
          <t>Transport &amp; Infrastructure (T&amp;I)</t>
        </is>
      </c>
      <c r="S757" s="2" t="inlineStr">
        <is>
          <t>Downer</t>
        </is>
      </c>
      <c r="T757" s="2" t="n">
        <v>100</v>
      </c>
      <c r="W757" s="2" t="inlineStr">
        <is>
          <t>Classification</t>
        </is>
      </c>
      <c r="X757" s="2" t="n">
        <v>-37.0083</v>
      </c>
      <c r="Y757" s="2" t="n">
        <v>174.8705</v>
      </c>
    </row>
    <row r="758">
      <c r="A758" s="2" t="inlineStr">
        <is>
          <t>Downer</t>
        </is>
      </c>
      <c r="B758" s="2" t="inlineStr">
        <is>
          <t>Asphalt Paving - Wellington</t>
        </is>
      </c>
      <c r="C758" s="2" t="inlineStr">
        <is>
          <t>Other</t>
        </is>
      </c>
      <c r="D758" s="2" t="inlineStr">
        <is>
          <t>L9.DNZJ.55231</t>
        </is>
      </c>
      <c r="E758" s="2" t="n">
        <v>55231</v>
      </c>
      <c r="M758" s="2" t="inlineStr">
        <is>
          <t>Manurewa</t>
        </is>
      </c>
      <c r="N758" s="2" t="inlineStr">
        <is>
          <t>New Zealand</t>
        </is>
      </c>
      <c r="P758" s="2" t="inlineStr">
        <is>
          <t>Operational Control</t>
        </is>
      </c>
      <c r="Q758" s="2" t="inlineStr">
        <is>
          <t>Operational Control</t>
        </is>
      </c>
      <c r="R758" s="2" t="inlineStr">
        <is>
          <t>Transport &amp; Infrastructure (T&amp;I)</t>
        </is>
      </c>
      <c r="S758" s="2" t="inlineStr">
        <is>
          <t>Downer</t>
        </is>
      </c>
      <c r="T758" s="2" t="n">
        <v>100</v>
      </c>
      <c r="W758" s="2" t="inlineStr">
        <is>
          <t>Classification</t>
        </is>
      </c>
    </row>
    <row r="759">
      <c r="A759" s="2" t="inlineStr">
        <is>
          <t>Downer</t>
        </is>
      </c>
      <c r="B759" s="2" t="inlineStr">
        <is>
          <t>Asphalt Prod - Albany (601)</t>
        </is>
      </c>
      <c r="C759" s="2" t="inlineStr">
        <is>
          <t>Asphalt Plant</t>
        </is>
      </c>
      <c r="D759" s="2" t="inlineStr">
        <is>
          <t>L9.J.170601</t>
        </is>
      </c>
      <c r="E759" s="2" t="n">
        <v>601</v>
      </c>
      <c r="H759" s="2" t="inlineStr">
        <is>
          <t>Lot 6, Rocky Crossing Road</t>
        </is>
      </c>
      <c r="I759" s="2" t="inlineStr">
        <is>
          <t>Willyung</t>
        </is>
      </c>
      <c r="J759" s="2" t="inlineStr">
        <is>
          <t>WA</t>
        </is>
      </c>
      <c r="K759" s="2" t="n">
        <v>6330</v>
      </c>
      <c r="L759" s="2" t="inlineStr">
        <is>
          <t>Australia</t>
        </is>
      </c>
      <c r="M759" s="2" t="inlineStr">
        <is>
          <t>Western Australia</t>
        </is>
      </c>
      <c r="N759" s="2" t="inlineStr">
        <is>
          <t>Australia</t>
        </is>
      </c>
      <c r="P759" s="2" t="inlineStr">
        <is>
          <t>Operational Control</t>
        </is>
      </c>
      <c r="Q759" s="2" t="inlineStr">
        <is>
          <t>Operational Control</t>
        </is>
      </c>
      <c r="R759" s="2" t="inlineStr">
        <is>
          <t>Transport &amp; Infrastructure (T&amp;I)</t>
        </is>
      </c>
      <c r="S759" s="2" t="inlineStr">
        <is>
          <t>Downer</t>
        </is>
      </c>
      <c r="T759" s="2" t="n">
        <v>100</v>
      </c>
      <c r="W759" s="2" t="inlineStr">
        <is>
          <t>Classification</t>
        </is>
      </c>
      <c r="X759" s="2" t="n">
        <v>-34.95155</v>
      </c>
      <c r="Y759" s="2" t="n">
        <v>117.855402</v>
      </c>
      <c r="Z759" s="2" t="n">
        <v>170</v>
      </c>
    </row>
    <row r="760">
      <c r="A760" s="2" t="inlineStr">
        <is>
          <t>Downer</t>
        </is>
      </c>
      <c r="B760" s="2" t="inlineStr">
        <is>
          <t>Asphalt Prod - Archerfield (406)</t>
        </is>
      </c>
      <c r="C760" s="2" t="inlineStr">
        <is>
          <t>Asphalt Plant</t>
        </is>
      </c>
      <c r="D760" s="2" t="inlineStr">
        <is>
          <t>L9.J.17090422</t>
        </is>
      </c>
      <c r="E760" s="2" t="n">
        <v>406</v>
      </c>
      <c r="H760" s="2" t="inlineStr">
        <is>
          <t>150 Boniface Street</t>
        </is>
      </c>
      <c r="I760" s="2" t="inlineStr">
        <is>
          <t>Archerfield</t>
        </is>
      </c>
      <c r="J760" s="2" t="inlineStr">
        <is>
          <t>QLD</t>
        </is>
      </c>
      <c r="K760" s="2" t="n">
        <v>4108</v>
      </c>
      <c r="L760" s="2" t="inlineStr">
        <is>
          <t>Australia</t>
        </is>
      </c>
      <c r="M760" s="2" t="inlineStr">
        <is>
          <t>Queensland</t>
        </is>
      </c>
      <c r="N760" s="2" t="inlineStr">
        <is>
          <t>Australia</t>
        </is>
      </c>
      <c r="P760" s="2" t="inlineStr">
        <is>
          <t>Operational Control</t>
        </is>
      </c>
      <c r="Q760" s="2" t="inlineStr">
        <is>
          <t>Operational Control</t>
        </is>
      </c>
      <c r="R760" s="2" t="inlineStr">
        <is>
          <t>Transport &amp; Infrastructure (T&amp;I)</t>
        </is>
      </c>
      <c r="S760" s="2" t="inlineStr">
        <is>
          <t>Downer</t>
        </is>
      </c>
      <c r="T760" s="2" t="n">
        <v>100</v>
      </c>
      <c r="W760" s="2" t="inlineStr">
        <is>
          <t>Classification</t>
        </is>
      </c>
      <c r="X760" s="2" t="n">
        <v>-27.565675</v>
      </c>
      <c r="Y760" s="2" t="n">
        <v>153.020325</v>
      </c>
      <c r="Z760" s="2" t="n">
        <v>310</v>
      </c>
    </row>
    <row r="761">
      <c r="A761" s="2" t="inlineStr">
        <is>
          <t>Downer</t>
        </is>
      </c>
      <c r="B761" s="2" t="inlineStr">
        <is>
          <t>Asphalt Prod - Auckland</t>
        </is>
      </c>
      <c r="C761" s="2" t="inlineStr">
        <is>
          <t>Asphalt Plant</t>
        </is>
      </c>
      <c r="D761" s="2" t="inlineStr">
        <is>
          <t>L9.DNZJ.3503</t>
        </is>
      </c>
      <c r="E761" s="2" t="n">
        <v>3503</v>
      </c>
      <c r="H761" s="2" t="inlineStr">
        <is>
          <t>645 Great South Road</t>
        </is>
      </c>
      <c r="I761" s="2" t="inlineStr">
        <is>
          <t>Penrose</t>
        </is>
      </c>
      <c r="J761" s="2" t="inlineStr">
        <is>
          <t>Auckland</t>
        </is>
      </c>
      <c r="K761" s="2" t="n">
        <v>1061</v>
      </c>
      <c r="L761" s="2" t="inlineStr">
        <is>
          <t>New Zealand</t>
        </is>
      </c>
      <c r="M761" s="2" t="inlineStr">
        <is>
          <t>Panmure</t>
        </is>
      </c>
      <c r="N761" s="2" t="inlineStr">
        <is>
          <t>New Zealand</t>
        </is>
      </c>
      <c r="P761" s="2" t="inlineStr">
        <is>
          <t>Operational Control</t>
        </is>
      </c>
      <c r="Q761" s="2" t="inlineStr">
        <is>
          <t>Operational Control</t>
        </is>
      </c>
      <c r="R761" s="2" t="inlineStr">
        <is>
          <t>Transport &amp; Infrastructure (T&amp;I)</t>
        </is>
      </c>
      <c r="S761" s="2" t="inlineStr">
        <is>
          <t>Downer</t>
        </is>
      </c>
      <c r="T761" s="2" t="n">
        <v>100</v>
      </c>
      <c r="W761" s="2" t="inlineStr">
        <is>
          <t>Classification</t>
        </is>
      </c>
      <c r="X761" s="2" t="n">
        <v>-36.9148</v>
      </c>
      <c r="Y761" s="2" t="n">
        <v>174.8186</v>
      </c>
    </row>
    <row r="762">
      <c r="A762" s="2" t="inlineStr">
        <is>
          <t>Downer</t>
        </is>
      </c>
      <c r="B762" s="2" t="inlineStr">
        <is>
          <t>Asphalt Prod - Bathurst (156)</t>
        </is>
      </c>
      <c r="C762" s="2" t="inlineStr">
        <is>
          <t>Asphalt Plant</t>
        </is>
      </c>
      <c r="D762" s="2" t="inlineStr">
        <is>
          <t>L9.J.170156</t>
        </is>
      </c>
      <c r="E762" s="2" t="n">
        <v>170156</v>
      </c>
      <c r="H762" s="2" t="inlineStr">
        <is>
          <t>Zagreb Street</t>
        </is>
      </c>
      <c r="I762" s="2" t="inlineStr">
        <is>
          <t>Bathurst</t>
        </is>
      </c>
      <c r="J762" s="2" t="inlineStr">
        <is>
          <t>NSW</t>
        </is>
      </c>
      <c r="K762" s="2" t="n">
        <v>2795</v>
      </c>
      <c r="L762" s="2" t="inlineStr">
        <is>
          <t>Australia</t>
        </is>
      </c>
      <c r="M762" s="2" t="inlineStr">
        <is>
          <t>New South Wales</t>
        </is>
      </c>
      <c r="N762" s="2" t="inlineStr">
        <is>
          <t>Australia</t>
        </is>
      </c>
      <c r="P762" s="2" t="inlineStr">
        <is>
          <t>Operational Control</t>
        </is>
      </c>
      <c r="Q762" s="2" t="inlineStr">
        <is>
          <t>Operational Control</t>
        </is>
      </c>
      <c r="R762" s="2" t="inlineStr">
        <is>
          <t>Transport &amp; Infrastructure (T&amp;I)</t>
        </is>
      </c>
      <c r="S762" s="2" t="inlineStr">
        <is>
          <t>Downer</t>
        </is>
      </c>
      <c r="T762" s="2" t="n">
        <v>100</v>
      </c>
      <c r="W762" s="2" t="inlineStr">
        <is>
          <t>Classification</t>
        </is>
      </c>
      <c r="X762" s="2" t="n">
        <v>-33.426</v>
      </c>
      <c r="Y762" s="2" t="n">
        <v>149.608</v>
      </c>
      <c r="Z762" s="2" t="n">
        <v>170</v>
      </c>
    </row>
    <row r="763">
      <c r="A763" s="2" t="inlineStr">
        <is>
          <t>Downer</t>
        </is>
      </c>
      <c r="B763" s="2" t="inlineStr">
        <is>
          <t>Asphalt Prod - Bayswater (302)</t>
        </is>
      </c>
      <c r="C763" s="2" t="inlineStr">
        <is>
          <t>Asphalt Plant</t>
        </is>
      </c>
      <c r="D763" s="2" t="inlineStr">
        <is>
          <t>L9.J.17032626</t>
        </is>
      </c>
      <c r="E763" s="2" t="n">
        <v>302</v>
      </c>
      <c r="H763" s="2" t="inlineStr">
        <is>
          <t>18 Jersey Road</t>
        </is>
      </c>
      <c r="I763" s="2" t="inlineStr">
        <is>
          <t>Bayswater</t>
        </is>
      </c>
      <c r="J763" s="2" t="inlineStr">
        <is>
          <t>VIC</t>
        </is>
      </c>
      <c r="K763" s="2" t="n">
        <v>3153</v>
      </c>
      <c r="L763" s="2" t="inlineStr">
        <is>
          <t>Australia</t>
        </is>
      </c>
      <c r="M763" s="2" t="inlineStr">
        <is>
          <t>Victoria</t>
        </is>
      </c>
      <c r="N763" s="2" t="inlineStr">
        <is>
          <t>Australia</t>
        </is>
      </c>
      <c r="P763" s="2" t="inlineStr">
        <is>
          <t>Operational Control</t>
        </is>
      </c>
      <c r="Q763" s="2" t="inlineStr">
        <is>
          <t>Operational Control</t>
        </is>
      </c>
      <c r="R763" s="2" t="inlineStr">
        <is>
          <t>Transport &amp; Infrastructure (T&amp;I)</t>
        </is>
      </c>
      <c r="S763" s="2" t="inlineStr">
        <is>
          <t>Downer</t>
        </is>
      </c>
      <c r="T763" s="2" t="n">
        <v>100</v>
      </c>
      <c r="W763" s="2" t="inlineStr">
        <is>
          <t>Classification</t>
        </is>
      </c>
      <c r="X763" s="2" t="n">
        <v>-37.84</v>
      </c>
      <c r="Y763" s="2" t="n">
        <v>145.277</v>
      </c>
      <c r="Z763" s="2" t="n">
        <v>170</v>
      </c>
    </row>
    <row r="764">
      <c r="A764" s="2" t="inlineStr">
        <is>
          <t>Downer</t>
        </is>
      </c>
      <c r="B764" s="2" t="inlineStr">
        <is>
          <t>Asphalt Prod - Bli Bli (408)</t>
        </is>
      </c>
      <c r="C764" s="2" t="inlineStr">
        <is>
          <t>Asphalt Plant</t>
        </is>
      </c>
      <c r="D764" s="2" t="inlineStr">
        <is>
          <t>L9.J.17040612</t>
        </is>
      </c>
      <c r="E764" s="2" t="n">
        <v>408</v>
      </c>
      <c r="G764" s="2" t="inlineStr">
        <is>
          <t>Moved July 2013.</t>
        </is>
      </c>
      <c r="H764" s="2" t="inlineStr">
        <is>
          <t>Cooney Road</t>
        </is>
      </c>
      <c r="I764" s="2" t="inlineStr">
        <is>
          <t>Bli Bli</t>
        </is>
      </c>
      <c r="J764" s="2" t="inlineStr">
        <is>
          <t>QLD</t>
        </is>
      </c>
      <c r="K764" s="2" t="n">
        <v>4560</v>
      </c>
      <c r="L764" s="2" t="inlineStr">
        <is>
          <t>Australia</t>
        </is>
      </c>
      <c r="M764" s="2" t="inlineStr">
        <is>
          <t>Queensland</t>
        </is>
      </c>
      <c r="N764" s="2" t="inlineStr">
        <is>
          <t>Australia</t>
        </is>
      </c>
      <c r="P764" s="2" t="inlineStr">
        <is>
          <t>Operational Control</t>
        </is>
      </c>
      <c r="Q764" s="2" t="inlineStr">
        <is>
          <t>Operational Control</t>
        </is>
      </c>
      <c r="R764" s="2" t="inlineStr">
        <is>
          <t>Transport &amp; Infrastructure (T&amp;I)</t>
        </is>
      </c>
      <c r="S764" s="2" t="inlineStr">
        <is>
          <t>Downer</t>
        </is>
      </c>
      <c r="T764" s="2" t="n">
        <v>100</v>
      </c>
      <c r="W764" s="2" t="inlineStr">
        <is>
          <t>Classification</t>
        </is>
      </c>
      <c r="X764" s="2" t="n">
        <v>-26.609156</v>
      </c>
      <c r="Y764" s="2" t="n">
        <v>152.977124</v>
      </c>
      <c r="Z764" s="2" t="n">
        <v>170</v>
      </c>
    </row>
    <row r="765">
      <c r="A765" s="2" t="inlineStr">
        <is>
          <t>Downer</t>
        </is>
      </c>
      <c r="B765" s="2" t="inlineStr">
        <is>
          <t>Asphalt Prod - Brendale (423)</t>
        </is>
      </c>
      <c r="C765" s="2" t="inlineStr">
        <is>
          <t>Asphalt Plant</t>
        </is>
      </c>
      <c r="D765" s="2" t="inlineStr">
        <is>
          <t>L9.J.17040656</t>
        </is>
      </c>
      <c r="E765" s="2" t="n">
        <v>423</v>
      </c>
      <c r="H765" s="2" t="inlineStr">
        <is>
          <t>190 Leitchs Road</t>
        </is>
      </c>
      <c r="I765" s="2" t="inlineStr">
        <is>
          <t>Brendale</t>
        </is>
      </c>
      <c r="J765" s="2" t="inlineStr">
        <is>
          <t>QLD</t>
        </is>
      </c>
      <c r="K765" s="2" t="n">
        <v>4500</v>
      </c>
      <c r="L765" s="2" t="inlineStr">
        <is>
          <t>Australia</t>
        </is>
      </c>
      <c r="M765" s="2" t="inlineStr">
        <is>
          <t>Queensland</t>
        </is>
      </c>
      <c r="N765" s="2" t="inlineStr">
        <is>
          <t>Australia</t>
        </is>
      </c>
      <c r="P765" s="2" t="inlineStr">
        <is>
          <t>Operational Control</t>
        </is>
      </c>
      <c r="Q765" s="2" t="inlineStr">
        <is>
          <t>Operational Control</t>
        </is>
      </c>
      <c r="R765" s="2" t="inlineStr">
        <is>
          <t>Transport &amp; Infrastructure (T&amp;I)</t>
        </is>
      </c>
      <c r="S765" s="2" t="inlineStr">
        <is>
          <t>Downer</t>
        </is>
      </c>
      <c r="T765" s="2" t="n">
        <v>100</v>
      </c>
      <c r="W765" s="2" t="inlineStr">
        <is>
          <t>Classification</t>
        </is>
      </c>
      <c r="Z765" s="2" t="n">
        <v>170</v>
      </c>
    </row>
    <row r="766">
      <c r="A766" s="2" t="inlineStr">
        <is>
          <t>Downer</t>
        </is>
      </c>
      <c r="B766" s="2" t="inlineStr">
        <is>
          <t>Asphalt Prod - Darwin (525)</t>
        </is>
      </c>
      <c r="C766" s="2" t="inlineStr">
        <is>
          <t>Asphalt Plant</t>
        </is>
      </c>
      <c r="D766" s="2" t="inlineStr">
        <is>
          <t>L9.J.170525</t>
        </is>
      </c>
      <c r="E766" s="2" t="n">
        <v>525</v>
      </c>
      <c r="G766" s="2" t="inlineStr">
        <is>
          <t>Street name updated March 2015. Street name changed by Council from Tivendale Rd (August 2011).</t>
        </is>
      </c>
      <c r="H766" s="2" t="inlineStr">
        <is>
          <t>37 Syrimi Road</t>
        </is>
      </c>
      <c r="I766" s="2" t="inlineStr">
        <is>
          <t>Berrimah</t>
        </is>
      </c>
      <c r="J766" s="2" t="inlineStr">
        <is>
          <t>NT</t>
        </is>
      </c>
      <c r="K766" s="2" t="n">
        <v>828</v>
      </c>
      <c r="L766" s="2" t="inlineStr">
        <is>
          <t>Australia</t>
        </is>
      </c>
      <c r="M766" s="2" t="inlineStr">
        <is>
          <t>Northern Territory</t>
        </is>
      </c>
      <c r="N766" s="2" t="inlineStr">
        <is>
          <t>Australia</t>
        </is>
      </c>
      <c r="P766" s="2" t="inlineStr">
        <is>
          <t>Operational Control</t>
        </is>
      </c>
      <c r="Q766" s="2" t="inlineStr">
        <is>
          <t>Operational Control</t>
        </is>
      </c>
      <c r="R766" s="2" t="inlineStr">
        <is>
          <t>Transport &amp; Infrastructure (T&amp;I)</t>
        </is>
      </c>
      <c r="S766" s="2" t="inlineStr">
        <is>
          <t>Downer</t>
        </is>
      </c>
      <c r="T766" s="2" t="n">
        <v>100</v>
      </c>
      <c r="W766" s="2" t="inlineStr">
        <is>
          <t>Classification</t>
        </is>
      </c>
      <c r="X766" s="2" t="n">
        <v>-12.464564</v>
      </c>
      <c r="Y766" s="2" t="n">
        <v>130.942643</v>
      </c>
      <c r="Z766" s="2" t="n">
        <v>170</v>
      </c>
    </row>
    <row r="767">
      <c r="A767" s="2" t="inlineStr">
        <is>
          <t>Downer</t>
        </is>
      </c>
      <c r="B767" s="2" t="inlineStr">
        <is>
          <t>Asphalt Prod - Dunedin</t>
        </is>
      </c>
      <c r="C767" s="2" t="inlineStr">
        <is>
          <t>Asphalt Plant</t>
        </is>
      </c>
      <c r="D767" s="2" t="inlineStr">
        <is>
          <t>L9.DNZJ.3508</t>
        </is>
      </c>
      <c r="E767" s="2" t="n">
        <v>3508</v>
      </c>
      <c r="H767" s="2" t="inlineStr">
        <is>
          <t>102 Parry Street</t>
        </is>
      </c>
      <c r="I767" s="2" t="inlineStr">
        <is>
          <t>Dunedin</t>
        </is>
      </c>
      <c r="J767" s="2" t="inlineStr">
        <is>
          <t>Dunedin</t>
        </is>
      </c>
      <c r="K767" s="2" t="n">
        <v>9016</v>
      </c>
      <c r="L767" s="2" t="inlineStr">
        <is>
          <t>New Zealand</t>
        </is>
      </c>
      <c r="M767" s="2" t="inlineStr">
        <is>
          <t>Dunedin</t>
        </is>
      </c>
      <c r="N767" s="2" t="inlineStr">
        <is>
          <t>New Zealand</t>
        </is>
      </c>
      <c r="P767" s="2" t="inlineStr">
        <is>
          <t>Operational Control</t>
        </is>
      </c>
      <c r="Q767" s="2" t="inlineStr">
        <is>
          <t>Operational Control</t>
        </is>
      </c>
      <c r="R767" s="2" t="inlineStr">
        <is>
          <t>Transport &amp; Infrastructure (T&amp;I)</t>
        </is>
      </c>
      <c r="S767" s="2" t="inlineStr">
        <is>
          <t>Downer</t>
        </is>
      </c>
      <c r="T767" s="2" t="n">
        <v>100</v>
      </c>
      <c r="W767" s="2" t="inlineStr">
        <is>
          <t>Classification</t>
        </is>
      </c>
      <c r="X767" s="2" t="n">
        <v>-45.8696</v>
      </c>
      <c r="Y767" s="2" t="n">
        <v>170.5283</v>
      </c>
    </row>
    <row r="768">
      <c r="A768" s="2" t="inlineStr">
        <is>
          <t>Downer</t>
        </is>
      </c>
      <c r="B768" s="2" t="inlineStr">
        <is>
          <t>Asphalt Prod - Geraldton (602)</t>
        </is>
      </c>
      <c r="C768" s="2" t="inlineStr">
        <is>
          <t>Asphalt Plant</t>
        </is>
      </c>
      <c r="D768" s="2" t="inlineStr">
        <is>
          <t>L9.J.170302</t>
        </is>
      </c>
      <c r="E768" s="2" t="n">
        <v>602</v>
      </c>
      <c r="H768" s="2" t="inlineStr">
        <is>
          <t>210 Goulds Road</t>
        </is>
      </c>
      <c r="I768" s="2" t="inlineStr">
        <is>
          <t>Narngulu</t>
        </is>
      </c>
      <c r="J768" s="2" t="inlineStr">
        <is>
          <t>WA</t>
        </is>
      </c>
      <c r="K768" s="2" t="n">
        <v>6530</v>
      </c>
      <c r="L768" s="2" t="inlineStr">
        <is>
          <t>Australia</t>
        </is>
      </c>
      <c r="M768" s="2" t="inlineStr">
        <is>
          <t>Western Australia</t>
        </is>
      </c>
      <c r="N768" s="2" t="inlineStr">
        <is>
          <t>Australia</t>
        </is>
      </c>
      <c r="P768" s="2" t="inlineStr">
        <is>
          <t>Operational Control</t>
        </is>
      </c>
      <c r="Q768" s="2" t="inlineStr">
        <is>
          <t>Operational Control</t>
        </is>
      </c>
      <c r="R768" s="2" t="inlineStr">
        <is>
          <t>Transport &amp; Infrastructure (T&amp;I)</t>
        </is>
      </c>
      <c r="S768" s="2" t="inlineStr">
        <is>
          <t>Downer</t>
        </is>
      </c>
      <c r="T768" s="2" t="n">
        <v>100</v>
      </c>
      <c r="W768" s="2" t="inlineStr">
        <is>
          <t>Classification</t>
        </is>
      </c>
      <c r="X768" s="2" t="n">
        <v>-28.804</v>
      </c>
      <c r="Y768" s="2" t="n">
        <v>114.671</v>
      </c>
      <c r="Z768" s="2" t="n">
        <v>170</v>
      </c>
    </row>
    <row r="769">
      <c r="A769" s="2" t="inlineStr">
        <is>
          <t>Downer</t>
        </is>
      </c>
      <c r="B769" s="2" t="inlineStr">
        <is>
          <t>Asphalt Prod - Gosnells (621)</t>
        </is>
      </c>
      <c r="C769" s="2" t="inlineStr">
        <is>
          <t>Asphalt Plant</t>
        </is>
      </c>
      <c r="D769" s="2" t="inlineStr">
        <is>
          <t>L9.J.170621</t>
        </is>
      </c>
      <c r="E769" s="2" t="n">
        <v>621</v>
      </c>
      <c r="H769" s="2" t="inlineStr">
        <is>
          <t>89 Cockram Road</t>
        </is>
      </c>
      <c r="I769" s="2" t="inlineStr">
        <is>
          <t>Martin</t>
        </is>
      </c>
      <c r="J769" s="2" t="inlineStr">
        <is>
          <t>WA</t>
        </is>
      </c>
      <c r="K769" s="2" t="n">
        <v>6110</v>
      </c>
      <c r="M769" s="2" t="inlineStr">
        <is>
          <t>Western Australia</t>
        </is>
      </c>
      <c r="N769" s="2" t="inlineStr">
        <is>
          <t>Australia</t>
        </is>
      </c>
      <c r="P769" s="2" t="inlineStr">
        <is>
          <t>Operational Control</t>
        </is>
      </c>
      <c r="Q769" s="2" t="inlineStr">
        <is>
          <t>Operational Control</t>
        </is>
      </c>
      <c r="R769" s="2" t="inlineStr">
        <is>
          <t>Transport &amp; Infrastructure (T&amp;I)</t>
        </is>
      </c>
      <c r="S769" s="2" t="inlineStr">
        <is>
          <t>Downer</t>
        </is>
      </c>
      <c r="T769" s="2" t="n">
        <v>100</v>
      </c>
      <c r="W769" s="2" t="inlineStr">
        <is>
          <t>Classification</t>
        </is>
      </c>
      <c r="X769" s="2" t="n">
        <v>-32.065</v>
      </c>
      <c r="Y769" s="2" t="n">
        <v>116.021</v>
      </c>
      <c r="Z769" s="2" t="n">
        <v>170</v>
      </c>
    </row>
    <row r="770">
      <c r="A770" s="2" t="inlineStr">
        <is>
          <t>Downer</t>
        </is>
      </c>
      <c r="B770" s="2" t="inlineStr">
        <is>
          <t>Asphalt Prod - Hamilton</t>
        </is>
      </c>
      <c r="C770" s="2" t="inlineStr">
        <is>
          <t>Asphalt Plant</t>
        </is>
      </c>
      <c r="D770" s="2" t="inlineStr">
        <is>
          <t>L9.DNZJ.3504</t>
        </is>
      </c>
      <c r="E770" s="2" t="n">
        <v>3504</v>
      </c>
      <c r="H770" s="2" t="inlineStr">
        <is>
          <t>16 Manchester Place</t>
        </is>
      </c>
      <c r="I770" s="2" t="inlineStr">
        <is>
          <t>Te Rapa</t>
        </is>
      </c>
      <c r="J770" s="2" t="inlineStr">
        <is>
          <t>Hamilton</t>
        </is>
      </c>
      <c r="K770" s="2" t="n">
        <v>3200</v>
      </c>
      <c r="L770" s="2" t="inlineStr">
        <is>
          <t>New Zealand</t>
        </is>
      </c>
      <c r="M770" s="2" t="inlineStr">
        <is>
          <t>Hamilton</t>
        </is>
      </c>
      <c r="N770" s="2" t="inlineStr">
        <is>
          <t>New Zealand</t>
        </is>
      </c>
      <c r="P770" s="2" t="inlineStr">
        <is>
          <t>Operational Control</t>
        </is>
      </c>
      <c r="Q770" s="2" t="inlineStr">
        <is>
          <t>Operational Control</t>
        </is>
      </c>
      <c r="R770" s="2" t="inlineStr">
        <is>
          <t>Transport &amp; Infrastructure (T&amp;I)</t>
        </is>
      </c>
      <c r="S770" s="2" t="inlineStr">
        <is>
          <t>Downer</t>
        </is>
      </c>
      <c r="T770" s="2" t="n">
        <v>100</v>
      </c>
      <c r="W770" s="2" t="inlineStr">
        <is>
          <t>Classification</t>
        </is>
      </c>
      <c r="X770" s="2" t="n">
        <v>-37.754</v>
      </c>
      <c r="Y770" s="2" t="n">
        <v>175.2349</v>
      </c>
    </row>
    <row r="771">
      <c r="A771" s="2" t="inlineStr">
        <is>
          <t>Downer</t>
        </is>
      </c>
      <c r="B771" s="2" t="inlineStr">
        <is>
          <t>Asphalt Prod - Hobart (329)</t>
        </is>
      </c>
      <c r="C771" s="2" t="inlineStr">
        <is>
          <t>Asphalt Plant</t>
        </is>
      </c>
      <c r="D771" s="2" t="inlineStr">
        <is>
          <t>L9.J.17030565</t>
        </is>
      </c>
      <c r="E771" s="2" t="n">
        <v>17030565</v>
      </c>
      <c r="H771" s="2" t="inlineStr">
        <is>
          <t>429 Flagstaff Gully Road</t>
        </is>
      </c>
      <c r="I771" s="2" t="inlineStr">
        <is>
          <t>Lindisfarne</t>
        </is>
      </c>
      <c r="J771" s="2" t="inlineStr">
        <is>
          <t>TAS</t>
        </is>
      </c>
      <c r="K771" s="2" t="n">
        <v>7015</v>
      </c>
      <c r="L771" s="2" t="inlineStr">
        <is>
          <t>Australia</t>
        </is>
      </c>
      <c r="M771" s="2" t="inlineStr">
        <is>
          <t>Tasmania</t>
        </is>
      </c>
      <c r="N771" s="2" t="inlineStr">
        <is>
          <t>Australia</t>
        </is>
      </c>
      <c r="P771" s="2" t="inlineStr">
        <is>
          <t>Operational Control</t>
        </is>
      </c>
      <c r="Q771" s="2" t="inlineStr">
        <is>
          <t>Operational Control</t>
        </is>
      </c>
      <c r="R771" s="2" t="inlineStr">
        <is>
          <t>Transport &amp; Infrastructure (T&amp;I)</t>
        </is>
      </c>
      <c r="S771" s="2" t="inlineStr">
        <is>
          <t>Downer</t>
        </is>
      </c>
      <c r="T771" s="2" t="n">
        <v>100</v>
      </c>
      <c r="W771" s="2" t="inlineStr">
        <is>
          <t>Classification</t>
        </is>
      </c>
      <c r="X771" s="2" t="n">
        <v>-42.825</v>
      </c>
      <c r="Y771" s="2" t="n">
        <v>147.376</v>
      </c>
      <c r="Z771" s="2" t="n">
        <v>310</v>
      </c>
    </row>
    <row r="772">
      <c r="A772" s="2" t="inlineStr">
        <is>
          <t>Downer</t>
        </is>
      </c>
      <c r="B772" s="2" t="inlineStr">
        <is>
          <t>Asphalt Prod - Hope Valley (628)</t>
        </is>
      </c>
      <c r="C772" s="2" t="inlineStr">
        <is>
          <t>Asphalt Plant</t>
        </is>
      </c>
      <c r="D772" s="2" t="inlineStr">
        <is>
          <t>L9.J.17060635</t>
        </is>
      </c>
      <c r="E772" s="2" t="n">
        <v>628</v>
      </c>
      <c r="G772" s="2" t="inlineStr">
        <is>
          <t>Asphalt plant</t>
        </is>
      </c>
      <c r="H772" s="2" t="inlineStr">
        <is>
          <t>Lot 1046 Hoyle Road</t>
        </is>
      </c>
      <c r="I772" s="2" t="inlineStr">
        <is>
          <t>Hope Valley</t>
        </is>
      </c>
      <c r="J772" s="2" t="inlineStr">
        <is>
          <t>WA</t>
        </is>
      </c>
      <c r="K772" s="2" t="n">
        <v>6165</v>
      </c>
      <c r="L772" s="2" t="inlineStr">
        <is>
          <t>Australia</t>
        </is>
      </c>
      <c r="M772" s="2" t="inlineStr">
        <is>
          <t>Western Australia</t>
        </is>
      </c>
      <c r="N772" s="2" t="inlineStr">
        <is>
          <t>Australia</t>
        </is>
      </c>
      <c r="P772" s="2" t="inlineStr">
        <is>
          <t>Operational Control</t>
        </is>
      </c>
      <c r="Q772" s="2" t="inlineStr">
        <is>
          <t>Operational Control</t>
        </is>
      </c>
      <c r="R772" s="2" t="inlineStr">
        <is>
          <t>Transport &amp; Infrastructure (T&amp;I)</t>
        </is>
      </c>
      <c r="S772" s="2" t="inlineStr">
        <is>
          <t>Downer</t>
        </is>
      </c>
      <c r="T772" s="2" t="n">
        <v>100</v>
      </c>
      <c r="W772" s="2" t="inlineStr">
        <is>
          <t>Classification</t>
        </is>
      </c>
      <c r="X772" s="2" t="n">
        <v>-32.203035</v>
      </c>
      <c r="Y772" s="2" t="n">
        <v>115.790919</v>
      </c>
      <c r="Z772" s="2" t="n">
        <v>170</v>
      </c>
      <c r="AA772" s="11" t="n">
        <v>42552</v>
      </c>
    </row>
    <row r="773">
      <c r="A773" s="2" t="inlineStr">
        <is>
          <t>Downer</t>
        </is>
      </c>
      <c r="B773" s="2" t="inlineStr">
        <is>
          <t>Asphalt Prod - Hume (101)</t>
        </is>
      </c>
      <c r="C773" s="2" t="inlineStr">
        <is>
          <t>Asphalt Plant</t>
        </is>
      </c>
      <c r="D773" s="2" t="inlineStr">
        <is>
          <t>L9.J.17010023</t>
        </is>
      </c>
      <c r="E773" s="2" t="n">
        <v>101</v>
      </c>
      <c r="H773" s="2" t="inlineStr">
        <is>
          <t>36 Sawmill Circuit</t>
        </is>
      </c>
      <c r="I773" s="2" t="inlineStr">
        <is>
          <t>Hume</t>
        </is>
      </c>
      <c r="J773" s="2" t="inlineStr">
        <is>
          <t>ACT</t>
        </is>
      </c>
      <c r="K773" s="2" t="n">
        <v>2620</v>
      </c>
      <c r="L773" s="2" t="inlineStr">
        <is>
          <t>Australia</t>
        </is>
      </c>
      <c r="M773" s="2" t="inlineStr">
        <is>
          <t>Australian Capital Territory</t>
        </is>
      </c>
      <c r="N773" s="2" t="inlineStr">
        <is>
          <t>Australia</t>
        </is>
      </c>
      <c r="P773" s="2" t="inlineStr">
        <is>
          <t>Operational Control</t>
        </is>
      </c>
      <c r="Q773" s="2" t="inlineStr">
        <is>
          <t>Operational Control</t>
        </is>
      </c>
      <c r="R773" s="2" t="inlineStr">
        <is>
          <t>Transport &amp; Infrastructure (T&amp;I)</t>
        </is>
      </c>
      <c r="S773" s="2" t="inlineStr">
        <is>
          <t>Downer</t>
        </is>
      </c>
      <c r="T773" s="2" t="n">
        <v>100</v>
      </c>
      <c r="W773" s="2" t="inlineStr">
        <is>
          <t>Classification</t>
        </is>
      </c>
      <c r="X773" s="2" t="n">
        <v>-35.389</v>
      </c>
      <c r="Y773" s="2" t="n">
        <v>149.169</v>
      </c>
      <c r="Z773" s="2" t="n">
        <v>170</v>
      </c>
    </row>
    <row r="774">
      <c r="A774" s="2" t="inlineStr">
        <is>
          <t>Downer</t>
        </is>
      </c>
      <c r="B774" s="2" t="inlineStr">
        <is>
          <t>Asphalt Prod - Invercargill</t>
        </is>
      </c>
      <c r="C774" s="2" t="inlineStr">
        <is>
          <t>Asphalt Plant</t>
        </is>
      </c>
      <c r="D774" s="2" t="inlineStr">
        <is>
          <t>L9.DNZJ.3509</t>
        </is>
      </c>
      <c r="E774" s="2" t="n">
        <v>3509</v>
      </c>
      <c r="H774" s="2" t="inlineStr">
        <is>
          <t>210 Mersey Street</t>
        </is>
      </c>
      <c r="I774" s="2" t="inlineStr">
        <is>
          <t>West Invercargill</t>
        </is>
      </c>
      <c r="J774" s="2" t="inlineStr">
        <is>
          <t>Invercargill</t>
        </is>
      </c>
      <c r="K774" s="2" t="n">
        <v>9810</v>
      </c>
      <c r="L774" s="2" t="inlineStr">
        <is>
          <t>New Zealand</t>
        </is>
      </c>
      <c r="M774" s="2" t="inlineStr">
        <is>
          <t>Invercargill</t>
        </is>
      </c>
      <c r="N774" s="2" t="inlineStr">
        <is>
          <t>New Zealand</t>
        </is>
      </c>
      <c r="P774" s="2" t="inlineStr">
        <is>
          <t>Operational Control</t>
        </is>
      </c>
      <c r="Q774" s="2" t="inlineStr">
        <is>
          <t>Operational Control</t>
        </is>
      </c>
      <c r="R774" s="2" t="inlineStr">
        <is>
          <t>Transport &amp; Infrastructure (T&amp;I)</t>
        </is>
      </c>
      <c r="S774" s="2" t="inlineStr">
        <is>
          <t>Downer</t>
        </is>
      </c>
      <c r="T774" s="2" t="n">
        <v>100</v>
      </c>
      <c r="W774" s="2" t="inlineStr">
        <is>
          <t>Classification</t>
        </is>
      </c>
      <c r="X774" s="2" t="n">
        <v>-46.4153</v>
      </c>
      <c r="Y774" s="2" t="n">
        <v>168.3396</v>
      </c>
    </row>
    <row r="775">
      <c r="A775" s="2" t="inlineStr">
        <is>
          <t>Downer</t>
        </is>
      </c>
      <c r="B775" s="2" t="inlineStr">
        <is>
          <t>Asphalt Prod - Lismore</t>
        </is>
      </c>
      <c r="C775" s="2" t="inlineStr">
        <is>
          <t>Asphalt Plant</t>
        </is>
      </c>
      <c r="D775" s="2" t="inlineStr">
        <is>
          <t>L9.J.170425</t>
        </is>
      </c>
      <c r="E775" s="2" t="n">
        <v>170425</v>
      </c>
      <c r="G775" s="2" t="inlineStr">
        <is>
          <t>TI-170425 - Asphalt Production - Lismore</t>
        </is>
      </c>
      <c r="H775" s="2" t="inlineStr">
        <is>
          <t>S40 Nimbin Rd</t>
        </is>
      </c>
      <c r="I775" s="2" t="inlineStr">
        <is>
          <t>Blakebrook</t>
        </is>
      </c>
      <c r="J775" s="2" t="inlineStr">
        <is>
          <t>NSW</t>
        </is>
      </c>
      <c r="K775" s="2" t="n">
        <v>2480</v>
      </c>
      <c r="M775" s="2" t="inlineStr">
        <is>
          <t>Lismore</t>
        </is>
      </c>
      <c r="N775" s="2" t="inlineStr">
        <is>
          <t>Australia</t>
        </is>
      </c>
      <c r="P775" s="2" t="inlineStr">
        <is>
          <t>Operational Control</t>
        </is>
      </c>
      <c r="Q775" s="2" t="inlineStr">
        <is>
          <t>Operational Control</t>
        </is>
      </c>
      <c r="R775" s="2" t="inlineStr">
        <is>
          <t>Transport &amp; Infrastructure (T&amp;I)</t>
        </is>
      </c>
      <c r="S775" s="2" t="inlineStr">
        <is>
          <t>Downer</t>
        </is>
      </c>
      <c r="T775" s="2" t="n">
        <v>100</v>
      </c>
      <c r="W775" s="2" t="inlineStr">
        <is>
          <t>Classification</t>
        </is>
      </c>
      <c r="Z775" s="2" t="n">
        <v>170</v>
      </c>
    </row>
    <row r="776">
      <c r="A776" s="2" t="inlineStr">
        <is>
          <t>Downer</t>
        </is>
      </c>
      <c r="B776" s="2" t="inlineStr">
        <is>
          <t>Asphalt Prod - Mackay (400)</t>
        </is>
      </c>
      <c r="C776" s="2" t="inlineStr">
        <is>
          <t>Asphalt Plant</t>
        </is>
      </c>
      <c r="D776" s="2" t="inlineStr">
        <is>
          <t>L9.J.173130</t>
        </is>
      </c>
      <c r="E776" s="2" t="n">
        <v>173130</v>
      </c>
      <c r="H776" s="2" t="inlineStr">
        <is>
          <t>10 118 SPILLER AVE</t>
        </is>
      </c>
      <c r="I776" s="2" t="inlineStr">
        <is>
          <t>MACKAY HARBOUR</t>
        </is>
      </c>
      <c r="J776" s="2" t="inlineStr">
        <is>
          <t>QLD</t>
        </is>
      </c>
      <c r="K776" s="2" t="n">
        <v>4740</v>
      </c>
      <c r="L776" s="2" t="inlineStr">
        <is>
          <t>Australia</t>
        </is>
      </c>
      <c r="M776" s="2" t="inlineStr">
        <is>
          <t>Mackay</t>
        </is>
      </c>
      <c r="N776" s="2" t="inlineStr">
        <is>
          <t>Australia</t>
        </is>
      </c>
      <c r="P776" s="2" t="inlineStr">
        <is>
          <t>Operational Control</t>
        </is>
      </c>
      <c r="Q776" s="2" t="inlineStr">
        <is>
          <t>Operational Control</t>
        </is>
      </c>
      <c r="R776" s="2" t="inlineStr">
        <is>
          <t>Transport &amp; Infrastructure (T&amp;I)</t>
        </is>
      </c>
      <c r="S776" s="2" t="inlineStr">
        <is>
          <t>Downer</t>
        </is>
      </c>
      <c r="T776" s="2" t="n">
        <v>100</v>
      </c>
      <c r="W776" s="2" t="inlineStr">
        <is>
          <t>Classification</t>
        </is>
      </c>
      <c r="Z776" s="2" t="n">
        <v>170</v>
      </c>
    </row>
    <row r="777">
      <c r="A777" s="2" t="inlineStr">
        <is>
          <t>Downer</t>
        </is>
      </c>
      <c r="B777" s="2" t="inlineStr">
        <is>
          <t>Asphalt Prod - Mogo (154)</t>
        </is>
      </c>
      <c r="C777" s="2" t="inlineStr">
        <is>
          <t>Asphalt Plant</t>
        </is>
      </c>
      <c r="D777" s="2" t="inlineStr">
        <is>
          <t>L9.J.170106</t>
        </is>
      </c>
      <c r="E777" s="2" t="n">
        <v>154</v>
      </c>
      <c r="H777" s="2" t="inlineStr">
        <is>
          <t>84 Bimbimbie Road</t>
        </is>
      </c>
      <c r="I777" s="2" t="inlineStr">
        <is>
          <t>Mogo</t>
        </is>
      </c>
      <c r="J777" s="2" t="inlineStr">
        <is>
          <t>NSW</t>
        </is>
      </c>
      <c r="K777" s="2" t="n">
        <v>2536</v>
      </c>
      <c r="L777" s="2" t="inlineStr">
        <is>
          <t>Australia</t>
        </is>
      </c>
      <c r="M777" s="2" t="inlineStr">
        <is>
          <t>New South Wales</t>
        </is>
      </c>
      <c r="N777" s="2" t="inlineStr">
        <is>
          <t>Australia</t>
        </is>
      </c>
      <c r="P777" s="2" t="inlineStr">
        <is>
          <t>Operational Control</t>
        </is>
      </c>
      <c r="Q777" s="2" t="inlineStr">
        <is>
          <t>Operational Control</t>
        </is>
      </c>
      <c r="R777" s="2" t="inlineStr">
        <is>
          <t>Transport &amp; Infrastructure (T&amp;I)</t>
        </is>
      </c>
      <c r="S777" s="2" t="inlineStr">
        <is>
          <t>Downer</t>
        </is>
      </c>
      <c r="T777" s="2" t="n">
        <v>100</v>
      </c>
      <c r="W777" s="2" t="inlineStr">
        <is>
          <t>Classification</t>
        </is>
      </c>
      <c r="X777" s="2" t="n">
        <v>-35.815</v>
      </c>
      <c r="Y777" s="2" t="n">
        <v>150.124</v>
      </c>
      <c r="Z777" s="2" t="n">
        <v>170</v>
      </c>
    </row>
    <row r="778">
      <c r="A778" s="2" t="inlineStr">
        <is>
          <t>Downer</t>
        </is>
      </c>
      <c r="B778" s="2" t="inlineStr">
        <is>
          <t>Asphalt Prod - Mowbray (360)</t>
        </is>
      </c>
      <c r="C778" s="2" t="inlineStr">
        <is>
          <t>Asphalt Plant</t>
        </is>
      </c>
      <c r="D778" s="2" t="inlineStr">
        <is>
          <t>L9.J.17030565</t>
        </is>
      </c>
      <c r="E778" s="2" t="n">
        <v>360</v>
      </c>
      <c r="H778" s="2" t="inlineStr">
        <is>
          <t>59 Remount Rd</t>
        </is>
      </c>
      <c r="I778" s="2" t="inlineStr">
        <is>
          <t>Mowbray</t>
        </is>
      </c>
      <c r="J778" s="2" t="inlineStr">
        <is>
          <t>Tasmania</t>
        </is>
      </c>
      <c r="K778" s="2" t="n">
        <v>7248</v>
      </c>
      <c r="L778" s="2" t="inlineStr">
        <is>
          <t>Australia</t>
        </is>
      </c>
      <c r="M778" s="2" t="inlineStr">
        <is>
          <t>Tasmania</t>
        </is>
      </c>
      <c r="N778" s="2" t="inlineStr">
        <is>
          <t>Australia</t>
        </is>
      </c>
      <c r="P778" s="2" t="inlineStr">
        <is>
          <t>Operational Control</t>
        </is>
      </c>
      <c r="Q778" s="2" t="inlineStr">
        <is>
          <t>Operational Control</t>
        </is>
      </c>
      <c r="R778" s="2" t="inlineStr">
        <is>
          <t>Transport &amp; Infrastructure (T&amp;I)</t>
        </is>
      </c>
      <c r="S778" s="2" t="inlineStr">
        <is>
          <t>Downer</t>
        </is>
      </c>
      <c r="T778" s="2" t="n">
        <v>100</v>
      </c>
      <c r="W778" s="2" t="inlineStr">
        <is>
          <t>Classification</t>
        </is>
      </c>
      <c r="Z778" s="2" t="n">
        <v>170</v>
      </c>
      <c r="AA778" s="11" t="n">
        <v>45139</v>
      </c>
    </row>
    <row r="779">
      <c r="A779" s="2" t="inlineStr">
        <is>
          <t>Downer</t>
        </is>
      </c>
      <c r="B779" s="2" t="inlineStr">
        <is>
          <t>Asphalt Prod - Narrandera (113)</t>
        </is>
      </c>
      <c r="C779" s="2" t="inlineStr">
        <is>
          <t>Asphalt Plant</t>
        </is>
      </c>
      <c r="D779" s="2" t="inlineStr">
        <is>
          <t>L9.J.170115</t>
        </is>
      </c>
      <c r="E779" s="2" t="n">
        <v>113</v>
      </c>
      <c r="H779" s="2" t="inlineStr">
        <is>
          <t>Lot 1 Driscoll Road</t>
        </is>
      </c>
      <c r="I779" s="2" t="inlineStr">
        <is>
          <t>Narrandera</t>
        </is>
      </c>
      <c r="J779" s="2" t="inlineStr">
        <is>
          <t>NSW</t>
        </is>
      </c>
      <c r="K779" s="2" t="n">
        <v>2700</v>
      </c>
      <c r="L779" s="2" t="inlineStr">
        <is>
          <t>Australia</t>
        </is>
      </c>
      <c r="M779" s="2" t="inlineStr">
        <is>
          <t>New South Wales</t>
        </is>
      </c>
      <c r="N779" s="2" t="inlineStr">
        <is>
          <t>Australia</t>
        </is>
      </c>
      <c r="P779" s="2" t="inlineStr">
        <is>
          <t>Operational Control</t>
        </is>
      </c>
      <c r="Q779" s="2" t="inlineStr">
        <is>
          <t>Operational Control</t>
        </is>
      </c>
      <c r="R779" s="2" t="inlineStr">
        <is>
          <t>Transport &amp; Infrastructure (T&amp;I)</t>
        </is>
      </c>
      <c r="S779" s="2" t="inlineStr">
        <is>
          <t>Downer</t>
        </is>
      </c>
      <c r="T779" s="2" t="n">
        <v>100</v>
      </c>
      <c r="W779" s="2" t="inlineStr">
        <is>
          <t>Classification</t>
        </is>
      </c>
      <c r="X779" s="2" t="n">
        <v>-34.726</v>
      </c>
      <c r="Y779" s="2" t="n">
        <v>146.57</v>
      </c>
      <c r="Z779" s="2" t="n">
        <v>170</v>
      </c>
    </row>
    <row r="780">
      <c r="A780" s="2" t="inlineStr">
        <is>
          <t>Downer</t>
        </is>
      </c>
      <c r="B780" s="2" t="inlineStr">
        <is>
          <t>Asphalt Prod - New Plymouth</t>
        </is>
      </c>
      <c r="C780" s="2" t="inlineStr">
        <is>
          <t>Asphalt Plant</t>
        </is>
      </c>
      <c r="D780" s="2" t="inlineStr">
        <is>
          <t>L9.DNZJ.3505</t>
        </is>
      </c>
      <c r="E780" s="2" t="n">
        <v>3505</v>
      </c>
      <c r="H780" s="2" t="inlineStr">
        <is>
          <t>106 Rifle Range Road</t>
        </is>
      </c>
      <c r="I780" s="2" t="inlineStr">
        <is>
          <t>Waiwhakaiho</t>
        </is>
      </c>
      <c r="J780" s="2" t="inlineStr">
        <is>
          <t>New Plymouth</t>
        </is>
      </c>
      <c r="K780" s="2" t="n">
        <v>4312</v>
      </c>
      <c r="L780" s="2" t="inlineStr">
        <is>
          <t>New Zealand</t>
        </is>
      </c>
      <c r="M780" s="2" t="inlineStr">
        <is>
          <t>New Plymouth</t>
        </is>
      </c>
      <c r="N780" s="2" t="inlineStr">
        <is>
          <t>New Zealand</t>
        </is>
      </c>
      <c r="P780" s="2" t="inlineStr">
        <is>
          <t>Operational Control</t>
        </is>
      </c>
      <c r="Q780" s="2" t="inlineStr">
        <is>
          <t>Operational Control</t>
        </is>
      </c>
      <c r="R780" s="2" t="inlineStr">
        <is>
          <t>Transport &amp; Infrastructure (T&amp;I)</t>
        </is>
      </c>
      <c r="S780" s="2" t="inlineStr">
        <is>
          <t>Downer</t>
        </is>
      </c>
      <c r="T780" s="2" t="n">
        <v>100</v>
      </c>
      <c r="W780" s="2" t="inlineStr">
        <is>
          <t>Classification</t>
        </is>
      </c>
      <c r="X780" s="2" t="n">
        <v>-39.0417</v>
      </c>
      <c r="Y780" s="2" t="n">
        <v>174.1171</v>
      </c>
    </row>
    <row r="781">
      <c r="A781" s="2" t="inlineStr">
        <is>
          <t>Downer</t>
        </is>
      </c>
      <c r="B781" s="2" t="inlineStr">
        <is>
          <t>Asphalt Prod - Rosehill (163)</t>
        </is>
      </c>
      <c r="C781" s="2" t="inlineStr">
        <is>
          <t>Asphalt Plant</t>
        </is>
      </c>
      <c r="D781" s="2" t="inlineStr">
        <is>
          <t>L9.J.17010964</t>
        </is>
      </c>
      <c r="E781" s="2" t="n">
        <v>163</v>
      </c>
      <c r="G781" s="2" t="inlineStr">
        <is>
          <t>New Rosehill site - replaced "Rosehill" on Unwins.</t>
        </is>
      </c>
      <c r="H781" s="2" t="inlineStr">
        <is>
          <t>1 Unwin Street</t>
        </is>
      </c>
      <c r="I781" s="2" t="inlineStr">
        <is>
          <t>Rosehill</t>
        </is>
      </c>
      <c r="J781" s="2" t="inlineStr">
        <is>
          <t>NSW</t>
        </is>
      </c>
      <c r="K781" s="2" t="n">
        <v>2142</v>
      </c>
      <c r="M781" s="2" t="inlineStr">
        <is>
          <t>New South Wales</t>
        </is>
      </c>
      <c r="N781" s="2" t="inlineStr">
        <is>
          <t>Australia</t>
        </is>
      </c>
      <c r="P781" s="2" t="inlineStr">
        <is>
          <t>Operational Control</t>
        </is>
      </c>
      <c r="Q781" s="2" t="inlineStr">
        <is>
          <t>Operational Control</t>
        </is>
      </c>
      <c r="R781" s="2" t="inlineStr">
        <is>
          <t>Transport &amp; Infrastructure (T&amp;I)</t>
        </is>
      </c>
      <c r="S781" s="2" t="inlineStr">
        <is>
          <t>Downer</t>
        </is>
      </c>
      <c r="T781" s="2" t="n">
        <v>100</v>
      </c>
      <c r="W781" s="2" t="inlineStr">
        <is>
          <t>Classification</t>
        </is>
      </c>
      <c r="Z781" s="2" t="n">
        <v>170</v>
      </c>
    </row>
    <row r="782">
      <c r="A782" s="2" t="inlineStr">
        <is>
          <t>Downer</t>
        </is>
      </c>
      <c r="B782" s="2" t="inlineStr">
        <is>
          <t>Asphalt Prod - Shepparton (308)</t>
        </is>
      </c>
      <c r="C782" s="2" t="inlineStr">
        <is>
          <t>Asphalt Plant</t>
        </is>
      </c>
      <c r="D782" s="2" t="inlineStr">
        <is>
          <t>L9.J.17030534</t>
        </is>
      </c>
      <c r="E782" s="2" t="n">
        <v>308</v>
      </c>
      <c r="H782" s="2" t="inlineStr">
        <is>
          <t>Apollo Drive</t>
        </is>
      </c>
      <c r="I782" s="2" t="inlineStr">
        <is>
          <t>Shepparton</t>
        </is>
      </c>
      <c r="J782" s="2" t="inlineStr">
        <is>
          <t>VIC</t>
        </is>
      </c>
      <c r="K782" s="2" t="n">
        <v>3630</v>
      </c>
      <c r="L782" s="2" t="inlineStr">
        <is>
          <t>Australia</t>
        </is>
      </c>
      <c r="M782" s="2" t="inlineStr">
        <is>
          <t>Shepparton</t>
        </is>
      </c>
      <c r="N782" s="2" t="inlineStr">
        <is>
          <t>Australia</t>
        </is>
      </c>
      <c r="P782" s="2" t="inlineStr">
        <is>
          <t>Operational Control</t>
        </is>
      </c>
      <c r="Q782" s="2" t="inlineStr">
        <is>
          <t>Operational Control</t>
        </is>
      </c>
      <c r="R782" s="2" t="inlineStr">
        <is>
          <t>Transport &amp; Infrastructure (T&amp;I)</t>
        </is>
      </c>
      <c r="S782" s="2" t="inlineStr">
        <is>
          <t>Downer</t>
        </is>
      </c>
      <c r="T782" s="2" t="n">
        <v>100</v>
      </c>
      <c r="W782" s="2" t="inlineStr">
        <is>
          <t>Classification</t>
        </is>
      </c>
      <c r="X782" s="2" t="n">
        <v>-36.364</v>
      </c>
      <c r="Y782" s="2" t="n">
        <v>145.425</v>
      </c>
      <c r="Z782" s="2" t="n">
        <v>170</v>
      </c>
    </row>
    <row r="783">
      <c r="A783" s="2" t="inlineStr">
        <is>
          <t>Downer</t>
        </is>
      </c>
      <c r="B783" s="2" t="inlineStr">
        <is>
          <t>Asphalt Prod - Somerton (303)</t>
        </is>
      </c>
      <c r="C783" s="2" t="inlineStr">
        <is>
          <t>Asphalt Plant</t>
        </is>
      </c>
      <c r="D783" s="2" t="inlineStr">
        <is>
          <t>L9.J.17032627</t>
        </is>
      </c>
      <c r="E783" s="2" t="n">
        <v>303</v>
      </c>
      <c r="H783" s="2" t="inlineStr">
        <is>
          <t>125-129 Somerton Road</t>
        </is>
      </c>
      <c r="I783" s="2" t="inlineStr">
        <is>
          <t>Somerton</t>
        </is>
      </c>
      <c r="J783" s="2" t="inlineStr">
        <is>
          <t>VIC</t>
        </is>
      </c>
      <c r="K783" s="2" t="n">
        <v>3062</v>
      </c>
      <c r="L783" s="2" t="inlineStr">
        <is>
          <t>Australia</t>
        </is>
      </c>
      <c r="M783" s="2" t="inlineStr">
        <is>
          <t>Victoria</t>
        </is>
      </c>
      <c r="N783" s="2" t="inlineStr">
        <is>
          <t>Australia</t>
        </is>
      </c>
      <c r="P783" s="2" t="inlineStr">
        <is>
          <t>Operational Control</t>
        </is>
      </c>
      <c r="Q783" s="2" t="inlineStr">
        <is>
          <t>Operational Control</t>
        </is>
      </c>
      <c r="R783" s="2" t="inlineStr">
        <is>
          <t>Transport &amp; Infrastructure (T&amp;I)</t>
        </is>
      </c>
      <c r="S783" s="2" t="inlineStr">
        <is>
          <t>Downer</t>
        </is>
      </c>
      <c r="T783" s="2" t="n">
        <v>100</v>
      </c>
      <c r="W783" s="2" t="inlineStr">
        <is>
          <t>Classification</t>
        </is>
      </c>
      <c r="X783" s="2" t="n">
        <v>-37.642</v>
      </c>
      <c r="Y783" s="2" t="n">
        <v>144.942</v>
      </c>
      <c r="Z783" s="2" t="n">
        <v>170</v>
      </c>
    </row>
    <row r="784">
      <c r="A784" s="2" t="inlineStr">
        <is>
          <t>Downer</t>
        </is>
      </c>
      <c r="B784" s="2" t="inlineStr">
        <is>
          <t>Asphalt Prod - Teralba (152)</t>
        </is>
      </c>
      <c r="C784" s="2" t="inlineStr">
        <is>
          <t>Asphalt Plant</t>
        </is>
      </c>
      <c r="D784" s="2" t="inlineStr">
        <is>
          <t>L9.J.17010979</t>
        </is>
      </c>
      <c r="E784" s="2" t="n">
        <v>152</v>
      </c>
      <c r="H784" s="2" t="inlineStr">
        <is>
          <t>Rhondda Road</t>
        </is>
      </c>
      <c r="I784" s="2" t="inlineStr">
        <is>
          <t>Teralba</t>
        </is>
      </c>
      <c r="J784" s="2" t="inlineStr">
        <is>
          <t>NSW</t>
        </is>
      </c>
      <c r="K784" s="2" t="n">
        <v>2284</v>
      </c>
      <c r="L784" s="2" t="inlineStr">
        <is>
          <t>Australia</t>
        </is>
      </c>
      <c r="M784" s="2" t="inlineStr">
        <is>
          <t>New South Wales</t>
        </is>
      </c>
      <c r="N784" s="2" t="inlineStr">
        <is>
          <t>Australia</t>
        </is>
      </c>
      <c r="P784" s="2" t="inlineStr">
        <is>
          <t>Operational Control</t>
        </is>
      </c>
      <c r="Q784" s="2" t="inlineStr">
        <is>
          <t>Operational Control</t>
        </is>
      </c>
      <c r="R784" s="2" t="inlineStr">
        <is>
          <t>Transport &amp; Infrastructure (T&amp;I)</t>
        </is>
      </c>
      <c r="S784" s="2" t="inlineStr">
        <is>
          <t>Downer</t>
        </is>
      </c>
      <c r="T784" s="2" t="n">
        <v>100</v>
      </c>
      <c r="W784" s="2" t="inlineStr">
        <is>
          <t>Classification</t>
        </is>
      </c>
      <c r="X784" s="2" t="n">
        <v>-32.957</v>
      </c>
      <c r="Y784" s="2" t="n">
        <v>151.59</v>
      </c>
      <c r="Z784" s="2" t="n">
        <v>170</v>
      </c>
    </row>
    <row r="785">
      <c r="A785" s="2" t="inlineStr">
        <is>
          <t>Downer</t>
        </is>
      </c>
      <c r="B785" s="2" t="inlineStr">
        <is>
          <t>Asphalt Prod - Traralgon (300)</t>
        </is>
      </c>
      <c r="C785" s="2" t="inlineStr">
        <is>
          <t>Asphalt Plant</t>
        </is>
      </c>
      <c r="D785" s="2" t="inlineStr">
        <is>
          <t>L9.J.17030829</t>
        </is>
      </c>
      <c r="E785" s="2" t="n">
        <v>300</v>
      </c>
      <c r="H785" s="2" t="inlineStr">
        <is>
          <t>24 Rocla Road</t>
        </is>
      </c>
      <c r="I785" s="2" t="inlineStr">
        <is>
          <t>Traralgon</t>
        </is>
      </c>
      <c r="J785" s="2" t="inlineStr">
        <is>
          <t>Victoria</t>
        </is>
      </c>
      <c r="K785" s="2" t="n">
        <v>3844</v>
      </c>
      <c r="M785" s="2" t="inlineStr">
        <is>
          <t>Victoria</t>
        </is>
      </c>
      <c r="N785" s="2" t="inlineStr">
        <is>
          <t>Australia</t>
        </is>
      </c>
      <c r="P785" s="2" t="inlineStr">
        <is>
          <t>Operational Control</t>
        </is>
      </c>
      <c r="Q785" s="2" t="inlineStr">
        <is>
          <t>Operational Control</t>
        </is>
      </c>
      <c r="R785" s="2" t="inlineStr">
        <is>
          <t>Transport &amp; Infrastructure (T&amp;I)</t>
        </is>
      </c>
      <c r="S785" s="2" t="inlineStr">
        <is>
          <t>Downer</t>
        </is>
      </c>
      <c r="T785" s="2" t="n">
        <v>100</v>
      </c>
      <c r="W785" s="2" t="inlineStr">
        <is>
          <t>Classification</t>
        </is>
      </c>
      <c r="Z785" s="2" t="n">
        <v>170</v>
      </c>
    </row>
    <row r="786">
      <c r="A786" s="2" t="inlineStr">
        <is>
          <t>Downer</t>
        </is>
      </c>
      <c r="B786" s="2" t="inlineStr">
        <is>
          <t>Asphalt Prod - Wellington</t>
        </is>
      </c>
      <c r="C786" s="2" t="inlineStr">
        <is>
          <t>Asphalt Plant</t>
        </is>
      </c>
      <c r="D786" s="2" t="inlineStr">
        <is>
          <t>L9.DNZJ.3507</t>
        </is>
      </c>
      <c r="E786" s="2" t="n">
        <v>3507</v>
      </c>
      <c r="H786" s="2" t="inlineStr">
        <is>
          <t>137 Centennial Highway</t>
        </is>
      </c>
      <c r="I786" s="2" t="inlineStr">
        <is>
          <t>Ngauranga</t>
        </is>
      </c>
      <c r="J786" s="2" t="inlineStr">
        <is>
          <t>Wellington</t>
        </is>
      </c>
      <c r="K786" s="2" t="n">
        <v>6035</v>
      </c>
      <c r="L786" s="2" t="inlineStr">
        <is>
          <t>New Zealand</t>
        </is>
      </c>
      <c r="M786" s="2" t="inlineStr">
        <is>
          <t>Wellington</t>
        </is>
      </c>
      <c r="N786" s="2" t="inlineStr">
        <is>
          <t>New Zealand</t>
        </is>
      </c>
      <c r="P786" s="2" t="inlineStr">
        <is>
          <t>Operational Control</t>
        </is>
      </c>
      <c r="Q786" s="2" t="inlineStr">
        <is>
          <t>Operational Control</t>
        </is>
      </c>
      <c r="R786" s="2" t="inlineStr">
        <is>
          <t>Transport &amp; Infrastructure (T&amp;I)</t>
        </is>
      </c>
      <c r="S786" s="2" t="inlineStr">
        <is>
          <t>Downer</t>
        </is>
      </c>
      <c r="T786" s="2" t="n">
        <v>100</v>
      </c>
      <c r="W786" s="2" t="inlineStr">
        <is>
          <t>Classification</t>
        </is>
      </c>
      <c r="X786" s="2" t="n">
        <v>-41.2372</v>
      </c>
      <c r="Y786" s="2" t="n">
        <v>174.8022</v>
      </c>
    </row>
    <row r="787">
      <c r="A787" s="2" t="inlineStr">
        <is>
          <t>Downer</t>
        </is>
      </c>
      <c r="B787" s="2" t="inlineStr">
        <is>
          <t>Asphalt Prod - Whangarei</t>
        </is>
      </c>
      <c r="C787" s="2" t="inlineStr">
        <is>
          <t>Asphalt Plant</t>
        </is>
      </c>
      <c r="D787" s="2" t="inlineStr">
        <is>
          <t>L9.DNZJ.3502</t>
        </is>
      </c>
      <c r="E787" s="2" t="n">
        <v>3502</v>
      </c>
      <c r="F787" s="2" t="n">
        <v>904851</v>
      </c>
      <c r="H787" s="2" t="inlineStr">
        <is>
          <t>116-118 Port Road</t>
        </is>
      </c>
      <c r="I787" s="2" t="inlineStr">
        <is>
          <t>Port Whangarei</t>
        </is>
      </c>
      <c r="J787" s="2" t="inlineStr">
        <is>
          <t>Whangarei</t>
        </is>
      </c>
      <c r="K787" s="2" t="n">
        <v>110</v>
      </c>
      <c r="L787" s="2" t="inlineStr">
        <is>
          <t>New Zealand</t>
        </is>
      </c>
      <c r="M787" s="2" t="inlineStr">
        <is>
          <t>Whangarei</t>
        </is>
      </c>
      <c r="N787" s="2" t="inlineStr">
        <is>
          <t>New Zealand</t>
        </is>
      </c>
      <c r="P787" s="2" t="inlineStr">
        <is>
          <t>Operational Control</t>
        </is>
      </c>
      <c r="Q787" s="2" t="inlineStr">
        <is>
          <t>Operational Control</t>
        </is>
      </c>
      <c r="R787" s="2" t="inlineStr">
        <is>
          <t>Transport &amp; Infrastructure (T&amp;I)</t>
        </is>
      </c>
      <c r="S787" s="2" t="inlineStr">
        <is>
          <t>Downer</t>
        </is>
      </c>
      <c r="T787" s="2" t="n">
        <v>100</v>
      </c>
      <c r="W787" s="2" t="inlineStr">
        <is>
          <t>Classification</t>
        </is>
      </c>
      <c r="X787" s="2" t="n">
        <v>-35.743</v>
      </c>
      <c r="Y787" s="2" t="n">
        <v>174.3394</v>
      </c>
    </row>
    <row r="788">
      <c r="A788" s="2" t="inlineStr">
        <is>
          <t>Downer</t>
        </is>
      </c>
      <c r="B788" s="2" t="inlineStr">
        <is>
          <t>Asphalt Prod - Wingfield (523)</t>
        </is>
      </c>
      <c r="C788" s="2" t="inlineStr">
        <is>
          <t>Asphalt Plant</t>
        </is>
      </c>
      <c r="D788" s="2" t="inlineStr">
        <is>
          <t>L9.J.170523</t>
        </is>
      </c>
      <c r="E788" s="2" t="n">
        <v>523</v>
      </c>
      <c r="H788" s="2" t="inlineStr">
        <is>
          <t>Corner of Grand Junction Road and Rosberg Road</t>
        </is>
      </c>
      <c r="I788" s="2" t="inlineStr">
        <is>
          <t>Wingfield</t>
        </is>
      </c>
      <c r="J788" s="2" t="inlineStr">
        <is>
          <t>SA</t>
        </is>
      </c>
      <c r="K788" s="2" t="n">
        <v>5013</v>
      </c>
      <c r="L788" s="2" t="inlineStr">
        <is>
          <t>Australia</t>
        </is>
      </c>
      <c r="M788" s="2" t="inlineStr">
        <is>
          <t>South Australia</t>
        </is>
      </c>
      <c r="N788" s="2" t="inlineStr">
        <is>
          <t>Australia</t>
        </is>
      </c>
      <c r="P788" s="2" t="inlineStr">
        <is>
          <t>Operational Control</t>
        </is>
      </c>
      <c r="Q788" s="2" t="inlineStr">
        <is>
          <t>Operational Control</t>
        </is>
      </c>
      <c r="R788" s="2" t="inlineStr">
        <is>
          <t>Transport &amp; Infrastructure (T&amp;I)</t>
        </is>
      </c>
      <c r="S788" s="2" t="inlineStr">
        <is>
          <t>Downer</t>
        </is>
      </c>
      <c r="T788" s="2" t="n">
        <v>100</v>
      </c>
      <c r="W788" s="2" t="inlineStr">
        <is>
          <t>Classification</t>
        </is>
      </c>
      <c r="X788" s="2" t="n">
        <v>-34.848011</v>
      </c>
      <c r="Y788" s="2" t="n">
        <v>138.572556</v>
      </c>
      <c r="Z788" s="2" t="n">
        <v>170</v>
      </c>
    </row>
    <row r="789">
      <c r="A789" s="2" t="inlineStr">
        <is>
          <t>Downer</t>
        </is>
      </c>
      <c r="B789" s="2" t="inlineStr">
        <is>
          <t>Asphalt Prod - Wodonga (315)</t>
        </is>
      </c>
      <c r="C789" s="2" t="inlineStr">
        <is>
          <t>Asphalt Plant</t>
        </is>
      </c>
      <c r="D789" s="2" t="inlineStr">
        <is>
          <t>L9.J.17010341</t>
        </is>
      </c>
      <c r="E789" s="2" t="n">
        <v>315</v>
      </c>
      <c r="H789" s="2" t="inlineStr">
        <is>
          <t>25 Moloney Drive</t>
        </is>
      </c>
      <c r="I789" s="2" t="inlineStr">
        <is>
          <t>Wodonga</t>
        </is>
      </c>
      <c r="J789" s="2" t="inlineStr">
        <is>
          <t>VIC</t>
        </is>
      </c>
      <c r="K789" s="2" t="n">
        <v>3689</v>
      </c>
      <c r="L789" s="2" t="inlineStr">
        <is>
          <t>Australia</t>
        </is>
      </c>
      <c r="M789" s="2" t="inlineStr">
        <is>
          <t>Victoria</t>
        </is>
      </c>
      <c r="N789" s="2" t="inlineStr">
        <is>
          <t>Australia</t>
        </is>
      </c>
      <c r="P789" s="2" t="inlineStr">
        <is>
          <t>Operational Control</t>
        </is>
      </c>
      <c r="Q789" s="2" t="inlineStr">
        <is>
          <t>Operational Control</t>
        </is>
      </c>
      <c r="R789" s="2" t="inlineStr">
        <is>
          <t>Transport &amp; Infrastructure (T&amp;I)</t>
        </is>
      </c>
      <c r="S789" s="2" t="inlineStr">
        <is>
          <t>Downer</t>
        </is>
      </c>
      <c r="T789" s="2" t="n">
        <v>100</v>
      </c>
      <c r="W789" s="2" t="inlineStr">
        <is>
          <t>Classification</t>
        </is>
      </c>
      <c r="X789" s="2" t="n">
        <v>-36.105</v>
      </c>
      <c r="Y789" s="2" t="n">
        <v>146.853</v>
      </c>
      <c r="Z789" s="2" t="n">
        <v>170</v>
      </c>
    </row>
    <row r="790">
      <c r="A790" s="2" t="inlineStr">
        <is>
          <t>Downer</t>
        </is>
      </c>
      <c r="B790" s="2" t="inlineStr">
        <is>
          <t>Asphalt Production - Admin</t>
        </is>
      </c>
      <c r="C790" s="2" t="inlineStr">
        <is>
          <t>Other</t>
        </is>
      </c>
      <c r="D790" s="2" t="inlineStr">
        <is>
          <t>L9.DNZJ.3501</t>
        </is>
      </c>
      <c r="E790" s="2" t="n">
        <v>3501</v>
      </c>
      <c r="H790" s="2" t="inlineStr">
        <is>
          <t>130 Kerrs Road</t>
        </is>
      </c>
      <c r="I790" s="2" t="inlineStr">
        <is>
          <t>Wiri</t>
        </is>
      </c>
      <c r="J790" s="2" t="inlineStr">
        <is>
          <t>Auckland</t>
        </is>
      </c>
      <c r="K790" s="2" t="n">
        <v>2104</v>
      </c>
      <c r="L790" s="2" t="inlineStr">
        <is>
          <t>New Zealand</t>
        </is>
      </c>
      <c r="M790" s="2" t="inlineStr">
        <is>
          <t>Manurewa</t>
        </is>
      </c>
      <c r="N790" s="2" t="inlineStr">
        <is>
          <t>New Zealand</t>
        </is>
      </c>
      <c r="P790" s="2" t="inlineStr">
        <is>
          <t>Operational Control</t>
        </is>
      </c>
      <c r="Q790" s="2" t="inlineStr">
        <is>
          <t>Operational Control</t>
        </is>
      </c>
      <c r="R790" s="2" t="inlineStr">
        <is>
          <t>Transport &amp; Infrastructure (T&amp;I)</t>
        </is>
      </c>
      <c r="S790" s="2" t="inlineStr">
        <is>
          <t>Downer</t>
        </is>
      </c>
      <c r="T790" s="2" t="n">
        <v>100</v>
      </c>
      <c r="W790" s="2" t="inlineStr">
        <is>
          <t>Classification</t>
        </is>
      </c>
      <c r="X790" s="2" t="n">
        <v>-37.0083</v>
      </c>
      <c r="Y790" s="2" t="n">
        <v>174.8705</v>
      </c>
    </row>
    <row r="791">
      <c r="A791" s="2" t="inlineStr">
        <is>
          <t>Downer</t>
        </is>
      </c>
      <c r="B791" s="2" t="inlineStr">
        <is>
          <t>Asset Inspection EU Subcontractors</t>
        </is>
      </c>
      <c r="C791" s="2" t="inlineStr">
        <is>
          <t>Other</t>
        </is>
      </c>
      <c r="D791" s="2" t="inlineStr">
        <is>
          <t>L9.J.22910012</t>
        </is>
      </c>
      <c r="E791" s="2" t="inlineStr">
        <is>
          <t>L9.J.22910012</t>
        </is>
      </c>
      <c r="F791" s="2" t="inlineStr">
        <is>
          <t>L9.J.22910012</t>
        </is>
      </c>
      <c r="M791" s="2" t="inlineStr">
        <is>
          <t>North Ryde</t>
        </is>
      </c>
      <c r="N791" s="2" t="inlineStr">
        <is>
          <t>Australia</t>
        </is>
      </c>
      <c r="P791" s="2" t="inlineStr">
        <is>
          <t>Operational Control</t>
        </is>
      </c>
      <c r="Q791" s="2" t="inlineStr">
        <is>
          <t>Operational Control</t>
        </is>
      </c>
      <c r="R791" s="2" t="inlineStr">
        <is>
          <t>Energy and Utilities (EU)</t>
        </is>
      </c>
      <c r="S791" s="2" t="inlineStr">
        <is>
          <t>Downer</t>
        </is>
      </c>
      <c r="T791" s="2" t="n">
        <v>100</v>
      </c>
      <c r="W791" s="2" t="inlineStr">
        <is>
          <t>Classification</t>
        </is>
      </c>
    </row>
    <row r="792">
      <c r="A792" s="2" t="inlineStr">
        <is>
          <t>Downer</t>
        </is>
      </c>
      <c r="B792" s="2" t="inlineStr">
        <is>
          <t>Asset Investment Hub NZ</t>
        </is>
      </c>
      <c r="C792" s="2" t="inlineStr">
        <is>
          <t>Other</t>
        </is>
      </c>
      <c r="D792" s="2" t="inlineStr">
        <is>
          <t>L9.DNZJ.1939</t>
        </is>
      </c>
      <c r="E792" s="2" t="n">
        <v>1939</v>
      </c>
      <c r="M792" s="2" t="inlineStr">
        <is>
          <t>Auckland</t>
        </is>
      </c>
      <c r="N792" s="2" t="inlineStr">
        <is>
          <t>New Zealand</t>
        </is>
      </c>
      <c r="P792" s="2" t="inlineStr">
        <is>
          <t>Operational Control</t>
        </is>
      </c>
      <c r="Q792" s="2" t="inlineStr">
        <is>
          <t>Operational Control</t>
        </is>
      </c>
      <c r="R792" s="2" t="inlineStr">
        <is>
          <t>Transport &amp; Infrastructure (T&amp;I)</t>
        </is>
      </c>
      <c r="S792" s="2" t="inlineStr">
        <is>
          <t>Downer</t>
        </is>
      </c>
      <c r="T792" s="2" t="n">
        <v>100</v>
      </c>
      <c r="W792" s="2" t="inlineStr">
        <is>
          <t>Classification</t>
        </is>
      </c>
    </row>
    <row r="793">
      <c r="A793" s="2" t="inlineStr">
        <is>
          <t>Downer</t>
        </is>
      </c>
      <c r="B793" s="2" t="inlineStr">
        <is>
          <t>Asset Management</t>
        </is>
      </c>
      <c r="C793" s="2" t="inlineStr">
        <is>
          <t>Other</t>
        </is>
      </c>
      <c r="D793" s="2" t="inlineStr">
        <is>
          <t>L9.DNZ.810.10.130</t>
        </is>
      </c>
      <c r="E793" s="2" t="n">
        <v>10130</v>
      </c>
      <c r="G793" s="2" t="n">
        <v>10.13</v>
      </c>
      <c r="H793" s="2" t="inlineStr">
        <is>
          <t>130 Kerrs Road</t>
        </is>
      </c>
      <c r="I793" s="2" t="inlineStr">
        <is>
          <t>Wiri</t>
        </is>
      </c>
      <c r="J793" s="2" t="inlineStr">
        <is>
          <t>Auckland</t>
        </is>
      </c>
      <c r="K793" s="2" t="n">
        <v>2104</v>
      </c>
      <c r="L793" s="2" t="inlineStr">
        <is>
          <t>New Zealand</t>
        </is>
      </c>
      <c r="M793" s="2" t="inlineStr">
        <is>
          <t>Manurewa</t>
        </is>
      </c>
      <c r="N793" s="2" t="inlineStr">
        <is>
          <t>New Zealand</t>
        </is>
      </c>
      <c r="P793" s="2" t="inlineStr">
        <is>
          <t>Operational Control</t>
        </is>
      </c>
      <c r="Q793" s="2" t="inlineStr">
        <is>
          <t>Operational Control</t>
        </is>
      </c>
      <c r="R793" s="2" t="inlineStr">
        <is>
          <t>Social Infra &amp; Citizen Serv (SICS)</t>
        </is>
      </c>
      <c r="S793" s="2" t="inlineStr">
        <is>
          <t>Downer</t>
        </is>
      </c>
      <c r="T793" s="2" t="n">
        <v>100</v>
      </c>
      <c r="W793" s="2" t="inlineStr">
        <is>
          <t>Classification</t>
        </is>
      </c>
      <c r="X793" s="2" t="n">
        <v>-37.0083</v>
      </c>
      <c r="Y793" s="2" t="n">
        <v>174.8705</v>
      </c>
    </row>
    <row r="794">
      <c r="A794" s="2" t="inlineStr">
        <is>
          <t>Downer</t>
        </is>
      </c>
      <c r="B794" s="2" t="inlineStr">
        <is>
          <t>Asset Management (T&amp;I)</t>
        </is>
      </c>
      <c r="C794" s="2" t="inlineStr">
        <is>
          <t>Other</t>
        </is>
      </c>
      <c r="D794" s="2" t="inlineStr">
        <is>
          <t>L9.DNZJ.55904</t>
        </is>
      </c>
      <c r="E794" s="2" t="n">
        <v>55904</v>
      </c>
      <c r="M794" s="2" t="inlineStr">
        <is>
          <t>Auckland</t>
        </is>
      </c>
      <c r="N794" s="2" t="inlineStr">
        <is>
          <t>New Zealand</t>
        </is>
      </c>
      <c r="P794" s="2" t="inlineStr">
        <is>
          <t>Operational Control</t>
        </is>
      </c>
      <c r="Q794" s="2" t="inlineStr">
        <is>
          <t>Operational Control</t>
        </is>
      </c>
      <c r="R794" s="2" t="inlineStr">
        <is>
          <t>Transport &amp; Infrastructure (T&amp;I)</t>
        </is>
      </c>
      <c r="S794" s="2" t="inlineStr">
        <is>
          <t>Downer</t>
        </is>
      </c>
      <c r="T794" s="2" t="n">
        <v>100</v>
      </c>
      <c r="W794" s="2" t="inlineStr">
        <is>
          <t>Classification</t>
        </is>
      </c>
    </row>
    <row r="795">
      <c r="A795" s="2" t="inlineStr">
        <is>
          <t>Downer</t>
        </is>
      </c>
      <c r="B795" s="2" t="inlineStr">
        <is>
          <t>Asset Managemt &amp; Chip Sealing</t>
        </is>
      </c>
      <c r="C795" s="2" t="inlineStr">
        <is>
          <t>Other</t>
        </is>
      </c>
      <c r="D795" s="2" t="inlineStr">
        <is>
          <t>L9.DNZJ.55962</t>
        </is>
      </c>
      <c r="E795" s="2" t="n">
        <v>55962</v>
      </c>
      <c r="M795" s="2" t="inlineStr">
        <is>
          <t>Manurewa</t>
        </is>
      </c>
      <c r="N795" s="2" t="inlineStr">
        <is>
          <t>New Zealand</t>
        </is>
      </c>
      <c r="P795" s="2" t="inlineStr">
        <is>
          <t>Operational Control</t>
        </is>
      </c>
      <c r="Q795" s="2" t="inlineStr">
        <is>
          <t>Operational Control</t>
        </is>
      </c>
      <c r="R795" s="2" t="inlineStr">
        <is>
          <t>Transport &amp; Infrastructure (T&amp;I)</t>
        </is>
      </c>
      <c r="S795" s="2" t="inlineStr">
        <is>
          <t>Downer</t>
        </is>
      </c>
      <c r="T795" s="2" t="n">
        <v>100</v>
      </c>
      <c r="W795" s="2" t="inlineStr">
        <is>
          <t>Classification</t>
        </is>
      </c>
    </row>
    <row r="796">
      <c r="A796" s="2" t="inlineStr">
        <is>
          <t>Downer</t>
        </is>
      </c>
      <c r="B796" s="2" t="inlineStr">
        <is>
          <t>Asset/Technical Projects</t>
        </is>
      </c>
      <c r="C796" s="2" t="inlineStr">
        <is>
          <t>Other</t>
        </is>
      </c>
      <c r="D796" s="2" t="inlineStr">
        <is>
          <t>L9.DNZJ.55907</t>
        </is>
      </c>
      <c r="E796" s="2" t="n">
        <v>55907</v>
      </c>
      <c r="M796" s="2" t="inlineStr">
        <is>
          <t>Manurewa</t>
        </is>
      </c>
      <c r="N796" s="2" t="inlineStr">
        <is>
          <t>New Zealand</t>
        </is>
      </c>
      <c r="P796" s="2" t="inlineStr">
        <is>
          <t>Operational Control</t>
        </is>
      </c>
      <c r="Q796" s="2" t="inlineStr">
        <is>
          <t>Operational Control</t>
        </is>
      </c>
      <c r="R796" s="2" t="inlineStr">
        <is>
          <t>Transport &amp; Infrastructure (T&amp;I)</t>
        </is>
      </c>
      <c r="S796" s="2" t="inlineStr">
        <is>
          <t>Downer</t>
        </is>
      </c>
      <c r="T796" s="2" t="n">
        <v>100</v>
      </c>
      <c r="W796" s="2" t="inlineStr">
        <is>
          <t>Classification</t>
        </is>
      </c>
    </row>
    <row r="797">
      <c r="A797" s="2" t="inlineStr">
        <is>
          <t>Downer</t>
        </is>
      </c>
      <c r="B797" s="2" t="inlineStr">
        <is>
          <t>AT Central Urban RCM</t>
        </is>
      </c>
      <c r="C797" s="2" t="inlineStr">
        <is>
          <t>Other</t>
        </is>
      </c>
      <c r="D797" s="2" t="inlineStr">
        <is>
          <t>L9.DNZJ.54729</t>
        </is>
      </c>
      <c r="E797" s="2" t="n">
        <v>54729</v>
      </c>
      <c r="F797" s="2" t="n">
        <v>54729</v>
      </c>
      <c r="G797" s="2" t="inlineStr">
        <is>
          <t>TI-NZT-54729 - AT Central Urban RCM</t>
        </is>
      </c>
      <c r="M797" s="2" t="inlineStr">
        <is>
          <t>Auckland</t>
        </is>
      </c>
      <c r="N797" s="2" t="inlineStr">
        <is>
          <t>New Zealand</t>
        </is>
      </c>
      <c r="P797" s="2" t="inlineStr">
        <is>
          <t>Operational Control</t>
        </is>
      </c>
      <c r="Q797" s="2" t="inlineStr">
        <is>
          <t>Operational Control</t>
        </is>
      </c>
      <c r="R797" s="2" t="inlineStr">
        <is>
          <t>Transport &amp; Infrastructure (T&amp;I)</t>
        </is>
      </c>
      <c r="S797" s="2" t="inlineStr">
        <is>
          <t>Downer</t>
        </is>
      </c>
      <c r="T797" s="2" t="n">
        <v>100</v>
      </c>
      <c r="W797" s="2" t="inlineStr">
        <is>
          <t>Classification</t>
        </is>
      </c>
    </row>
    <row r="798">
      <c r="A798" s="2" t="inlineStr">
        <is>
          <t>Downer</t>
        </is>
      </c>
      <c r="B798" s="2" t="inlineStr">
        <is>
          <t>AT HGI - Parent Contracts</t>
        </is>
      </c>
      <c r="C798" s="2" t="inlineStr">
        <is>
          <t>Other</t>
        </is>
      </c>
      <c r="D798" s="2" t="inlineStr">
        <is>
          <t>L9.DNZJ.550431</t>
        </is>
      </c>
      <c r="E798" s="2" t="n">
        <v>550431</v>
      </c>
      <c r="H798" s="2" t="inlineStr">
        <is>
          <t>7 Waitai Road</t>
        </is>
      </c>
      <c r="I798" s="2" t="inlineStr">
        <is>
          <t>Ostend</t>
        </is>
      </c>
      <c r="J798" s="2" t="inlineStr">
        <is>
          <t>Waiheke Island</t>
        </is>
      </c>
      <c r="K798" s="2" t="n">
        <v>1081</v>
      </c>
      <c r="L798" s="2" t="inlineStr">
        <is>
          <t>New Zealand</t>
        </is>
      </c>
      <c r="M798" s="2" t="inlineStr">
        <is>
          <t>Pakuranga</t>
        </is>
      </c>
      <c r="N798" s="2" t="inlineStr">
        <is>
          <t>New Zealand</t>
        </is>
      </c>
      <c r="P798" s="2" t="inlineStr">
        <is>
          <t>Operational Control</t>
        </is>
      </c>
      <c r="Q798" s="2" t="inlineStr">
        <is>
          <t>Operational Control</t>
        </is>
      </c>
      <c r="R798" s="2" t="inlineStr">
        <is>
          <t>Transport &amp; Infrastructure (T&amp;I)</t>
        </is>
      </c>
      <c r="S798" s="2" t="inlineStr">
        <is>
          <t>Downer</t>
        </is>
      </c>
      <c r="T798" s="2" t="n">
        <v>100</v>
      </c>
      <c r="W798" s="2" t="inlineStr">
        <is>
          <t>Classification</t>
        </is>
      </c>
      <c r="X798" s="2" t="n">
        <v>-36.7949</v>
      </c>
      <c r="Y798" s="2" t="n">
        <v>175.0432</v>
      </c>
    </row>
    <row r="799">
      <c r="A799" s="2" t="inlineStr">
        <is>
          <t>Downer</t>
        </is>
      </c>
      <c r="B799" s="2" t="inlineStr">
        <is>
          <t>AU Fleet - Heavy EU Subcontractors</t>
        </is>
      </c>
      <c r="C799" s="2" t="inlineStr">
        <is>
          <t>Other</t>
        </is>
      </c>
      <c r="D799" s="2" t="inlineStr">
        <is>
          <t>L9.DUN.60510</t>
        </is>
      </c>
      <c r="E799" s="2" t="inlineStr">
        <is>
          <t>L9.DUN.60510</t>
        </is>
      </c>
      <c r="M799" s="2" t="inlineStr">
        <is>
          <t>North Ryde</t>
        </is>
      </c>
      <c r="N799" s="2" t="inlineStr">
        <is>
          <t>Australia</t>
        </is>
      </c>
      <c r="P799" s="2" t="inlineStr">
        <is>
          <t>Operational Control</t>
        </is>
      </c>
      <c r="Q799" s="2" t="inlineStr">
        <is>
          <t>Operational Control</t>
        </is>
      </c>
      <c r="R799" s="2" t="inlineStr">
        <is>
          <t>Energy and Utilities (EU)</t>
        </is>
      </c>
      <c r="S799" s="2" t="inlineStr">
        <is>
          <t>Downer</t>
        </is>
      </c>
      <c r="T799" s="2" t="n">
        <v>100</v>
      </c>
      <c r="W799" s="2" t="inlineStr">
        <is>
          <t>Classification</t>
        </is>
      </c>
    </row>
    <row r="800">
      <c r="A800" s="2" t="inlineStr">
        <is>
          <t>Downer</t>
        </is>
      </c>
      <c r="B800" s="2" t="inlineStr">
        <is>
          <t>Auburn</t>
        </is>
      </c>
      <c r="C800" s="2" t="inlineStr">
        <is>
          <t>Depot</t>
        </is>
      </c>
      <c r="D800" s="2" t="inlineStr">
        <is>
          <t>L9.J.710002</t>
        </is>
      </c>
      <c r="E800" s="2" t="n">
        <v>3002</v>
      </c>
      <c r="F800" s="2" t="n">
        <v>11</v>
      </c>
      <c r="H800" s="2" t="inlineStr">
        <is>
          <t>154 Manchester Rd</t>
        </is>
      </c>
      <c r="I800" s="2" t="inlineStr">
        <is>
          <t>Auburn</t>
        </is>
      </c>
      <c r="J800" s="2" t="inlineStr">
        <is>
          <t>NSW</t>
        </is>
      </c>
      <c r="K800" s="2" t="n">
        <v>2144</v>
      </c>
      <c r="L800" s="2" t="inlineStr">
        <is>
          <t>Australia</t>
        </is>
      </c>
      <c r="M800" s="2" t="inlineStr">
        <is>
          <t>New South Wales</t>
        </is>
      </c>
      <c r="N800" s="2" t="inlineStr">
        <is>
          <t>Australia</t>
        </is>
      </c>
      <c r="P800" s="2" t="inlineStr">
        <is>
          <t>Operational Control</t>
        </is>
      </c>
      <c r="Q800" s="2" t="inlineStr">
        <is>
          <t>Operational Control</t>
        </is>
      </c>
      <c r="R800" s="2" t="inlineStr">
        <is>
          <t>Rail &amp; Transit Systems (RTS)</t>
        </is>
      </c>
      <c r="S800" s="2" t="inlineStr">
        <is>
          <t>Downer</t>
        </is>
      </c>
      <c r="T800" s="2" t="n">
        <v>100</v>
      </c>
      <c r="W800" s="2" t="inlineStr">
        <is>
          <t>Classification</t>
        </is>
      </c>
      <c r="X800" s="2" t="n">
        <v>-33.846</v>
      </c>
      <c r="Y800" s="2" t="n">
        <v>151.022</v>
      </c>
      <c r="Z800" s="2" t="n">
        <v>239</v>
      </c>
    </row>
    <row r="801">
      <c r="A801" s="2" t="inlineStr">
        <is>
          <t>Downer</t>
        </is>
      </c>
      <c r="B801" s="2" t="inlineStr">
        <is>
          <t>Auckland &amp; Northland-Overhead</t>
        </is>
      </c>
      <c r="C801" s="2" t="inlineStr">
        <is>
          <t>Other</t>
        </is>
      </c>
      <c r="D801" s="2" t="inlineStr">
        <is>
          <t>L9.DNZJ.55924</t>
        </is>
      </c>
      <c r="E801" s="2" t="n">
        <v>55924</v>
      </c>
      <c r="H801" s="2" t="inlineStr">
        <is>
          <t>130 Kerrs Road</t>
        </is>
      </c>
      <c r="I801" s="2" t="inlineStr">
        <is>
          <t>Wiri</t>
        </is>
      </c>
      <c r="J801" s="2" t="inlineStr">
        <is>
          <t>Auckland</t>
        </is>
      </c>
      <c r="K801" s="2" t="n">
        <v>2104</v>
      </c>
      <c r="L801" s="2" t="inlineStr">
        <is>
          <t>New Zealand</t>
        </is>
      </c>
      <c r="M801" s="2" t="inlineStr">
        <is>
          <t>Manurewa</t>
        </is>
      </c>
      <c r="N801" s="2" t="inlineStr">
        <is>
          <t>New Zealand</t>
        </is>
      </c>
      <c r="P801" s="2" t="inlineStr">
        <is>
          <t>Operational Control</t>
        </is>
      </c>
      <c r="Q801" s="2" t="inlineStr">
        <is>
          <t>Operational Control</t>
        </is>
      </c>
      <c r="R801" s="2" t="inlineStr">
        <is>
          <t>Transport &amp; Infrastructure (T&amp;I)</t>
        </is>
      </c>
      <c r="S801" s="2" t="inlineStr">
        <is>
          <t>Downer</t>
        </is>
      </c>
      <c r="T801" s="2" t="n">
        <v>100</v>
      </c>
      <c r="W801" s="2" t="inlineStr">
        <is>
          <t>Classification</t>
        </is>
      </c>
      <c r="X801" s="2" t="n">
        <v>-37.0083</v>
      </c>
      <c r="Y801" s="2" t="n">
        <v>174.8705</v>
      </c>
    </row>
    <row r="802">
      <c r="A802" s="2" t="inlineStr">
        <is>
          <t>Downer</t>
        </is>
      </c>
      <c r="B802" s="2" t="inlineStr">
        <is>
          <t>Auckland (4a Wellesley Court)</t>
        </is>
      </c>
      <c r="C802" s="2" t="inlineStr">
        <is>
          <t>Commercial</t>
        </is>
      </c>
      <c r="D802" s="2" t="inlineStr">
        <is>
          <t>L9.DNZJ.91407</t>
        </is>
      </c>
      <c r="E802" s="2" t="n">
        <v>91407</v>
      </c>
      <c r="G802" s="2" t="inlineStr">
        <is>
          <t>COR-NZHO-91407 - Auckland (4a Wellesley Court)</t>
        </is>
      </c>
      <c r="H802" s="2" t="inlineStr">
        <is>
          <t>4a Wellesley Court</t>
        </is>
      </c>
      <c r="I802" s="2" t="inlineStr">
        <is>
          <t>Auckland</t>
        </is>
      </c>
      <c r="M802" s="2" t="inlineStr">
        <is>
          <t>Auckland City</t>
        </is>
      </c>
      <c r="N802" s="2" t="inlineStr">
        <is>
          <t>New Zealand</t>
        </is>
      </c>
      <c r="P802" s="2" t="inlineStr">
        <is>
          <t>Operational Control</t>
        </is>
      </c>
      <c r="Q802" s="2" t="inlineStr">
        <is>
          <t>Operational Control</t>
        </is>
      </c>
      <c r="R802" s="2" t="inlineStr">
        <is>
          <t>Corporate</t>
        </is>
      </c>
      <c r="S802" s="2" t="inlineStr">
        <is>
          <t>Downer</t>
        </is>
      </c>
      <c r="T802" s="2" t="n">
        <v>100</v>
      </c>
      <c r="W802" s="2" t="inlineStr">
        <is>
          <t>Classification</t>
        </is>
      </c>
    </row>
    <row r="803">
      <c r="A803" s="2" t="inlineStr">
        <is>
          <t>Downer</t>
        </is>
      </c>
      <c r="B803" s="2" t="inlineStr">
        <is>
          <t>Auckland Deployment EU Subcontractors</t>
        </is>
      </c>
      <c r="C803" s="2" t="inlineStr">
        <is>
          <t>Other</t>
        </is>
      </c>
      <c r="D803" s="2" t="inlineStr">
        <is>
          <t>L9.DNZ.810.20788</t>
        </is>
      </c>
      <c r="E803" s="2" t="inlineStr">
        <is>
          <t>L9.DNZ.810.20788</t>
        </is>
      </c>
      <c r="M803" s="2" t="inlineStr">
        <is>
          <t>Auckland City</t>
        </is>
      </c>
      <c r="N803" s="2" t="inlineStr">
        <is>
          <t>New Zealand</t>
        </is>
      </c>
      <c r="P803" s="2" t="inlineStr">
        <is>
          <t>Operational Control</t>
        </is>
      </c>
      <c r="Q803" s="2" t="inlineStr">
        <is>
          <t>Operational Control</t>
        </is>
      </c>
      <c r="R803" s="2" t="inlineStr">
        <is>
          <t>Energy and Utilities (EU)</t>
        </is>
      </c>
      <c r="S803" s="2" t="inlineStr">
        <is>
          <t>Downer</t>
        </is>
      </c>
      <c r="T803" s="2" t="n">
        <v>100</v>
      </c>
      <c r="W803" s="2" t="inlineStr">
        <is>
          <t>Classification</t>
        </is>
      </c>
    </row>
    <row r="804">
      <c r="A804" s="2" t="inlineStr">
        <is>
          <t>Downer</t>
        </is>
      </c>
      <c r="B804" s="2" t="inlineStr">
        <is>
          <t>Auckland Laboratory</t>
        </is>
      </c>
      <c r="C804" s="2" t="inlineStr">
        <is>
          <t>Other</t>
        </is>
      </c>
      <c r="D804" s="2" t="inlineStr">
        <is>
          <t>L9.DNZJ.3521</t>
        </is>
      </c>
      <c r="E804" s="2" t="n">
        <v>3521</v>
      </c>
      <c r="H804" s="2" t="inlineStr">
        <is>
          <t>130 Kerrs Road</t>
        </is>
      </c>
      <c r="I804" s="2" t="inlineStr">
        <is>
          <t>Wiri</t>
        </is>
      </c>
      <c r="J804" s="2" t="inlineStr">
        <is>
          <t>Auckland</t>
        </is>
      </c>
      <c r="K804" s="2" t="n">
        <v>2104</v>
      </c>
      <c r="L804" s="2" t="inlineStr">
        <is>
          <t>New Zealand</t>
        </is>
      </c>
      <c r="M804" s="2" t="inlineStr">
        <is>
          <t>Manurewa</t>
        </is>
      </c>
      <c r="N804" s="2" t="inlineStr">
        <is>
          <t>New Zealand</t>
        </is>
      </c>
      <c r="P804" s="2" t="inlineStr">
        <is>
          <t>Operational Control</t>
        </is>
      </c>
      <c r="Q804" s="2" t="inlineStr">
        <is>
          <t>Operational Control</t>
        </is>
      </c>
      <c r="R804" s="2" t="inlineStr">
        <is>
          <t>Transport &amp; Infrastructure (T&amp;I)</t>
        </is>
      </c>
      <c r="S804" s="2" t="inlineStr">
        <is>
          <t>Downer</t>
        </is>
      </c>
      <c r="T804" s="2" t="n">
        <v>100</v>
      </c>
      <c r="W804" s="2" t="inlineStr">
        <is>
          <t>Classification</t>
        </is>
      </c>
      <c r="X804" s="2" t="n">
        <v>-37.0083</v>
      </c>
      <c r="Y804" s="2" t="n">
        <v>174.8705</v>
      </c>
    </row>
    <row r="805">
      <c r="A805" s="2" t="inlineStr">
        <is>
          <t>Downer</t>
        </is>
      </c>
      <c r="B805" s="2" t="inlineStr">
        <is>
          <t>Auckland Mobile Network Build</t>
        </is>
      </c>
      <c r="C805" s="2" t="inlineStr">
        <is>
          <t>Other</t>
        </is>
      </c>
      <c r="D805" s="2" t="inlineStr">
        <is>
          <t>L9.DNZ.810.10.242</t>
        </is>
      </c>
      <c r="E805" s="2" t="n">
        <v>10242</v>
      </c>
      <c r="G805" s="2" t="n">
        <v>10.242</v>
      </c>
      <c r="H805" s="2" t="inlineStr">
        <is>
          <t>130 Kerrs Road</t>
        </is>
      </c>
      <c r="I805" s="2" t="inlineStr">
        <is>
          <t>Wiri</t>
        </is>
      </c>
      <c r="J805" s="2" t="inlineStr">
        <is>
          <t>Auckland</t>
        </is>
      </c>
      <c r="K805" s="2" t="n">
        <v>2104</v>
      </c>
      <c r="L805" s="2" t="inlineStr">
        <is>
          <t>New Zealand</t>
        </is>
      </c>
      <c r="M805" s="2" t="inlineStr">
        <is>
          <t>Manurewa</t>
        </is>
      </c>
      <c r="N805" s="2" t="inlineStr">
        <is>
          <t>New Zealand</t>
        </is>
      </c>
      <c r="P805" s="2" t="inlineStr">
        <is>
          <t>Operational Control</t>
        </is>
      </c>
      <c r="Q805" s="2" t="inlineStr">
        <is>
          <t>Operational Control</t>
        </is>
      </c>
      <c r="R805" s="2" t="inlineStr">
        <is>
          <t>Energy and Utilities (EU)</t>
        </is>
      </c>
      <c r="S805" s="2" t="inlineStr">
        <is>
          <t>Downer</t>
        </is>
      </c>
      <c r="T805" s="2" t="n">
        <v>100</v>
      </c>
      <c r="W805" s="2" t="inlineStr">
        <is>
          <t>Classification</t>
        </is>
      </c>
      <c r="X805" s="2" t="n">
        <v>-37.0083</v>
      </c>
      <c r="Y805" s="2" t="n">
        <v>174.8705</v>
      </c>
    </row>
    <row r="806">
      <c r="A806" s="2" t="inlineStr">
        <is>
          <t>Downer</t>
        </is>
      </c>
      <c r="B806" s="2" t="inlineStr">
        <is>
          <t>Auckland People/Plant</t>
        </is>
      </c>
      <c r="C806" s="2" t="inlineStr">
        <is>
          <t>Other</t>
        </is>
      </c>
      <c r="D806" s="2" t="inlineStr">
        <is>
          <t>L9.DNZJ.66207</t>
        </is>
      </c>
      <c r="E806" s="2" t="n">
        <v>66207</v>
      </c>
      <c r="H806" s="2" t="inlineStr">
        <is>
          <t>130 Kerrs Road</t>
        </is>
      </c>
      <c r="I806" s="2" t="inlineStr">
        <is>
          <t>Wiri</t>
        </is>
      </c>
      <c r="J806" s="2" t="inlineStr">
        <is>
          <t>Auckland</t>
        </is>
      </c>
      <c r="K806" s="2" t="n">
        <v>2104</v>
      </c>
      <c r="L806" s="2" t="inlineStr">
        <is>
          <t>New Zealand</t>
        </is>
      </c>
      <c r="M806" s="2" t="inlineStr">
        <is>
          <t>Manurewa</t>
        </is>
      </c>
      <c r="N806" s="2" t="inlineStr">
        <is>
          <t>New Zealand</t>
        </is>
      </c>
      <c r="P806" s="2" t="inlineStr">
        <is>
          <t>Operational Control</t>
        </is>
      </c>
      <c r="Q806" s="2" t="inlineStr">
        <is>
          <t>Operational Control</t>
        </is>
      </c>
      <c r="R806" s="2" t="inlineStr">
        <is>
          <t>Transport &amp; Infrastructure (T&amp;I)</t>
        </is>
      </c>
      <c r="S806" s="2" t="inlineStr">
        <is>
          <t>Downer</t>
        </is>
      </c>
      <c r="T806" s="2" t="n">
        <v>100</v>
      </c>
      <c r="W806" s="2" t="inlineStr">
        <is>
          <t>Classification</t>
        </is>
      </c>
      <c r="X806" s="2" t="n">
        <v>-37.0083</v>
      </c>
      <c r="Y806" s="2" t="n">
        <v>174.8705</v>
      </c>
    </row>
    <row r="807">
      <c r="A807" s="2" t="inlineStr">
        <is>
          <t>Downer</t>
        </is>
      </c>
      <c r="B807" s="2" t="inlineStr">
        <is>
          <t>Auckland Stormwater Northern EU Subcontractors</t>
        </is>
      </c>
      <c r="C807" s="2" t="inlineStr">
        <is>
          <t>Other</t>
        </is>
      </c>
      <c r="D807" s="2" t="inlineStr">
        <is>
          <t>L9.DNZJ.56116</t>
        </is>
      </c>
      <c r="E807" s="2" t="inlineStr">
        <is>
          <t>L9.DNZJ.56116</t>
        </is>
      </c>
      <c r="M807" s="2" t="inlineStr">
        <is>
          <t>Auckland City</t>
        </is>
      </c>
      <c r="N807" s="2" t="inlineStr">
        <is>
          <t>New Zealand</t>
        </is>
      </c>
      <c r="P807" s="2" t="inlineStr">
        <is>
          <t>Operational Control</t>
        </is>
      </c>
      <c r="Q807" s="2" t="inlineStr">
        <is>
          <t>Operational Control</t>
        </is>
      </c>
      <c r="R807" s="2" t="inlineStr">
        <is>
          <t>Energy and Utilities (EU)</t>
        </is>
      </c>
      <c r="S807" s="2" t="inlineStr">
        <is>
          <t>Downer</t>
        </is>
      </c>
      <c r="T807" s="2" t="n">
        <v>100</v>
      </c>
      <c r="W807" s="2" t="inlineStr">
        <is>
          <t>Classification</t>
        </is>
      </c>
    </row>
    <row r="808">
      <c r="A808" s="2" t="inlineStr">
        <is>
          <t>Downer</t>
        </is>
      </c>
      <c r="B808" s="2" t="inlineStr">
        <is>
          <t>Auckland Telco Ops</t>
        </is>
      </c>
      <c r="C808" s="2" t="inlineStr">
        <is>
          <t>Other</t>
        </is>
      </c>
      <c r="D808" s="2" t="inlineStr">
        <is>
          <t>L9.DNZ.810.10.236</t>
        </is>
      </c>
      <c r="E808" s="2" t="n">
        <v>10236</v>
      </c>
      <c r="G808" s="2" t="n">
        <v>10.236</v>
      </c>
      <c r="H808" s="2" t="inlineStr">
        <is>
          <t>130 Kerrs Road</t>
        </is>
      </c>
      <c r="I808" s="2" t="inlineStr">
        <is>
          <t>Wiri</t>
        </is>
      </c>
      <c r="J808" s="2" t="inlineStr">
        <is>
          <t>Auckland</t>
        </is>
      </c>
      <c r="K808" s="2" t="n">
        <v>2104</v>
      </c>
      <c r="L808" s="2" t="inlineStr">
        <is>
          <t>New Zealand</t>
        </is>
      </c>
      <c r="M808" s="2" t="inlineStr">
        <is>
          <t>Manurewa</t>
        </is>
      </c>
      <c r="N808" s="2" t="inlineStr">
        <is>
          <t>New Zealand</t>
        </is>
      </c>
      <c r="P808" s="2" t="inlineStr">
        <is>
          <t>Operational Control</t>
        </is>
      </c>
      <c r="Q808" s="2" t="inlineStr">
        <is>
          <t>Operational Control</t>
        </is>
      </c>
      <c r="R808" s="2" t="inlineStr">
        <is>
          <t>Energy and Utilities (EU)</t>
        </is>
      </c>
      <c r="S808" s="2" t="inlineStr">
        <is>
          <t>Downer</t>
        </is>
      </c>
      <c r="T808" s="2" t="n">
        <v>100</v>
      </c>
      <c r="W808" s="2" t="inlineStr">
        <is>
          <t>Classification</t>
        </is>
      </c>
      <c r="X808" s="2" t="n">
        <v>-37.0083</v>
      </c>
      <c r="Y808" s="2" t="n">
        <v>174.8705</v>
      </c>
    </row>
    <row r="809">
      <c r="A809" s="2" t="inlineStr">
        <is>
          <t>Downer</t>
        </is>
      </c>
      <c r="B809" s="2" t="inlineStr">
        <is>
          <t>AusNet Electricity - Fuel Cards</t>
        </is>
      </c>
      <c r="C809" s="2" t="inlineStr">
        <is>
          <t>Other</t>
        </is>
      </c>
      <c r="D809" s="2" t="inlineStr">
        <is>
          <t>L9.J.24170235</t>
        </is>
      </c>
      <c r="E809" s="2" t="n">
        <v>30</v>
      </c>
      <c r="G809" s="2" t="inlineStr">
        <is>
          <t>DO_Beaconsfield, DO_Lilydale, SO_Keilor substation_closed, Bairnsdale, Seymour, Thomastown
If correct - Check which are closed and add Dandenong</t>
        </is>
      </c>
      <c r="H809" s="2" t="inlineStr">
        <is>
          <t>3 Melba Avenue</t>
        </is>
      </c>
      <c r="I809" s="2" t="inlineStr">
        <is>
          <t>Lilydale</t>
        </is>
      </c>
      <c r="J809" s="2" t="inlineStr">
        <is>
          <t>VIC</t>
        </is>
      </c>
      <c r="K809" s="2" t="n">
        <v>3140</v>
      </c>
      <c r="L809" s="2" t="inlineStr">
        <is>
          <t>Australia</t>
        </is>
      </c>
      <c r="M809" s="2" t="inlineStr">
        <is>
          <t>Mt Dandenong</t>
        </is>
      </c>
      <c r="N809" s="2" t="inlineStr">
        <is>
          <t>Australia</t>
        </is>
      </c>
      <c r="P809" s="2" t="inlineStr">
        <is>
          <t>Operational Control</t>
        </is>
      </c>
      <c r="Q809" s="2" t="inlineStr">
        <is>
          <t>Operational Control</t>
        </is>
      </c>
      <c r="R809" s="2" t="inlineStr">
        <is>
          <t>Energy and Utilities (EU)</t>
        </is>
      </c>
      <c r="S809" s="2" t="inlineStr">
        <is>
          <t>Downer</t>
        </is>
      </c>
      <c r="T809" s="2" t="n">
        <v>100</v>
      </c>
      <c r="W809" s="2" t="inlineStr">
        <is>
          <t>Classification</t>
        </is>
      </c>
      <c r="X809" s="2" t="n">
        <v>-37.761484</v>
      </c>
      <c r="Y809" s="2" t="n">
        <v>145.347301</v>
      </c>
      <c r="Z809" s="2" t="n">
        <v>263</v>
      </c>
    </row>
    <row r="810">
      <c r="A810" s="2" t="inlineStr">
        <is>
          <t>Downer</t>
        </is>
      </c>
      <c r="B810" s="2" t="inlineStr">
        <is>
          <t>Ausnet EU Subcontractors</t>
        </is>
      </c>
      <c r="C810" s="2" t="inlineStr">
        <is>
          <t>Other</t>
        </is>
      </c>
      <c r="D810" s="2" t="inlineStr">
        <is>
          <t>L9.J.37740058</t>
        </is>
      </c>
      <c r="E810" s="2" t="inlineStr">
        <is>
          <t>L9.J.37740058</t>
        </is>
      </c>
      <c r="M810" s="2" t="inlineStr">
        <is>
          <t>North Ryde</t>
        </is>
      </c>
      <c r="N810" s="2" t="inlineStr">
        <is>
          <t>Australia</t>
        </is>
      </c>
      <c r="P810" s="2" t="inlineStr">
        <is>
          <t>Operational Control</t>
        </is>
      </c>
      <c r="Q810" s="2" t="inlineStr">
        <is>
          <t>Operational Control</t>
        </is>
      </c>
      <c r="R810" s="2" t="inlineStr">
        <is>
          <t>Energy and Utilities (EU)</t>
        </is>
      </c>
      <c r="S810" s="2" t="inlineStr">
        <is>
          <t>Downer</t>
        </is>
      </c>
      <c r="T810" s="2" t="n">
        <v>100</v>
      </c>
      <c r="W810" s="2" t="inlineStr">
        <is>
          <t>Classification</t>
        </is>
      </c>
    </row>
    <row r="811">
      <c r="A811" s="2" t="inlineStr">
        <is>
          <t>Downer</t>
        </is>
      </c>
      <c r="B811" s="2" t="inlineStr">
        <is>
          <t>AusNet Gas - Fuel Cards</t>
        </is>
      </c>
      <c r="C811" s="2" t="inlineStr">
        <is>
          <t>Other</t>
        </is>
      </c>
      <c r="D811" s="2" t="inlineStr">
        <is>
          <t>L9.J.24170235</t>
        </is>
      </c>
      <c r="E811" s="2" t="n">
        <v>29</v>
      </c>
      <c r="G811" s="2" t="inlineStr">
        <is>
          <t>DO_Ararat, DO_Ballarat, DO_Bendigo, DO_Colac, DO_Geelong, DO_Hamilton, DO_Horsham, DO_Laverton Operations, DO_Portland, DO_Warrnambool, DO_Woodend, Korumburra,</t>
        </is>
      </c>
      <c r="H811" s="2" t="inlineStr">
        <is>
          <t>49a Rossmoyne Rd, Colac</t>
        </is>
      </c>
      <c r="I811" s="2" t="inlineStr">
        <is>
          <t>Colac</t>
        </is>
      </c>
      <c r="J811" s="2" t="inlineStr">
        <is>
          <t>VIC</t>
        </is>
      </c>
      <c r="K811" s="2" t="n">
        <v>3250</v>
      </c>
      <c r="L811" s="2" t="inlineStr">
        <is>
          <t>Australia</t>
        </is>
      </c>
      <c r="M811" s="2" t="inlineStr">
        <is>
          <t>Victoria</t>
        </is>
      </c>
      <c r="N811" s="2" t="inlineStr">
        <is>
          <t>Australia</t>
        </is>
      </c>
      <c r="P811" s="2" t="inlineStr">
        <is>
          <t>Operational Control</t>
        </is>
      </c>
      <c r="Q811" s="2" t="inlineStr">
        <is>
          <t>Operational Control</t>
        </is>
      </c>
      <c r="R811" s="2" t="inlineStr">
        <is>
          <t>Energy and Utilities (EU)</t>
        </is>
      </c>
      <c r="S811" s="2" t="inlineStr">
        <is>
          <t>Downer</t>
        </is>
      </c>
      <c r="T811" s="2" t="n">
        <v>100</v>
      </c>
      <c r="W811" s="2" t="inlineStr">
        <is>
          <t>Classification</t>
        </is>
      </c>
      <c r="X811" s="2" t="n">
        <v>-38.331449</v>
      </c>
      <c r="Y811" s="2" t="n">
        <v>143.548651</v>
      </c>
      <c r="Z811" s="2" t="n">
        <v>270</v>
      </c>
    </row>
    <row r="812">
      <c r="A812" s="2" t="inlineStr">
        <is>
          <t>Downer</t>
        </is>
      </c>
      <c r="B812" s="2" t="inlineStr">
        <is>
          <t>AusNet Mornington BESS</t>
        </is>
      </c>
      <c r="C812" s="2" t="inlineStr">
        <is>
          <t>Site</t>
        </is>
      </c>
      <c r="D812" s="2" t="inlineStr">
        <is>
          <t>L9.J.24135002</t>
        </is>
      </c>
      <c r="E812" s="2" t="n">
        <v>24135002</v>
      </c>
      <c r="M812" s="2" t="inlineStr">
        <is>
          <t>Victoria</t>
        </is>
      </c>
      <c r="N812" s="2" t="inlineStr">
        <is>
          <t>Australia</t>
        </is>
      </c>
      <c r="P812" s="2" t="inlineStr">
        <is>
          <t>Operational Control</t>
        </is>
      </c>
      <c r="Q812" s="2" t="inlineStr">
        <is>
          <t>Operational Control</t>
        </is>
      </c>
      <c r="R812" s="2" t="inlineStr">
        <is>
          <t>Energy and Utilities (EU)</t>
        </is>
      </c>
      <c r="S812" s="2" t="inlineStr">
        <is>
          <t>Downer</t>
        </is>
      </c>
      <c r="T812" s="2" t="n">
        <v>100</v>
      </c>
      <c r="U812" s="11" t="n">
        <v>45413</v>
      </c>
      <c r="W812" s="2" t="inlineStr">
        <is>
          <t>Classification</t>
        </is>
      </c>
    </row>
    <row r="813">
      <c r="A813" s="2" t="inlineStr">
        <is>
          <t>Downer</t>
        </is>
      </c>
      <c r="B813" s="2" t="inlineStr">
        <is>
          <t>AusNet Services EU Subcontractors</t>
        </is>
      </c>
      <c r="C813" s="2" t="inlineStr">
        <is>
          <t>Other</t>
        </is>
      </c>
      <c r="D813" s="2" t="inlineStr">
        <is>
          <t>L9.J.3774002001</t>
        </is>
      </c>
      <c r="E813" s="2" t="inlineStr">
        <is>
          <t>L9.J.3774002001</t>
        </is>
      </c>
      <c r="M813" s="2" t="inlineStr">
        <is>
          <t>North Ryde</t>
        </is>
      </c>
      <c r="N813" s="2" t="inlineStr">
        <is>
          <t>Australia</t>
        </is>
      </c>
      <c r="P813" s="2" t="inlineStr">
        <is>
          <t>Operational Control</t>
        </is>
      </c>
      <c r="Q813" s="2" t="inlineStr">
        <is>
          <t>Operational Control</t>
        </is>
      </c>
      <c r="R813" s="2" t="inlineStr">
        <is>
          <t>Energy and Utilities (EU)</t>
        </is>
      </c>
      <c r="S813" s="2" t="inlineStr">
        <is>
          <t>Downer</t>
        </is>
      </c>
      <c r="T813" s="2" t="n">
        <v>100</v>
      </c>
      <c r="W813" s="2" t="inlineStr">
        <is>
          <t>Classification</t>
        </is>
      </c>
    </row>
    <row r="814">
      <c r="A814" s="2" t="inlineStr">
        <is>
          <t>Downer</t>
        </is>
      </c>
      <c r="B814" s="2" t="inlineStr">
        <is>
          <t>Ausnet_Elec_Alexandra</t>
        </is>
      </c>
      <c r="C814" s="2" t="inlineStr">
        <is>
          <t>Depot</t>
        </is>
      </c>
      <c r="D814" s="2" t="inlineStr">
        <is>
          <t>L9.J.24170235</t>
        </is>
      </c>
      <c r="E814" s="2" t="inlineStr">
        <is>
          <t>AEAD</t>
        </is>
      </c>
      <c r="H814" s="2" t="inlineStr">
        <is>
          <t>1 Bayley St</t>
        </is>
      </c>
      <c r="I814" s="2" t="inlineStr">
        <is>
          <t>Alexandra</t>
        </is>
      </c>
      <c r="J814" s="2" t="inlineStr">
        <is>
          <t>Victoria</t>
        </is>
      </c>
      <c r="K814" s="2" t="n">
        <v>3714</v>
      </c>
      <c r="M814" s="2" t="inlineStr">
        <is>
          <t>Victoria</t>
        </is>
      </c>
      <c r="N814" s="2" t="inlineStr">
        <is>
          <t>Australia</t>
        </is>
      </c>
      <c r="P814" s="2" t="inlineStr">
        <is>
          <t>Operational Control</t>
        </is>
      </c>
      <c r="Q814" s="2" t="inlineStr">
        <is>
          <t>Operational Control</t>
        </is>
      </c>
      <c r="R814" s="2" t="inlineStr">
        <is>
          <t>Energy and Utilities (EU)</t>
        </is>
      </c>
      <c r="S814" s="2" t="inlineStr">
        <is>
          <t>Downer</t>
        </is>
      </c>
      <c r="T814" s="2" t="n">
        <v>100</v>
      </c>
      <c r="W814" s="2" t="inlineStr">
        <is>
          <t>Classification</t>
        </is>
      </c>
    </row>
    <row r="815">
      <c r="A815" s="2" t="inlineStr">
        <is>
          <t>Downer</t>
        </is>
      </c>
      <c r="B815" s="2" t="inlineStr">
        <is>
          <t>Ausnet_Elec_Lucknow</t>
        </is>
      </c>
      <c r="C815" s="2" t="inlineStr">
        <is>
          <t>Depot</t>
        </is>
      </c>
      <c r="D815" s="2" t="inlineStr">
        <is>
          <t>L9.J.24170235</t>
        </is>
      </c>
      <c r="E815" s="2" t="inlineStr">
        <is>
          <t>AELN</t>
        </is>
      </c>
      <c r="H815" s="2" t="inlineStr">
        <is>
          <t>14 Meringo Place</t>
        </is>
      </c>
      <c r="I815" s="2" t="inlineStr">
        <is>
          <t>Lucknow</t>
        </is>
      </c>
      <c r="J815" s="2" t="inlineStr">
        <is>
          <t>Victoria</t>
        </is>
      </c>
      <c r="K815" s="2" t="n">
        <v>3875</v>
      </c>
      <c r="M815" s="2" t="inlineStr">
        <is>
          <t>Victoria</t>
        </is>
      </c>
      <c r="N815" s="2" t="inlineStr">
        <is>
          <t>Australia</t>
        </is>
      </c>
      <c r="P815" s="2" t="inlineStr">
        <is>
          <t>Operational Control</t>
        </is>
      </c>
      <c r="Q815" s="2" t="inlineStr">
        <is>
          <t>Operational Control</t>
        </is>
      </c>
      <c r="R815" s="2" t="inlineStr">
        <is>
          <t>Energy and Utilities (EU)</t>
        </is>
      </c>
      <c r="S815" s="2" t="inlineStr">
        <is>
          <t>Downer</t>
        </is>
      </c>
      <c r="T815" s="2" t="n">
        <v>100</v>
      </c>
      <c r="W815" s="2" t="inlineStr">
        <is>
          <t>Classification</t>
        </is>
      </c>
    </row>
    <row r="816">
      <c r="A816" s="2" t="inlineStr">
        <is>
          <t>Downer</t>
        </is>
      </c>
      <c r="B816" s="2" t="inlineStr">
        <is>
          <t>Ausnet_Elec_Mansfield</t>
        </is>
      </c>
      <c r="C816" s="2" t="inlineStr">
        <is>
          <t>Depot</t>
        </is>
      </c>
      <c r="D816" s="2" t="inlineStr">
        <is>
          <t>L9.J.24170235</t>
        </is>
      </c>
      <c r="E816" s="2" t="inlineStr">
        <is>
          <t>AEMF</t>
        </is>
      </c>
      <c r="H816" s="2" t="inlineStr">
        <is>
          <t>16 Crosby Lane</t>
        </is>
      </c>
      <c r="I816" s="2" t="inlineStr">
        <is>
          <t>Mansfield</t>
        </is>
      </c>
      <c r="J816" s="2" t="inlineStr">
        <is>
          <t>Victoria</t>
        </is>
      </c>
      <c r="K816" s="2" t="n">
        <v>3722</v>
      </c>
      <c r="M816" s="2" t="inlineStr">
        <is>
          <t>Victoria</t>
        </is>
      </c>
      <c r="N816" s="2" t="inlineStr">
        <is>
          <t>Australia</t>
        </is>
      </c>
      <c r="P816" s="2" t="inlineStr">
        <is>
          <t>Operational Control</t>
        </is>
      </c>
      <c r="Q816" s="2" t="inlineStr">
        <is>
          <t>Operational Control</t>
        </is>
      </c>
      <c r="R816" s="2" t="inlineStr">
        <is>
          <t>Energy and Utilities (EU)</t>
        </is>
      </c>
      <c r="S816" s="2" t="inlineStr">
        <is>
          <t>Downer</t>
        </is>
      </c>
      <c r="T816" s="2" t="n">
        <v>100</v>
      </c>
      <c r="W816" s="2" t="inlineStr">
        <is>
          <t>Classification</t>
        </is>
      </c>
    </row>
    <row r="817">
      <c r="A817" s="2" t="inlineStr">
        <is>
          <t>Downer</t>
        </is>
      </c>
      <c r="B817" s="2" t="inlineStr">
        <is>
          <t>Ausnet_Elec_Myrtleford</t>
        </is>
      </c>
      <c r="C817" s="2" t="inlineStr">
        <is>
          <t>Depot</t>
        </is>
      </c>
      <c r="D817" s="2" t="inlineStr">
        <is>
          <t>L9.J.24170235</t>
        </is>
      </c>
      <c r="E817" s="2" t="inlineStr">
        <is>
          <t>AEMYF</t>
        </is>
      </c>
      <c r="H817" s="2" t="inlineStr">
        <is>
          <t>10-13 Mathews St</t>
        </is>
      </c>
      <c r="I817" s="2" t="inlineStr">
        <is>
          <t>Myrtleford</t>
        </is>
      </c>
      <c r="J817" s="2" t="inlineStr">
        <is>
          <t>Victoria</t>
        </is>
      </c>
      <c r="K817" s="2" t="n">
        <v>3737</v>
      </c>
      <c r="M817" s="2" t="inlineStr">
        <is>
          <t>Victoria</t>
        </is>
      </c>
      <c r="N817" s="2" t="inlineStr">
        <is>
          <t>Australia</t>
        </is>
      </c>
      <c r="P817" s="2" t="inlineStr">
        <is>
          <t>Operational Control</t>
        </is>
      </c>
      <c r="Q817" s="2" t="inlineStr">
        <is>
          <t>Operational Control</t>
        </is>
      </c>
      <c r="R817" s="2" t="inlineStr">
        <is>
          <t>Energy and Utilities (EU)</t>
        </is>
      </c>
      <c r="S817" s="2" t="inlineStr">
        <is>
          <t>Downer</t>
        </is>
      </c>
      <c r="T817" s="2" t="n">
        <v>100</v>
      </c>
      <c r="W817" s="2" t="inlineStr">
        <is>
          <t>Classification</t>
        </is>
      </c>
    </row>
    <row r="818">
      <c r="A818" s="2" t="inlineStr">
        <is>
          <t>Downer</t>
        </is>
      </c>
      <c r="B818" s="2" t="inlineStr">
        <is>
          <t>Ausnet_Elec_Sale</t>
        </is>
      </c>
      <c r="C818" s="2" t="inlineStr">
        <is>
          <t>Depot</t>
        </is>
      </c>
      <c r="D818" s="2" t="inlineStr">
        <is>
          <t>L9.J.24170235</t>
        </is>
      </c>
      <c r="E818" s="2" t="inlineStr">
        <is>
          <t>AES</t>
        </is>
      </c>
      <c r="H818" s="2" t="inlineStr">
        <is>
          <t>7-9 Dawson Street</t>
        </is>
      </c>
      <c r="I818" s="2" t="inlineStr">
        <is>
          <t>Sale</t>
        </is>
      </c>
      <c r="J818" s="2" t="inlineStr">
        <is>
          <t>Victoria</t>
        </is>
      </c>
      <c r="K818" s="2" t="n">
        <v>3850</v>
      </c>
      <c r="M818" s="2" t="inlineStr">
        <is>
          <t>Victoria</t>
        </is>
      </c>
      <c r="N818" s="2" t="inlineStr">
        <is>
          <t>Australia</t>
        </is>
      </c>
      <c r="P818" s="2" t="inlineStr">
        <is>
          <t>Operational Control</t>
        </is>
      </c>
      <c r="Q818" s="2" t="inlineStr">
        <is>
          <t>Operational Control</t>
        </is>
      </c>
      <c r="R818" s="2" t="inlineStr">
        <is>
          <t>Energy and Utilities (EU)</t>
        </is>
      </c>
      <c r="S818" s="2" t="inlineStr">
        <is>
          <t>Downer</t>
        </is>
      </c>
      <c r="T818" s="2" t="n">
        <v>100</v>
      </c>
      <c r="W818" s="2" t="inlineStr">
        <is>
          <t>Classification</t>
        </is>
      </c>
    </row>
    <row r="819">
      <c r="A819" s="2" t="inlineStr">
        <is>
          <t>Downer</t>
        </is>
      </c>
      <c r="B819" s="2" t="inlineStr">
        <is>
          <t>Ausnet_Elec_Thomastown</t>
        </is>
      </c>
      <c r="C819" s="2" t="inlineStr">
        <is>
          <t>Depot</t>
        </is>
      </c>
      <c r="D819" s="2" t="inlineStr">
        <is>
          <t>L9.J.24170235</t>
        </is>
      </c>
      <c r="E819" s="2" t="inlineStr">
        <is>
          <t>AETT</t>
        </is>
      </c>
      <c r="H819" s="2" t="inlineStr">
        <is>
          <t>49 Nevin Drive</t>
        </is>
      </c>
      <c r="I819" s="2" t="inlineStr">
        <is>
          <t>Thomastown</t>
        </is>
      </c>
      <c r="J819" s="2" t="inlineStr">
        <is>
          <t>Victoria</t>
        </is>
      </c>
      <c r="K819" s="2" t="n">
        <v>3074</v>
      </c>
      <c r="M819" s="2" t="inlineStr">
        <is>
          <t>Victoria</t>
        </is>
      </c>
      <c r="N819" s="2" t="inlineStr">
        <is>
          <t>Australia</t>
        </is>
      </c>
      <c r="P819" s="2" t="inlineStr">
        <is>
          <t>Operational Control</t>
        </is>
      </c>
      <c r="Q819" s="2" t="inlineStr">
        <is>
          <t>Operational Control</t>
        </is>
      </c>
      <c r="R819" s="2" t="inlineStr">
        <is>
          <t>Energy and Utilities (EU)</t>
        </is>
      </c>
      <c r="S819" s="2" t="inlineStr">
        <is>
          <t>Downer</t>
        </is>
      </c>
      <c r="T819" s="2" t="n">
        <v>100</v>
      </c>
      <c r="W819" s="2" t="inlineStr">
        <is>
          <t>Classification</t>
        </is>
      </c>
    </row>
    <row r="820">
      <c r="A820" s="2" t="inlineStr">
        <is>
          <t>Downer</t>
        </is>
      </c>
      <c r="B820" s="2" t="inlineStr">
        <is>
          <t>Ausnet_Elec_Traralgon</t>
        </is>
      </c>
      <c r="C820" s="2" t="inlineStr">
        <is>
          <t>Depot</t>
        </is>
      </c>
      <c r="D820" s="2" t="inlineStr">
        <is>
          <t>L9.J.24170235</t>
        </is>
      </c>
      <c r="E820" s="2" t="inlineStr">
        <is>
          <t>AETG</t>
        </is>
      </c>
      <c r="H820" s="2" t="inlineStr">
        <is>
          <t>5 Stratton Drive</t>
        </is>
      </c>
      <c r="I820" s="2" t="inlineStr">
        <is>
          <t>Traralgon</t>
        </is>
      </c>
      <c r="J820" s="2" t="inlineStr">
        <is>
          <t>Victoria</t>
        </is>
      </c>
      <c r="K820" s="2" t="n">
        <v>3844</v>
      </c>
      <c r="M820" s="2" t="inlineStr">
        <is>
          <t>Victoria</t>
        </is>
      </c>
      <c r="N820" s="2" t="inlineStr">
        <is>
          <t>Australia</t>
        </is>
      </c>
      <c r="P820" s="2" t="inlineStr">
        <is>
          <t>Operational Control</t>
        </is>
      </c>
      <c r="Q820" s="2" t="inlineStr">
        <is>
          <t>Operational Control</t>
        </is>
      </c>
      <c r="R820" s="2" t="inlineStr">
        <is>
          <t>Energy and Utilities (EU)</t>
        </is>
      </c>
      <c r="S820" s="2" t="inlineStr">
        <is>
          <t>Downer</t>
        </is>
      </c>
      <c r="T820" s="2" t="n">
        <v>100</v>
      </c>
      <c r="W820" s="2" t="inlineStr">
        <is>
          <t>Classification</t>
        </is>
      </c>
    </row>
    <row r="821">
      <c r="A821" s="2" t="inlineStr">
        <is>
          <t>Downer</t>
        </is>
      </c>
      <c r="B821" s="2" t="inlineStr">
        <is>
          <t>Ausnet_Elec_Wangaratta</t>
        </is>
      </c>
      <c r="C821" s="2" t="inlineStr">
        <is>
          <t>Depot</t>
        </is>
      </c>
      <c r="D821" s="2" t="inlineStr">
        <is>
          <t>L9.J.24170235</t>
        </is>
      </c>
      <c r="E821" s="2" t="inlineStr">
        <is>
          <t>PN5134</t>
        </is>
      </c>
      <c r="H821" s="2" t="inlineStr">
        <is>
          <t>4 Gibson St</t>
        </is>
      </c>
      <c r="I821" s="2" t="inlineStr">
        <is>
          <t>Wangaratta</t>
        </is>
      </c>
      <c r="J821" s="2" t="inlineStr">
        <is>
          <t>Victoria</t>
        </is>
      </c>
      <c r="K821" s="2" t="n">
        <v>3676</v>
      </c>
      <c r="M821" s="2" t="inlineStr">
        <is>
          <t>Victoria</t>
        </is>
      </c>
      <c r="N821" s="2" t="inlineStr">
        <is>
          <t>Australia</t>
        </is>
      </c>
      <c r="P821" s="2" t="inlineStr">
        <is>
          <t>Operational Control</t>
        </is>
      </c>
      <c r="Q821" s="2" t="inlineStr">
        <is>
          <t>Operational Control</t>
        </is>
      </c>
      <c r="R821" s="2" t="inlineStr">
        <is>
          <t>Energy and Utilities (EU)</t>
        </is>
      </c>
      <c r="S821" s="2" t="inlineStr">
        <is>
          <t>Downer</t>
        </is>
      </c>
      <c r="T821" s="2" t="n">
        <v>100</v>
      </c>
      <c r="W821" s="2" t="inlineStr">
        <is>
          <t>Classification</t>
        </is>
      </c>
    </row>
    <row r="822">
      <c r="A822" s="2" t="inlineStr">
        <is>
          <t>Downer</t>
        </is>
      </c>
      <c r="B822" s="2" t="inlineStr">
        <is>
          <t>Ausnet_Elec_Wodonga</t>
        </is>
      </c>
      <c r="C822" s="2" t="inlineStr">
        <is>
          <t>Depot</t>
        </is>
      </c>
      <c r="D822" s="2" t="inlineStr">
        <is>
          <t>L9.J.24170235</t>
        </is>
      </c>
      <c r="E822" s="2" t="inlineStr">
        <is>
          <t>AEWD</t>
        </is>
      </c>
      <c r="H822" s="2" t="inlineStr">
        <is>
          <t>24 Moloney Drive</t>
        </is>
      </c>
      <c r="I822" s="2" t="inlineStr">
        <is>
          <t>Wodonga</t>
        </is>
      </c>
      <c r="J822" s="2" t="inlineStr">
        <is>
          <t>Victoria</t>
        </is>
      </c>
      <c r="K822" s="2" t="n">
        <v>3690</v>
      </c>
      <c r="M822" s="2" t="inlineStr">
        <is>
          <t>Victoria</t>
        </is>
      </c>
      <c r="N822" s="2" t="inlineStr">
        <is>
          <t>Australia</t>
        </is>
      </c>
      <c r="P822" s="2" t="inlineStr">
        <is>
          <t>Operational Control</t>
        </is>
      </c>
      <c r="Q822" s="2" t="inlineStr">
        <is>
          <t>Operational Control</t>
        </is>
      </c>
      <c r="R822" s="2" t="inlineStr">
        <is>
          <t>Energy and Utilities (EU)</t>
        </is>
      </c>
      <c r="S822" s="2" t="inlineStr">
        <is>
          <t>Downer</t>
        </is>
      </c>
      <c r="T822" s="2" t="n">
        <v>100</v>
      </c>
      <c r="W822" s="2" t="inlineStr">
        <is>
          <t>Classification</t>
        </is>
      </c>
    </row>
    <row r="823">
      <c r="A823" s="2" t="inlineStr">
        <is>
          <t>Downer</t>
        </is>
      </c>
      <c r="B823" s="2" t="inlineStr">
        <is>
          <t>Ausnet_Gas_Ararat</t>
        </is>
      </c>
      <c r="C823" s="2" t="inlineStr">
        <is>
          <t>Depot</t>
        </is>
      </c>
      <c r="D823" s="2" t="inlineStr">
        <is>
          <t>L9.J.24170235</t>
        </is>
      </c>
      <c r="E823" s="2" t="inlineStr">
        <is>
          <t>AGAR</t>
        </is>
      </c>
      <c r="H823" s="2" t="inlineStr">
        <is>
          <t>5 McGibbony Street</t>
        </is>
      </c>
      <c r="I823" s="2" t="inlineStr">
        <is>
          <t>Ararat</t>
        </is>
      </c>
      <c r="J823" s="2" t="inlineStr">
        <is>
          <t>Victoria</t>
        </is>
      </c>
      <c r="K823" s="2" t="n">
        <v>3377</v>
      </c>
      <c r="M823" s="2" t="inlineStr">
        <is>
          <t>Victoria</t>
        </is>
      </c>
      <c r="N823" s="2" t="inlineStr">
        <is>
          <t>Australia</t>
        </is>
      </c>
      <c r="P823" s="2" t="inlineStr">
        <is>
          <t>Operational Control</t>
        </is>
      </c>
      <c r="Q823" s="2" t="inlineStr">
        <is>
          <t>Operational Control</t>
        </is>
      </c>
      <c r="R823" s="2" t="inlineStr">
        <is>
          <t>Energy and Utilities (EU)</t>
        </is>
      </c>
      <c r="S823" s="2" t="inlineStr">
        <is>
          <t>Downer</t>
        </is>
      </c>
      <c r="T823" s="2" t="n">
        <v>100</v>
      </c>
      <c r="W823" s="2" t="inlineStr">
        <is>
          <t>Classification</t>
        </is>
      </c>
    </row>
    <row r="824">
      <c r="A824" s="2" t="inlineStr">
        <is>
          <t>Downer</t>
        </is>
      </c>
      <c r="B824" s="2" t="inlineStr">
        <is>
          <t>Ausnet_Gas_Colac West</t>
        </is>
      </c>
      <c r="C824" s="2" t="inlineStr">
        <is>
          <t>Depot</t>
        </is>
      </c>
      <c r="D824" s="2" t="inlineStr">
        <is>
          <t>L9.J.24170235</t>
        </is>
      </c>
      <c r="E824" s="2" t="inlineStr">
        <is>
          <t>AGCW</t>
        </is>
      </c>
      <c r="H824" s="2" t="inlineStr">
        <is>
          <t>49 Rossmoyne Road</t>
        </is>
      </c>
      <c r="I824" s="2" t="inlineStr">
        <is>
          <t>Colac West</t>
        </is>
      </c>
      <c r="J824" s="2" t="inlineStr">
        <is>
          <t>Victoria</t>
        </is>
      </c>
      <c r="K824" s="2" t="n">
        <v>3250</v>
      </c>
      <c r="M824" s="2" t="inlineStr">
        <is>
          <t>Victoria</t>
        </is>
      </c>
      <c r="N824" s="2" t="inlineStr">
        <is>
          <t>Australia</t>
        </is>
      </c>
      <c r="P824" s="2" t="inlineStr">
        <is>
          <t>Operational Control</t>
        </is>
      </c>
      <c r="Q824" s="2" t="inlineStr">
        <is>
          <t>Operational Control</t>
        </is>
      </c>
      <c r="R824" s="2" t="inlineStr">
        <is>
          <t>Energy and Utilities (EU)</t>
        </is>
      </c>
      <c r="S824" s="2" t="inlineStr">
        <is>
          <t>Downer</t>
        </is>
      </c>
      <c r="T824" s="2" t="n">
        <v>100</v>
      </c>
      <c r="W824" s="2" t="inlineStr">
        <is>
          <t>Classification</t>
        </is>
      </c>
    </row>
    <row r="825">
      <c r="A825" s="2" t="inlineStr">
        <is>
          <t>Downer</t>
        </is>
      </c>
      <c r="B825" s="2" t="inlineStr">
        <is>
          <t>Ausnet_Gas_Geelong East</t>
        </is>
      </c>
      <c r="C825" s="2" t="inlineStr">
        <is>
          <t>Depot</t>
        </is>
      </c>
      <c r="D825" s="2" t="inlineStr">
        <is>
          <t>L9.J.24170235</t>
        </is>
      </c>
      <c r="E825" s="2" t="inlineStr">
        <is>
          <t>AGGE</t>
        </is>
      </c>
      <c r="H825" s="2" t="inlineStr">
        <is>
          <t>31 Leather Street</t>
        </is>
      </c>
      <c r="I825" s="2" t="inlineStr">
        <is>
          <t>Geelong East</t>
        </is>
      </c>
      <c r="J825" s="2" t="inlineStr">
        <is>
          <t>Victoria</t>
        </is>
      </c>
      <c r="K825" s="2" t="n">
        <v>3219</v>
      </c>
      <c r="M825" s="2" t="inlineStr">
        <is>
          <t>Victoria</t>
        </is>
      </c>
      <c r="N825" s="2" t="inlineStr">
        <is>
          <t>Australia</t>
        </is>
      </c>
      <c r="P825" s="2" t="inlineStr">
        <is>
          <t>Operational Control</t>
        </is>
      </c>
      <c r="Q825" s="2" t="inlineStr">
        <is>
          <t>Operational Control</t>
        </is>
      </c>
      <c r="R825" s="2" t="inlineStr">
        <is>
          <t>Energy and Utilities (EU)</t>
        </is>
      </c>
      <c r="S825" s="2" t="inlineStr">
        <is>
          <t>Downer</t>
        </is>
      </c>
      <c r="T825" s="2" t="n">
        <v>100</v>
      </c>
      <c r="W825" s="2" t="inlineStr">
        <is>
          <t>Classification</t>
        </is>
      </c>
    </row>
    <row r="826">
      <c r="A826" s="2" t="inlineStr">
        <is>
          <t>Downer</t>
        </is>
      </c>
      <c r="B826" s="2" t="inlineStr">
        <is>
          <t>Ausnet_Gas_North Bendigo</t>
        </is>
      </c>
      <c r="C826" s="2" t="inlineStr">
        <is>
          <t>Depot</t>
        </is>
      </c>
      <c r="D826" s="2" t="inlineStr">
        <is>
          <t>L9.J.24170235</t>
        </is>
      </c>
      <c r="E826" s="2" t="inlineStr">
        <is>
          <t>AGNB</t>
        </is>
      </c>
      <c r="H826" s="2" t="inlineStr">
        <is>
          <t>116-118 Holmes Road</t>
        </is>
      </c>
      <c r="I826" s="2" t="inlineStr">
        <is>
          <t>North Bendigo</t>
        </is>
      </c>
      <c r="J826" s="2" t="inlineStr">
        <is>
          <t>Victoria</t>
        </is>
      </c>
      <c r="K826" s="2" t="n">
        <v>3550</v>
      </c>
      <c r="M826" s="2" t="inlineStr">
        <is>
          <t>Victoria</t>
        </is>
      </c>
      <c r="N826" s="2" t="inlineStr">
        <is>
          <t>Australia</t>
        </is>
      </c>
      <c r="P826" s="2" t="inlineStr">
        <is>
          <t>Operational Control</t>
        </is>
      </c>
      <c r="Q826" s="2" t="inlineStr">
        <is>
          <t>Operational Control</t>
        </is>
      </c>
      <c r="R826" s="2" t="inlineStr">
        <is>
          <t>Energy and Utilities (EU)</t>
        </is>
      </c>
      <c r="S826" s="2" t="inlineStr">
        <is>
          <t>Downer</t>
        </is>
      </c>
      <c r="T826" s="2" t="n">
        <v>100</v>
      </c>
      <c r="W826" s="2" t="inlineStr">
        <is>
          <t>Classification</t>
        </is>
      </c>
    </row>
    <row r="827">
      <c r="A827" s="2" t="inlineStr">
        <is>
          <t>Downer</t>
        </is>
      </c>
      <c r="B827" s="2" t="inlineStr">
        <is>
          <t>Ausnet_Gas_Portland - Browning</t>
        </is>
      </c>
      <c r="C827" s="2" t="inlineStr">
        <is>
          <t>Depot</t>
        </is>
      </c>
      <c r="D827" s="2" t="inlineStr">
        <is>
          <t>L9.J.24170235</t>
        </is>
      </c>
      <c r="E827" s="2" t="inlineStr">
        <is>
          <t>AGPLB</t>
        </is>
      </c>
      <c r="H827" s="2" t="inlineStr">
        <is>
          <t>102 Browning Street</t>
        </is>
      </c>
      <c r="I827" s="2" t="inlineStr">
        <is>
          <t>Portland</t>
        </is>
      </c>
      <c r="J827" s="2" t="inlineStr">
        <is>
          <t>Victoria</t>
        </is>
      </c>
      <c r="K827" s="2" t="n">
        <v>3305</v>
      </c>
      <c r="M827" s="2" t="inlineStr">
        <is>
          <t>Victoria</t>
        </is>
      </c>
      <c r="N827" s="2" t="inlineStr">
        <is>
          <t>Australia</t>
        </is>
      </c>
      <c r="P827" s="2" t="inlineStr">
        <is>
          <t>Operational Control</t>
        </is>
      </c>
      <c r="Q827" s="2" t="inlineStr">
        <is>
          <t>Operational Control</t>
        </is>
      </c>
      <c r="R827" s="2" t="inlineStr">
        <is>
          <t>Energy and Utilities (EU)</t>
        </is>
      </c>
      <c r="S827" s="2" t="inlineStr">
        <is>
          <t>Downer</t>
        </is>
      </c>
      <c r="T827" s="2" t="n">
        <v>100</v>
      </c>
      <c r="W827" s="2" t="inlineStr">
        <is>
          <t>Classification</t>
        </is>
      </c>
    </row>
    <row r="828">
      <c r="A828" s="2" t="inlineStr">
        <is>
          <t>Downer</t>
        </is>
      </c>
      <c r="B828" s="2" t="inlineStr">
        <is>
          <t>Ausnet_Gas_Portland - Kunara</t>
        </is>
      </c>
      <c r="C828" s="2" t="inlineStr">
        <is>
          <t>Depot</t>
        </is>
      </c>
      <c r="D828" s="2" t="inlineStr">
        <is>
          <t>L9.J.24170235</t>
        </is>
      </c>
      <c r="E828" s="2" t="inlineStr">
        <is>
          <t>AGPLK</t>
        </is>
      </c>
      <c r="H828" s="2" t="inlineStr">
        <is>
          <t>7 Kunara Crescent</t>
        </is>
      </c>
      <c r="I828" s="2" t="inlineStr">
        <is>
          <t>Portland</t>
        </is>
      </c>
      <c r="J828" s="2" t="inlineStr">
        <is>
          <t>Victoria</t>
        </is>
      </c>
      <c r="K828" s="2" t="n">
        <v>3305</v>
      </c>
      <c r="M828" s="2" t="inlineStr">
        <is>
          <t>Victoria</t>
        </is>
      </c>
      <c r="N828" s="2" t="inlineStr">
        <is>
          <t>Australia</t>
        </is>
      </c>
      <c r="P828" s="2" t="inlineStr">
        <is>
          <t>Operational Control</t>
        </is>
      </c>
      <c r="Q828" s="2" t="inlineStr">
        <is>
          <t>Operational Control</t>
        </is>
      </c>
      <c r="R828" s="2" t="inlineStr">
        <is>
          <t>Energy and Utilities (EU)</t>
        </is>
      </c>
      <c r="S828" s="2" t="inlineStr">
        <is>
          <t>Downer</t>
        </is>
      </c>
      <c r="T828" s="2" t="n">
        <v>100</v>
      </c>
      <c r="W828" s="2" t="inlineStr">
        <is>
          <t>Classification</t>
        </is>
      </c>
    </row>
    <row r="829">
      <c r="A829" s="2" t="inlineStr">
        <is>
          <t>Downer</t>
        </is>
      </c>
      <c r="B829" s="2" t="inlineStr">
        <is>
          <t>Ausnet_Gas_Springvale</t>
        </is>
      </c>
      <c r="C829" s="2" t="inlineStr">
        <is>
          <t>Depot</t>
        </is>
      </c>
      <c r="D829" s="2" t="inlineStr">
        <is>
          <t>L9.J.24170235</t>
        </is>
      </c>
      <c r="E829" s="2" t="inlineStr">
        <is>
          <t>AGSV</t>
        </is>
      </c>
      <c r="H829" s="2" t="inlineStr">
        <is>
          <t>31 Rosalie Street</t>
        </is>
      </c>
      <c r="I829" s="2" t="inlineStr">
        <is>
          <t>Springvale</t>
        </is>
      </c>
      <c r="J829" s="2" t="inlineStr">
        <is>
          <t>Victoria</t>
        </is>
      </c>
      <c r="K829" s="2" t="n">
        <v>3171</v>
      </c>
      <c r="M829" s="2" t="inlineStr">
        <is>
          <t>Victoria</t>
        </is>
      </c>
      <c r="N829" s="2" t="inlineStr">
        <is>
          <t>Australia</t>
        </is>
      </c>
      <c r="P829" s="2" t="inlineStr">
        <is>
          <t>Operational Control</t>
        </is>
      </c>
      <c r="Q829" s="2" t="inlineStr">
        <is>
          <t>Operational Control</t>
        </is>
      </c>
      <c r="R829" s="2" t="inlineStr">
        <is>
          <t>Energy and Utilities (EU)</t>
        </is>
      </c>
      <c r="S829" s="2" t="inlineStr">
        <is>
          <t>Downer</t>
        </is>
      </c>
      <c r="T829" s="2" t="n">
        <v>100</v>
      </c>
      <c r="W829" s="2" t="inlineStr">
        <is>
          <t>Classification</t>
        </is>
      </c>
    </row>
    <row r="830">
      <c r="A830" s="2" t="inlineStr">
        <is>
          <t>Downer</t>
        </is>
      </c>
      <c r="B830" s="2" t="inlineStr">
        <is>
          <t>Ausnet_Gas_Warrnambool</t>
        </is>
      </c>
      <c r="C830" s="2" t="inlineStr">
        <is>
          <t>Depot</t>
        </is>
      </c>
      <c r="D830" s="2" t="inlineStr">
        <is>
          <t>L9.J.24170235</t>
        </is>
      </c>
      <c r="E830" s="2" t="inlineStr">
        <is>
          <t>AGWB</t>
        </is>
      </c>
      <c r="H830" s="2" t="inlineStr">
        <is>
          <t>13 Dickson Street</t>
        </is>
      </c>
      <c r="I830" s="2" t="inlineStr">
        <is>
          <t>Warrnambool</t>
        </is>
      </c>
      <c r="J830" s="2" t="inlineStr">
        <is>
          <t>Victoria</t>
        </is>
      </c>
      <c r="K830" s="2" t="n">
        <v>3280</v>
      </c>
      <c r="M830" s="2" t="inlineStr">
        <is>
          <t>Victoria</t>
        </is>
      </c>
      <c r="N830" s="2" t="inlineStr">
        <is>
          <t>Australia</t>
        </is>
      </c>
      <c r="P830" s="2" t="inlineStr">
        <is>
          <t>Operational Control</t>
        </is>
      </c>
      <c r="Q830" s="2" t="inlineStr">
        <is>
          <t>Operational Control</t>
        </is>
      </c>
      <c r="R830" s="2" t="inlineStr">
        <is>
          <t>Energy and Utilities (EU)</t>
        </is>
      </c>
      <c r="S830" s="2" t="inlineStr">
        <is>
          <t>Downer</t>
        </is>
      </c>
      <c r="T830" s="2" t="n">
        <v>100</v>
      </c>
      <c r="W830" s="2" t="inlineStr">
        <is>
          <t>Classification</t>
        </is>
      </c>
    </row>
    <row r="831">
      <c r="A831" s="2" t="inlineStr">
        <is>
          <t>Downer</t>
        </is>
      </c>
      <c r="B831" s="2" t="inlineStr">
        <is>
          <t>Ausnet_Gas_Wendouree</t>
        </is>
      </c>
      <c r="C831" s="2" t="inlineStr">
        <is>
          <t>Depot</t>
        </is>
      </c>
      <c r="D831" s="2" t="inlineStr">
        <is>
          <t>L9.J.24170235</t>
        </is>
      </c>
      <c r="E831" s="2" t="inlineStr">
        <is>
          <t>AGWD</t>
        </is>
      </c>
      <c r="H831" s="2" t="inlineStr">
        <is>
          <t>353 Dowling Street</t>
        </is>
      </c>
      <c r="I831" s="2" t="inlineStr">
        <is>
          <t>Wendouree</t>
        </is>
      </c>
      <c r="J831" s="2" t="inlineStr">
        <is>
          <t>Victoria</t>
        </is>
      </c>
      <c r="K831" s="2" t="n">
        <v>3355</v>
      </c>
      <c r="M831" s="2" t="inlineStr">
        <is>
          <t>Victoria</t>
        </is>
      </c>
      <c r="N831" s="2" t="inlineStr">
        <is>
          <t>Australia</t>
        </is>
      </c>
      <c r="P831" s="2" t="inlineStr">
        <is>
          <t>Operational Control</t>
        </is>
      </c>
      <c r="Q831" s="2" t="inlineStr">
        <is>
          <t>Operational Control</t>
        </is>
      </c>
      <c r="R831" s="2" t="inlineStr">
        <is>
          <t>Energy and Utilities (EU)</t>
        </is>
      </c>
      <c r="S831" s="2" t="inlineStr">
        <is>
          <t>Downer</t>
        </is>
      </c>
      <c r="T831" s="2" t="n">
        <v>100</v>
      </c>
      <c r="W831" s="2" t="inlineStr">
        <is>
          <t>Classification</t>
        </is>
      </c>
    </row>
    <row r="832">
      <c r="A832" s="2" t="inlineStr">
        <is>
          <t>Downer</t>
        </is>
      </c>
      <c r="B832" s="2" t="inlineStr">
        <is>
          <t>Austins Ferry</t>
        </is>
      </c>
      <c r="C832" s="2" t="inlineStr">
        <is>
          <t>Depot</t>
        </is>
      </c>
      <c r="D832" s="2" t="inlineStr">
        <is>
          <t>L9.J.17030687</t>
        </is>
      </c>
      <c r="E832" s="2" t="n">
        <v>12</v>
      </c>
      <c r="H832" s="2" t="inlineStr">
        <is>
          <t>3 Whitestone Drive</t>
        </is>
      </c>
      <c r="I832" s="2" t="inlineStr">
        <is>
          <t>Austins Ferry</t>
        </is>
      </c>
      <c r="J832" s="2" t="inlineStr">
        <is>
          <t>TAS</t>
        </is>
      </c>
      <c r="K832" s="2" t="n">
        <v>7011</v>
      </c>
      <c r="L832" s="2" t="inlineStr">
        <is>
          <t>Australia</t>
        </is>
      </c>
      <c r="M832" s="2" t="inlineStr">
        <is>
          <t>Tasmania</t>
        </is>
      </c>
      <c r="N832" s="2" t="inlineStr">
        <is>
          <t>Australia</t>
        </is>
      </c>
      <c r="P832" s="2" t="inlineStr">
        <is>
          <t>Operational Control</t>
        </is>
      </c>
      <c r="Q832" s="2" t="inlineStr">
        <is>
          <t>Operational Control</t>
        </is>
      </c>
      <c r="R832" s="2" t="inlineStr">
        <is>
          <t>Transport &amp; Infrastructure (T&amp;I)</t>
        </is>
      </c>
      <c r="S832" s="2" t="inlineStr">
        <is>
          <t>Downer</t>
        </is>
      </c>
      <c r="T832" s="2" t="n">
        <v>100</v>
      </c>
      <c r="W832" s="2" t="inlineStr">
        <is>
          <t>Classification</t>
        </is>
      </c>
      <c r="X832" s="2" t="n">
        <v>-42.766</v>
      </c>
      <c r="Y832" s="2" t="n">
        <v>147.246</v>
      </c>
      <c r="Z832" s="2" t="n">
        <v>310</v>
      </c>
    </row>
    <row r="833">
      <c r="A833" s="2" t="inlineStr">
        <is>
          <t>Downer</t>
        </is>
      </c>
      <c r="B833" s="2" t="inlineStr">
        <is>
          <t>Automation Nth Island</t>
        </is>
      </c>
      <c r="C833" s="2" t="inlineStr">
        <is>
          <t>Other</t>
        </is>
      </c>
      <c r="D833" s="2" t="inlineStr">
        <is>
          <t>L9.DNZJ.56150</t>
        </is>
      </c>
      <c r="E833" s="2" t="n">
        <v>56150</v>
      </c>
      <c r="H833" s="2" t="inlineStr">
        <is>
          <t>130 Kerrs Road</t>
        </is>
      </c>
      <c r="I833" s="2" t="inlineStr">
        <is>
          <t>Wiri</t>
        </is>
      </c>
      <c r="J833" s="2" t="inlineStr">
        <is>
          <t>Auckland</t>
        </is>
      </c>
      <c r="K833" s="2" t="n">
        <v>2104</v>
      </c>
      <c r="L833" s="2" t="inlineStr">
        <is>
          <t>New Zealand</t>
        </is>
      </c>
      <c r="M833" s="2" t="inlineStr">
        <is>
          <t>Manurewa</t>
        </is>
      </c>
      <c r="N833" s="2" t="inlineStr">
        <is>
          <t>New Zealand</t>
        </is>
      </c>
      <c r="P833" s="2" t="inlineStr">
        <is>
          <t>Operational Control</t>
        </is>
      </c>
      <c r="Q833" s="2" t="inlineStr">
        <is>
          <t>Operational Control</t>
        </is>
      </c>
      <c r="R833" s="2" t="inlineStr">
        <is>
          <t>Energy and Utilities (EU)</t>
        </is>
      </c>
      <c r="S833" s="2" t="inlineStr">
        <is>
          <t>Downer</t>
        </is>
      </c>
      <c r="T833" s="2" t="n">
        <v>100</v>
      </c>
      <c r="W833" s="2" t="inlineStr">
        <is>
          <t>Classification</t>
        </is>
      </c>
      <c r="X833" s="2" t="n">
        <v>-37.0083</v>
      </c>
      <c r="Y833" s="2" t="n">
        <v>174.8705</v>
      </c>
    </row>
    <row r="834">
      <c r="A834" s="2" t="inlineStr">
        <is>
          <t>Downer</t>
        </is>
      </c>
      <c r="B834" s="2" t="inlineStr">
        <is>
          <t>Automation Sth Island EU Subcontractors</t>
        </is>
      </c>
      <c r="C834" s="2" t="inlineStr">
        <is>
          <t>Other</t>
        </is>
      </c>
      <c r="D834" s="2" t="inlineStr">
        <is>
          <t>L9.DNZJ.56152</t>
        </is>
      </c>
      <c r="E834" s="2" t="inlineStr">
        <is>
          <t>L9.DNZJ.56152</t>
        </is>
      </c>
      <c r="M834" s="2" t="inlineStr">
        <is>
          <t>Auckland City</t>
        </is>
      </c>
      <c r="N834" s="2" t="inlineStr">
        <is>
          <t>New Zealand</t>
        </is>
      </c>
      <c r="P834" s="2" t="inlineStr">
        <is>
          <t>Operational Control</t>
        </is>
      </c>
      <c r="Q834" s="2" t="inlineStr">
        <is>
          <t>Operational Control</t>
        </is>
      </c>
      <c r="R834" s="2" t="inlineStr">
        <is>
          <t>Energy and Utilities (EU)</t>
        </is>
      </c>
      <c r="S834" s="2" t="inlineStr">
        <is>
          <t>Downer</t>
        </is>
      </c>
      <c r="T834" s="2" t="n">
        <v>100</v>
      </c>
      <c r="W834" s="2" t="inlineStr">
        <is>
          <t>Classification</t>
        </is>
      </c>
    </row>
    <row r="835">
      <c r="A835" s="2" t="inlineStr">
        <is>
          <t>Downer</t>
        </is>
      </c>
      <c r="B835" s="2" t="inlineStr">
        <is>
          <t>B&amp;I NZ Management</t>
        </is>
      </c>
      <c r="C835" s="2" t="inlineStr">
        <is>
          <t>Other</t>
        </is>
      </c>
      <c r="D835" s="2" t="inlineStr">
        <is>
          <t>L9.S.23000783</t>
        </is>
      </c>
      <c r="E835" s="2" t="n">
        <v>2000004851</v>
      </c>
      <c r="H835" s="2" t="inlineStr">
        <is>
          <t>130 Kerrs Road</t>
        </is>
      </c>
      <c r="I835" s="2" t="inlineStr">
        <is>
          <t>Wiri</t>
        </is>
      </c>
      <c r="J835" s="2" t="inlineStr">
        <is>
          <t>Auckland</t>
        </is>
      </c>
      <c r="K835" s="2" t="n">
        <v>2104</v>
      </c>
      <c r="L835" s="2" t="inlineStr">
        <is>
          <t>New Zealand</t>
        </is>
      </c>
      <c r="M835" s="2" t="inlineStr">
        <is>
          <t>Manurewa</t>
        </is>
      </c>
      <c r="N835" s="2" t="inlineStr">
        <is>
          <t>New Zealand</t>
        </is>
      </c>
      <c r="P835" s="2" t="inlineStr">
        <is>
          <t>Operational Control</t>
        </is>
      </c>
      <c r="Q835" s="2" t="inlineStr">
        <is>
          <t>Operational Control</t>
        </is>
      </c>
      <c r="R835" s="2" t="inlineStr">
        <is>
          <t>Social Infra &amp; Citizen Serv (SICS)</t>
        </is>
      </c>
      <c r="S835" s="2" t="inlineStr">
        <is>
          <t>Downer</t>
        </is>
      </c>
      <c r="T835" s="2" t="n">
        <v>100</v>
      </c>
      <c r="W835" s="2" t="inlineStr">
        <is>
          <t>Classification</t>
        </is>
      </c>
      <c r="X835" s="2" t="n">
        <v>-37.0083</v>
      </c>
      <c r="Y835" s="2" t="n">
        <v>174.8705</v>
      </c>
    </row>
    <row r="836">
      <c r="A836" s="2" t="inlineStr">
        <is>
          <t>Downer</t>
        </is>
      </c>
      <c r="B836" s="2" t="inlineStr">
        <is>
          <t>B201 REDEVELOPMENT UOA</t>
        </is>
      </c>
      <c r="C836" s="2" t="inlineStr">
        <is>
          <t>Other</t>
        </is>
      </c>
      <c r="D836" s="2" t="inlineStr">
        <is>
          <t>L9.DNZ.HA0397</t>
        </is>
      </c>
      <c r="E836" s="2" t="inlineStr">
        <is>
          <t>JP_HA0397</t>
        </is>
      </c>
      <c r="H836" s="2" t="inlineStr">
        <is>
          <t>130 Kerrs Road</t>
        </is>
      </c>
      <c r="I836" s="2" t="inlineStr">
        <is>
          <t>Wiri</t>
        </is>
      </c>
      <c r="J836" s="2" t="inlineStr">
        <is>
          <t>Auckland</t>
        </is>
      </c>
      <c r="K836" s="2" t="n">
        <v>2104</v>
      </c>
      <c r="L836" s="2" t="inlineStr">
        <is>
          <t>New Zealand</t>
        </is>
      </c>
      <c r="M836" s="2" t="inlineStr">
        <is>
          <t>Manurewa</t>
        </is>
      </c>
      <c r="N836" s="2" t="inlineStr">
        <is>
          <t>New Zealand</t>
        </is>
      </c>
      <c r="P836" s="2" t="inlineStr">
        <is>
          <t>Operational Control</t>
        </is>
      </c>
      <c r="Q836" s="2" t="inlineStr">
        <is>
          <t>Operational Control</t>
        </is>
      </c>
      <c r="R836" s="2" t="inlineStr">
        <is>
          <t>Transport &amp; Infrastructure (T&amp;I)</t>
        </is>
      </c>
      <c r="S836" s="2" t="inlineStr">
        <is>
          <t>Downer</t>
        </is>
      </c>
      <c r="T836" s="2" t="n">
        <v>100</v>
      </c>
      <c r="W836" s="2" t="inlineStr">
        <is>
          <t>Classification</t>
        </is>
      </c>
      <c r="X836" s="2" t="n">
        <v>-37.0083</v>
      </c>
      <c r="Y836" s="2" t="n">
        <v>174.8705</v>
      </c>
    </row>
    <row r="837">
      <c r="A837" s="2" t="inlineStr">
        <is>
          <t>Downer</t>
        </is>
      </c>
      <c r="B837" s="2" t="inlineStr">
        <is>
          <t>Balance of Plant Turitea</t>
        </is>
      </c>
      <c r="C837" s="2" t="inlineStr">
        <is>
          <t>Other</t>
        </is>
      </c>
      <c r="D837" s="2" t="inlineStr">
        <is>
          <t>L9.DNZJ.DN1168</t>
        </is>
      </c>
      <c r="E837" s="2" t="inlineStr">
        <is>
          <t>JP_DN1168</t>
        </is>
      </c>
      <c r="F837" s="2" t="n">
        <v>1064181</v>
      </c>
      <c r="H837" s="2" t="inlineStr">
        <is>
          <t>130 Kerrs Road</t>
        </is>
      </c>
      <c r="I837" s="2" t="inlineStr">
        <is>
          <t>Wiri</t>
        </is>
      </c>
      <c r="J837" s="2" t="inlineStr">
        <is>
          <t>Auckland</t>
        </is>
      </c>
      <c r="K837" s="2" t="n">
        <v>2104</v>
      </c>
      <c r="L837" s="2" t="inlineStr">
        <is>
          <t>New Zealand</t>
        </is>
      </c>
      <c r="M837" s="2" t="inlineStr">
        <is>
          <t>Manurewa</t>
        </is>
      </c>
      <c r="N837" s="2" t="inlineStr">
        <is>
          <t>New Zealand</t>
        </is>
      </c>
      <c r="P837" s="2" t="inlineStr">
        <is>
          <t>Operational Control</t>
        </is>
      </c>
      <c r="Q837" s="2" t="inlineStr">
        <is>
          <t>Operational Control</t>
        </is>
      </c>
      <c r="R837" s="2" t="inlineStr">
        <is>
          <t>Energy and Utilities (EU)</t>
        </is>
      </c>
      <c r="S837" s="2" t="inlineStr">
        <is>
          <t>Downer</t>
        </is>
      </c>
      <c r="T837" s="2" t="n">
        <v>100</v>
      </c>
      <c r="W837" s="2" t="inlineStr">
        <is>
          <t>Classification</t>
        </is>
      </c>
      <c r="X837" s="2" t="n">
        <v>-37.0083</v>
      </c>
      <c r="Y837" s="2" t="n">
        <v>174.8705</v>
      </c>
    </row>
    <row r="838">
      <c r="A838" s="2" t="inlineStr">
        <is>
          <t>Downer</t>
        </is>
      </c>
      <c r="B838" s="2" t="inlineStr">
        <is>
          <t>BALANCE OF PLANT TURITEA SOUTH</t>
        </is>
      </c>
      <c r="C838" s="2" t="inlineStr">
        <is>
          <t>Other</t>
        </is>
      </c>
      <c r="D838" s="2" t="inlineStr">
        <is>
          <t>L9.DNZJ.DN1182</t>
        </is>
      </c>
      <c r="E838" s="2" t="inlineStr">
        <is>
          <t>JP_DN1182</t>
        </is>
      </c>
      <c r="H838" s="2" t="inlineStr">
        <is>
          <t>130 Kerrs Road</t>
        </is>
      </c>
      <c r="I838" s="2" t="inlineStr">
        <is>
          <t>Wiri</t>
        </is>
      </c>
      <c r="J838" s="2" t="inlineStr">
        <is>
          <t>Auckland</t>
        </is>
      </c>
      <c r="K838" s="2" t="n">
        <v>2104</v>
      </c>
      <c r="L838" s="2" t="inlineStr">
        <is>
          <t>New Zealand</t>
        </is>
      </c>
      <c r="M838" s="2" t="inlineStr">
        <is>
          <t>Manurewa</t>
        </is>
      </c>
      <c r="N838" s="2" t="inlineStr">
        <is>
          <t>New Zealand</t>
        </is>
      </c>
      <c r="P838" s="2" t="inlineStr">
        <is>
          <t>Operational Control</t>
        </is>
      </c>
      <c r="Q838" s="2" t="inlineStr">
        <is>
          <t>Operational Control</t>
        </is>
      </c>
      <c r="R838" s="2" t="inlineStr">
        <is>
          <t>Energy and Utilities (EU)</t>
        </is>
      </c>
      <c r="S838" s="2" t="inlineStr">
        <is>
          <t>Downer</t>
        </is>
      </c>
      <c r="T838" s="2" t="n">
        <v>100</v>
      </c>
      <c r="W838" s="2" t="inlineStr">
        <is>
          <t>Classification</t>
        </is>
      </c>
      <c r="X838" s="2" t="n">
        <v>-37.0083</v>
      </c>
      <c r="Y838" s="2" t="n">
        <v>174.8705</v>
      </c>
    </row>
    <row r="839">
      <c r="A839" s="2" t="inlineStr">
        <is>
          <t>Downer</t>
        </is>
      </c>
      <c r="B839" s="2" t="inlineStr">
        <is>
          <t>Balance Sheet EU Subcontractors</t>
        </is>
      </c>
      <c r="C839" s="2" t="inlineStr">
        <is>
          <t>Other</t>
        </is>
      </c>
      <c r="D839" s="2" t="inlineStr">
        <is>
          <t>L9.DNZJ.56000</t>
        </is>
      </c>
      <c r="E839" s="2" t="inlineStr">
        <is>
          <t>L9.DNZJ.56000</t>
        </is>
      </c>
      <c r="M839" s="2" t="inlineStr">
        <is>
          <t>Auckland City</t>
        </is>
      </c>
      <c r="N839" s="2" t="inlineStr">
        <is>
          <t>New Zealand</t>
        </is>
      </c>
      <c r="P839" s="2" t="inlineStr">
        <is>
          <t>Operational Control</t>
        </is>
      </c>
      <c r="Q839" s="2" t="inlineStr">
        <is>
          <t>Operational Control</t>
        </is>
      </c>
      <c r="R839" s="2" t="inlineStr">
        <is>
          <t>Energy and Utilities (EU)</t>
        </is>
      </c>
      <c r="S839" s="2" t="inlineStr">
        <is>
          <t>Downer</t>
        </is>
      </c>
      <c r="T839" s="2" t="n">
        <v>100</v>
      </c>
      <c r="W839" s="2" t="inlineStr">
        <is>
          <t>Classification</t>
        </is>
      </c>
    </row>
    <row r="840">
      <c r="A840" s="2" t="inlineStr">
        <is>
          <t>Downer</t>
        </is>
      </c>
      <c r="B840" s="2" t="inlineStr">
        <is>
          <t>Balclutha Depot</t>
        </is>
      </c>
      <c r="C840" s="2" t="inlineStr">
        <is>
          <t>Other</t>
        </is>
      </c>
      <c r="D840" s="2" t="inlineStr">
        <is>
          <t>L9.DNZJ.55674</t>
        </is>
      </c>
      <c r="E840" s="2" t="n">
        <v>55674</v>
      </c>
      <c r="H840" s="2" t="inlineStr">
        <is>
          <t>11 Athol Place</t>
        </is>
      </c>
      <c r="I840" s="2" t="inlineStr">
        <is>
          <t>Balclutha</t>
        </is>
      </c>
      <c r="J840" s="2" t="inlineStr">
        <is>
          <t>Balclutha</t>
        </is>
      </c>
      <c r="K840" s="2" t="n">
        <v>9230</v>
      </c>
      <c r="L840" s="2" t="inlineStr">
        <is>
          <t>New Zealand</t>
        </is>
      </c>
      <c r="M840" s="2" t="inlineStr">
        <is>
          <t>Balclutha</t>
        </is>
      </c>
      <c r="N840" s="2" t="inlineStr">
        <is>
          <t>New Zealand</t>
        </is>
      </c>
      <c r="P840" s="2" t="inlineStr">
        <is>
          <t>Operational Control</t>
        </is>
      </c>
      <c r="Q840" s="2" t="inlineStr">
        <is>
          <t>Operational Control</t>
        </is>
      </c>
      <c r="R840" s="2" t="inlineStr">
        <is>
          <t>Transport &amp; Infrastructure (T&amp;I)</t>
        </is>
      </c>
      <c r="S840" s="2" t="inlineStr">
        <is>
          <t>Downer</t>
        </is>
      </c>
      <c r="T840" s="2" t="n">
        <v>100</v>
      </c>
      <c r="W840" s="2" t="inlineStr">
        <is>
          <t>Classification</t>
        </is>
      </c>
      <c r="X840" s="2" t="n">
        <v>-46.2329</v>
      </c>
      <c r="Y840" s="2" t="n">
        <v>169.7531</v>
      </c>
    </row>
    <row r="841">
      <c r="A841" s="2" t="inlineStr">
        <is>
          <t>Downer</t>
        </is>
      </c>
      <c r="B841" s="2" t="inlineStr">
        <is>
          <t>Baw Baw Shire</t>
        </is>
      </c>
      <c r="C841" s="2" t="inlineStr">
        <is>
          <t>Depot</t>
        </is>
      </c>
      <c r="D841" s="2" t="inlineStr">
        <is>
          <t>L9.J.17021182</t>
        </is>
      </c>
      <c r="E841" s="2" t="inlineStr">
        <is>
          <t>L9.J.17021182</t>
        </is>
      </c>
      <c r="F841" s="2" t="n">
        <v>184</v>
      </c>
      <c r="G841" s="2" t="inlineStr">
        <is>
          <t>Mobile office within Fowlers Trafalgar Yard.</t>
        </is>
      </c>
      <c r="M841" s="2" t="inlineStr">
        <is>
          <t>Victoria</t>
        </is>
      </c>
      <c r="N841" s="2" t="inlineStr">
        <is>
          <t>Australia</t>
        </is>
      </c>
      <c r="P841" s="2" t="inlineStr">
        <is>
          <t>Operational Control</t>
        </is>
      </c>
      <c r="Q841" s="2" t="inlineStr">
        <is>
          <t>Operational Control</t>
        </is>
      </c>
      <c r="R841" s="2" t="inlineStr">
        <is>
          <t>Transport &amp; Infrastructure (T&amp;I)</t>
        </is>
      </c>
      <c r="S841" s="2" t="inlineStr">
        <is>
          <t>Downer</t>
        </is>
      </c>
      <c r="T841" s="2" t="n">
        <v>100</v>
      </c>
      <c r="W841" s="2" t="inlineStr">
        <is>
          <t>Classification</t>
        </is>
      </c>
    </row>
    <row r="842">
      <c r="A842" s="2" t="inlineStr">
        <is>
          <t>Downer</t>
        </is>
      </c>
      <c r="B842" s="2" t="inlineStr">
        <is>
          <t>Belgrove Subdivision Stage 2</t>
        </is>
      </c>
      <c r="C842" s="2" t="inlineStr">
        <is>
          <t>Other</t>
        </is>
      </c>
      <c r="D842" s="2" t="inlineStr">
        <is>
          <t>L9.DNZJ.551106</t>
        </is>
      </c>
      <c r="E842" s="2" t="n">
        <v>551106</v>
      </c>
      <c r="H842" s="2" t="inlineStr">
        <is>
          <t>130 Kerrs Road</t>
        </is>
      </c>
      <c r="I842" s="2" t="inlineStr">
        <is>
          <t>Wiri</t>
        </is>
      </c>
      <c r="J842" s="2" t="inlineStr">
        <is>
          <t>Auckland</t>
        </is>
      </c>
      <c r="K842" s="2" t="n">
        <v>2104</v>
      </c>
      <c r="L842" s="2" t="inlineStr">
        <is>
          <t>New Zealand</t>
        </is>
      </c>
      <c r="M842" s="2" t="inlineStr">
        <is>
          <t>Manurewa</t>
        </is>
      </c>
      <c r="N842" s="2" t="inlineStr">
        <is>
          <t>New Zealand</t>
        </is>
      </c>
      <c r="P842" s="2" t="inlineStr">
        <is>
          <t>Operational Control</t>
        </is>
      </c>
      <c r="Q842" s="2" t="inlineStr">
        <is>
          <t>Operational Control</t>
        </is>
      </c>
      <c r="R842" s="2" t="inlineStr">
        <is>
          <t>Transport &amp; Infrastructure (T&amp;I)</t>
        </is>
      </c>
      <c r="S842" s="2" t="inlineStr">
        <is>
          <t>Downer</t>
        </is>
      </c>
      <c r="T842" s="2" t="n">
        <v>100</v>
      </c>
      <c r="W842" s="2" t="inlineStr">
        <is>
          <t>Classification</t>
        </is>
      </c>
      <c r="X842" s="2" t="n">
        <v>-37.0083</v>
      </c>
      <c r="Y842" s="2" t="n">
        <v>174.8705</v>
      </c>
    </row>
    <row r="843">
      <c r="A843" s="2" t="inlineStr">
        <is>
          <t>Downer</t>
        </is>
      </c>
      <c r="B843" s="2" t="inlineStr">
        <is>
          <t>Benalla</t>
        </is>
      </c>
      <c r="C843" s="2" t="inlineStr">
        <is>
          <t>Operations Center</t>
        </is>
      </c>
      <c r="D843" s="2" t="inlineStr">
        <is>
          <t>L9.J.17020788</t>
        </is>
      </c>
      <c r="E843" s="2" t="n">
        <v>21</v>
      </c>
      <c r="H843" s="2" t="inlineStr">
        <is>
          <t>50 - 52 Clarke St</t>
        </is>
      </c>
      <c r="I843" s="2" t="inlineStr">
        <is>
          <t>Benalla</t>
        </is>
      </c>
      <c r="J843" s="2" t="inlineStr">
        <is>
          <t>VIC</t>
        </is>
      </c>
      <c r="K843" s="2" t="n">
        <v>3671</v>
      </c>
      <c r="L843" s="2" t="inlineStr">
        <is>
          <t>Australia</t>
        </is>
      </c>
      <c r="M843" s="2" t="inlineStr">
        <is>
          <t>Victoria</t>
        </is>
      </c>
      <c r="N843" s="2" t="inlineStr">
        <is>
          <t>Australia</t>
        </is>
      </c>
      <c r="P843" s="2" t="inlineStr">
        <is>
          <t>Operational Control</t>
        </is>
      </c>
      <c r="Q843" s="2" t="inlineStr">
        <is>
          <t>Operational Control</t>
        </is>
      </c>
      <c r="R843" s="2" t="inlineStr">
        <is>
          <t>Transport &amp; Infrastructure (T&amp;I)</t>
        </is>
      </c>
      <c r="S843" s="2" t="inlineStr">
        <is>
          <t>Downer</t>
        </is>
      </c>
      <c r="T843" s="2" t="n">
        <v>100</v>
      </c>
      <c r="W843" s="2" t="inlineStr">
        <is>
          <t>Classification</t>
        </is>
      </c>
      <c r="X843" s="2" t="n">
        <v>-36.554</v>
      </c>
      <c r="Y843" s="2" t="n">
        <v>145.967</v>
      </c>
      <c r="Z843" s="2" t="n">
        <v>310</v>
      </c>
    </row>
    <row r="844">
      <c r="A844" s="2" t="inlineStr">
        <is>
          <t>Downer</t>
        </is>
      </c>
      <c r="B844" s="2" t="inlineStr">
        <is>
          <t>Berolina EU Subcontractors</t>
        </is>
      </c>
      <c r="C844" s="2" t="inlineStr">
        <is>
          <t>Other</t>
        </is>
      </c>
      <c r="D844" s="2" t="inlineStr">
        <is>
          <t>L9.J.23900097</t>
        </is>
      </c>
      <c r="E844" s="2" t="inlineStr">
        <is>
          <t>L9.J.23900097</t>
        </is>
      </c>
      <c r="M844" s="2" t="inlineStr">
        <is>
          <t>North Ryde</t>
        </is>
      </c>
      <c r="N844" s="2" t="inlineStr">
        <is>
          <t>Australia</t>
        </is>
      </c>
      <c r="P844" s="2" t="inlineStr">
        <is>
          <t>Operational Control</t>
        </is>
      </c>
      <c r="Q844" s="2" t="inlineStr">
        <is>
          <t>Operational Control</t>
        </is>
      </c>
      <c r="R844" s="2" t="inlineStr">
        <is>
          <t>Energy and Utilities (EU)</t>
        </is>
      </c>
      <c r="S844" s="2" t="inlineStr">
        <is>
          <t>Downer</t>
        </is>
      </c>
      <c r="T844" s="2" t="n">
        <v>100</v>
      </c>
      <c r="W844" s="2" t="inlineStr">
        <is>
          <t>Classification</t>
        </is>
      </c>
    </row>
    <row r="845">
      <c r="A845" s="2" t="inlineStr">
        <is>
          <t>Downer</t>
        </is>
      </c>
      <c r="B845" s="2" t="inlineStr">
        <is>
          <t>Bid/Estimating</t>
        </is>
      </c>
      <c r="C845" s="2" t="inlineStr">
        <is>
          <t>Other</t>
        </is>
      </c>
      <c r="D845" s="2" t="inlineStr">
        <is>
          <t>L9.DNZJ.55906</t>
        </is>
      </c>
      <c r="E845" s="2" t="n">
        <v>55906</v>
      </c>
      <c r="H845" s="2" t="inlineStr">
        <is>
          <t>130 Kerrs Road</t>
        </is>
      </c>
      <c r="I845" s="2" t="inlineStr">
        <is>
          <t>Wiri</t>
        </is>
      </c>
      <c r="J845" s="2" t="inlineStr">
        <is>
          <t>Auckland</t>
        </is>
      </c>
      <c r="K845" s="2" t="n">
        <v>2104</v>
      </c>
      <c r="L845" s="2" t="inlineStr">
        <is>
          <t>New Zealand</t>
        </is>
      </c>
      <c r="M845" s="2" t="inlineStr">
        <is>
          <t>Manurewa</t>
        </is>
      </c>
      <c r="N845" s="2" t="inlineStr">
        <is>
          <t>New Zealand</t>
        </is>
      </c>
      <c r="P845" s="2" t="inlineStr">
        <is>
          <t>Operational Control</t>
        </is>
      </c>
      <c r="Q845" s="2" t="inlineStr">
        <is>
          <t>Operational Control</t>
        </is>
      </c>
      <c r="R845" s="2" t="inlineStr">
        <is>
          <t>Transport &amp; Infrastructure (T&amp;I)</t>
        </is>
      </c>
      <c r="S845" s="2" t="inlineStr">
        <is>
          <t>Downer</t>
        </is>
      </c>
      <c r="T845" s="2" t="n">
        <v>100</v>
      </c>
      <c r="W845" s="2" t="inlineStr">
        <is>
          <t>Classification</t>
        </is>
      </c>
      <c r="X845" s="2" t="n">
        <v>-37.0083</v>
      </c>
      <c r="Y845" s="2" t="n">
        <v>174.8705</v>
      </c>
    </row>
    <row r="846">
      <c r="A846" s="2" t="inlineStr">
        <is>
          <t>Downer</t>
        </is>
      </c>
      <c r="B846" s="2" t="inlineStr">
        <is>
          <t>Bio Security People/Plant</t>
        </is>
      </c>
      <c r="C846" s="2" t="inlineStr">
        <is>
          <t>Other</t>
        </is>
      </c>
      <c r="D846" s="2" t="inlineStr">
        <is>
          <t>L9.DNZJ.67200</t>
        </is>
      </c>
      <c r="E846" s="2" t="n">
        <v>67200</v>
      </c>
      <c r="H846" s="2" t="inlineStr">
        <is>
          <t>130 Kerrs Road</t>
        </is>
      </c>
      <c r="I846" s="2" t="inlineStr">
        <is>
          <t>Wiri</t>
        </is>
      </c>
      <c r="J846" s="2" t="inlineStr">
        <is>
          <t>Auckland</t>
        </is>
      </c>
      <c r="K846" s="2" t="n">
        <v>2104</v>
      </c>
      <c r="L846" s="2" t="inlineStr">
        <is>
          <t>New Zealand</t>
        </is>
      </c>
      <c r="M846" s="2" t="inlineStr">
        <is>
          <t>Manurewa</t>
        </is>
      </c>
      <c r="N846" s="2" t="inlineStr">
        <is>
          <t>New Zealand</t>
        </is>
      </c>
      <c r="P846" s="2" t="inlineStr">
        <is>
          <t>Operational Control</t>
        </is>
      </c>
      <c r="Q846" s="2" t="inlineStr">
        <is>
          <t>Operational Control</t>
        </is>
      </c>
      <c r="R846" s="2" t="inlineStr">
        <is>
          <t>Transport &amp; Infrastructure (T&amp;I)</t>
        </is>
      </c>
      <c r="S846" s="2" t="inlineStr">
        <is>
          <t>Downer</t>
        </is>
      </c>
      <c r="T846" s="2" t="n">
        <v>100</v>
      </c>
      <c r="W846" s="2" t="inlineStr">
        <is>
          <t>Classification</t>
        </is>
      </c>
      <c r="X846" s="2" t="n">
        <v>-37.0083</v>
      </c>
      <c r="Y846" s="2" t="n">
        <v>174.8705</v>
      </c>
    </row>
    <row r="847">
      <c r="A847" s="2" t="inlineStr">
        <is>
          <t>Downer</t>
        </is>
      </c>
      <c r="B847" s="2" t="inlineStr">
        <is>
          <t>Bitumen - Bluff</t>
        </is>
      </c>
      <c r="C847" s="2" t="inlineStr">
        <is>
          <t>Plant, Manufacturing</t>
        </is>
      </c>
      <c r="D847" s="2" t="inlineStr">
        <is>
          <t>L9.DNZJ.3042</t>
        </is>
      </c>
      <c r="E847" s="2" t="n">
        <v>3042</v>
      </c>
      <c r="F847" s="2" t="n">
        <v>900606</v>
      </c>
      <c r="H847" s="2" t="inlineStr">
        <is>
          <t>50 Foreshore Road</t>
        </is>
      </c>
      <c r="I847" s="2" t="inlineStr">
        <is>
          <t>Bluff</t>
        </is>
      </c>
      <c r="J847" s="2" t="inlineStr">
        <is>
          <t>Bluff</t>
        </is>
      </c>
      <c r="K847" s="2" t="n">
        <v>9814</v>
      </c>
      <c r="L847" s="2" t="inlineStr">
        <is>
          <t>New Zealand</t>
        </is>
      </c>
      <c r="M847" s="2" t="inlineStr">
        <is>
          <t>Bluff</t>
        </is>
      </c>
      <c r="N847" s="2" t="inlineStr">
        <is>
          <t>New Zealand</t>
        </is>
      </c>
      <c r="P847" s="2" t="inlineStr">
        <is>
          <t>Operational Control</t>
        </is>
      </c>
      <c r="Q847" s="2" t="inlineStr">
        <is>
          <t>Operational Control</t>
        </is>
      </c>
      <c r="R847" s="2" t="inlineStr">
        <is>
          <t>Transport &amp; Infrastructure (T&amp;I)</t>
        </is>
      </c>
      <c r="S847" s="2" t="inlineStr">
        <is>
          <t>Downer</t>
        </is>
      </c>
      <c r="T847" s="2" t="n">
        <v>100</v>
      </c>
      <c r="W847" s="2" t="inlineStr">
        <is>
          <t>Classification</t>
        </is>
      </c>
      <c r="X847" s="2" t="n">
        <v>-46.598</v>
      </c>
      <c r="Y847" s="2" t="n">
        <v>168.3403</v>
      </c>
    </row>
    <row r="848">
      <c r="A848" s="2" t="inlineStr">
        <is>
          <t>Downer</t>
        </is>
      </c>
      <c r="B848" s="2" t="inlineStr">
        <is>
          <t>Bitumen - Lyttleton</t>
        </is>
      </c>
      <c r="C848" s="2" t="inlineStr">
        <is>
          <t>Plant, Manufacturing</t>
        </is>
      </c>
      <c r="D848" s="2" t="inlineStr">
        <is>
          <t>L9.DNZJ.3041</t>
        </is>
      </c>
      <c r="E848" s="2" t="n">
        <v>3041</v>
      </c>
      <c r="H848" s="2" t="inlineStr">
        <is>
          <t>Charlotte Jane Quay</t>
        </is>
      </c>
      <c r="I848" s="2" t="inlineStr">
        <is>
          <t>Lyttelton</t>
        </is>
      </c>
      <c r="J848" s="2" t="inlineStr">
        <is>
          <t>Lyttelton</t>
        </is>
      </c>
      <c r="K848" s="2" t="n">
        <v>8082</v>
      </c>
      <c r="L848" s="2" t="inlineStr">
        <is>
          <t>New Zealand</t>
        </is>
      </c>
      <c r="M848" s="2" t="inlineStr">
        <is>
          <t>Christchurch</t>
        </is>
      </c>
      <c r="N848" s="2" t="inlineStr">
        <is>
          <t>New Zealand</t>
        </is>
      </c>
      <c r="P848" s="2" t="inlineStr">
        <is>
          <t>Operational Control</t>
        </is>
      </c>
      <c r="Q848" s="2" t="inlineStr">
        <is>
          <t>Operational Control</t>
        </is>
      </c>
      <c r="R848" s="2" t="inlineStr">
        <is>
          <t>Transport &amp; Infrastructure (T&amp;I)</t>
        </is>
      </c>
      <c r="S848" s="2" t="inlineStr">
        <is>
          <t>Downer</t>
        </is>
      </c>
      <c r="T848" s="2" t="n">
        <v>100</v>
      </c>
      <c r="W848" s="2" t="inlineStr">
        <is>
          <t>Classification</t>
        </is>
      </c>
      <c r="X848" s="2" t="n">
        <v>-43.6086</v>
      </c>
      <c r="Y848" s="2" t="n">
        <v>172.7072</v>
      </c>
    </row>
    <row r="849">
      <c r="A849" s="2" t="inlineStr">
        <is>
          <t>Downer</t>
        </is>
      </c>
      <c r="B849" s="2" t="inlineStr">
        <is>
          <t>Bitumen - Mt Maunganui</t>
        </is>
      </c>
      <c r="C849" s="2" t="inlineStr">
        <is>
          <t>Plant, Manufacturing</t>
        </is>
      </c>
      <c r="D849" s="2" t="inlineStr">
        <is>
          <t>L9.DNZJ.3040</t>
        </is>
      </c>
      <c r="E849" s="2" t="n">
        <v>3040</v>
      </c>
      <c r="H849" s="2" t="inlineStr">
        <is>
          <t>198 Totara Street</t>
        </is>
      </c>
      <c r="I849" s="2" t="inlineStr">
        <is>
          <t>Mount Maunganui</t>
        </is>
      </c>
      <c r="J849" s="2" t="inlineStr">
        <is>
          <t>Tauranga</t>
        </is>
      </c>
      <c r="K849" s="2" t="n">
        <v>3116</v>
      </c>
      <c r="L849" s="2" t="inlineStr">
        <is>
          <t>New Zealand</t>
        </is>
      </c>
      <c r="M849" s="2" t="inlineStr">
        <is>
          <t>Tauranga</t>
        </is>
      </c>
      <c r="N849" s="2" t="inlineStr">
        <is>
          <t>New Zealand</t>
        </is>
      </c>
      <c r="P849" s="2" t="inlineStr">
        <is>
          <t>Operational Control</t>
        </is>
      </c>
      <c r="Q849" s="2" t="inlineStr">
        <is>
          <t>Operational Control</t>
        </is>
      </c>
      <c r="R849" s="2" t="inlineStr">
        <is>
          <t>Transport &amp; Infrastructure (T&amp;I)</t>
        </is>
      </c>
      <c r="S849" s="2" t="inlineStr">
        <is>
          <t>Downer</t>
        </is>
      </c>
      <c r="T849" s="2" t="n">
        <v>100</v>
      </c>
      <c r="W849" s="2" t="inlineStr">
        <is>
          <t>Classification</t>
        </is>
      </c>
      <c r="X849" s="2" t="n">
        <v>-37.6637</v>
      </c>
      <c r="Y849" s="2" t="n">
        <v>176.1846</v>
      </c>
    </row>
    <row r="850">
      <c r="A850" s="2" t="inlineStr">
        <is>
          <t>Downer</t>
        </is>
      </c>
      <c r="B850" s="2" t="inlineStr">
        <is>
          <t>Bitumen - Taranaki</t>
        </is>
      </c>
      <c r="C850" s="2" t="inlineStr">
        <is>
          <t>Plant, Manufacturing</t>
        </is>
      </c>
      <c r="D850" s="2" t="inlineStr">
        <is>
          <t>L9.DNZJ.3045</t>
        </is>
      </c>
      <c r="E850" s="2" t="n">
        <v>3045</v>
      </c>
      <c r="H850" s="2" t="inlineStr">
        <is>
          <t>1 Wharf Street</t>
        </is>
      </c>
      <c r="I850" s="2" t="inlineStr">
        <is>
          <t>Port Taranaki</t>
        </is>
      </c>
      <c r="J850" s="2" t="inlineStr">
        <is>
          <t>New Plymouth</t>
        </is>
      </c>
      <c r="K850" s="2" t="n">
        <v>4310</v>
      </c>
      <c r="L850" s="2" t="inlineStr">
        <is>
          <t>New Zealand</t>
        </is>
      </c>
      <c r="M850" s="2" t="inlineStr">
        <is>
          <t>New Plymouth</t>
        </is>
      </c>
      <c r="N850" s="2" t="inlineStr">
        <is>
          <t>New Zealand</t>
        </is>
      </c>
      <c r="P850" s="2" t="inlineStr">
        <is>
          <t>Operational Control</t>
        </is>
      </c>
      <c r="Q850" s="2" t="inlineStr">
        <is>
          <t>Operational Control</t>
        </is>
      </c>
      <c r="R850" s="2" t="inlineStr">
        <is>
          <t>Transport &amp; Infrastructure (T&amp;I)</t>
        </is>
      </c>
      <c r="S850" s="2" t="inlineStr">
        <is>
          <t>Downer</t>
        </is>
      </c>
      <c r="T850" s="2" t="n">
        <v>100</v>
      </c>
      <c r="W850" s="2" t="inlineStr">
        <is>
          <t>Classification</t>
        </is>
      </c>
      <c r="X850" s="2" t="n">
        <v>-39.0578</v>
      </c>
      <c r="Y850" s="2" t="n">
        <v>174.0292</v>
      </c>
    </row>
    <row r="851">
      <c r="A851" s="2" t="inlineStr">
        <is>
          <t>Downer</t>
        </is>
      </c>
      <c r="B851" s="2" t="inlineStr">
        <is>
          <t>Bitumen Transport - Qantas Dr.</t>
        </is>
      </c>
      <c r="C851" s="2" t="inlineStr">
        <is>
          <t>Fleet Fuel</t>
        </is>
      </c>
      <c r="D851" s="2" t="inlineStr">
        <is>
          <t>L9.J.170927</t>
        </is>
      </c>
      <c r="E851" s="2" t="n">
        <v>361</v>
      </c>
      <c r="G851" s="2" t="inlineStr">
        <is>
          <t>Glen Thomson’s Bitumen Transport team
Changed over to this address in October 19</t>
        </is>
      </c>
      <c r="H851" s="2" t="inlineStr">
        <is>
          <t>60-62 Qantas Drive</t>
        </is>
      </c>
      <c r="I851" s="2" t="inlineStr">
        <is>
          <t>Brisbane Airport</t>
        </is>
      </c>
      <c r="J851" s="2" t="inlineStr">
        <is>
          <t>QLD</t>
        </is>
      </c>
      <c r="K851" s="2" t="n">
        <v>4008</v>
      </c>
      <c r="L851" s="2" t="inlineStr">
        <is>
          <t>Australia</t>
        </is>
      </c>
      <c r="M851" s="2" t="inlineStr">
        <is>
          <t>Queensland</t>
        </is>
      </c>
      <c r="N851" s="2" t="inlineStr">
        <is>
          <t>Australia</t>
        </is>
      </c>
      <c r="P851" s="2" t="inlineStr">
        <is>
          <t>Operational Control</t>
        </is>
      </c>
      <c r="Q851" s="2" t="inlineStr">
        <is>
          <t>Operational Control</t>
        </is>
      </c>
      <c r="R851" s="2" t="inlineStr">
        <is>
          <t>Transport &amp; Infrastructure (T&amp;I)</t>
        </is>
      </c>
      <c r="S851" s="2" t="inlineStr">
        <is>
          <t>Downer</t>
        </is>
      </c>
      <c r="T851" s="2" t="n">
        <v>100</v>
      </c>
      <c r="W851" s="2" t="inlineStr">
        <is>
          <t>Classification</t>
        </is>
      </c>
      <c r="X851" s="2" t="n">
        <v>-27.414474</v>
      </c>
      <c r="Y851" s="2" t="n">
        <v>153.091364</v>
      </c>
      <c r="Z851" s="2" t="n">
        <v>692</v>
      </c>
    </row>
    <row r="852">
      <c r="A852" s="2" t="inlineStr">
        <is>
          <t>Downer</t>
        </is>
      </c>
      <c r="B852" s="2" t="inlineStr">
        <is>
          <t>Blenheim (29 Old Renwick Road)</t>
        </is>
      </c>
      <c r="C852" s="2" t="inlineStr">
        <is>
          <t>Storage / Warehouse</t>
        </is>
      </c>
      <c r="D852" s="2" t="inlineStr">
        <is>
          <t>L9.DNZJ.91388</t>
        </is>
      </c>
      <c r="E852" s="2" t="n">
        <v>91388</v>
      </c>
      <c r="G852" s="2" t="inlineStr">
        <is>
          <t>COR-NZHO.91388-Blenheim (29 Old Renwick Road)
Stables  33 Old Renwick Road  Springlands  Blenheim 7201  Marlborough Region</t>
        </is>
      </c>
      <c r="H852" s="2" t="inlineStr">
        <is>
          <t>29 Old Renwick Road</t>
        </is>
      </c>
      <c r="I852" s="2" t="inlineStr">
        <is>
          <t>Blenheim</t>
        </is>
      </c>
      <c r="J852" s="2" t="inlineStr">
        <is>
          <t>Marlborough</t>
        </is>
      </c>
      <c r="K852" s="2" t="n">
        <v>7201</v>
      </c>
      <c r="M852" s="2" t="inlineStr">
        <is>
          <t>Marlborough</t>
        </is>
      </c>
      <c r="N852" s="2" t="inlineStr">
        <is>
          <t>New Zealand</t>
        </is>
      </c>
      <c r="P852" s="2" t="inlineStr">
        <is>
          <t>Operational Control</t>
        </is>
      </c>
      <c r="Q852" s="2" t="inlineStr">
        <is>
          <t>Operational Control</t>
        </is>
      </c>
      <c r="R852" s="2" t="inlineStr">
        <is>
          <t>Energy and Utilities (EU)</t>
        </is>
      </c>
      <c r="S852" s="2" t="inlineStr">
        <is>
          <t>Downer</t>
        </is>
      </c>
      <c r="T852" s="2" t="n">
        <v>100</v>
      </c>
      <c r="W852" s="2" t="inlineStr">
        <is>
          <t>Classification</t>
        </is>
      </c>
    </row>
    <row r="853">
      <c r="A853" s="2" t="inlineStr">
        <is>
          <t>Downer</t>
        </is>
      </c>
      <c r="B853" s="2" t="inlineStr">
        <is>
          <t>Blenheim/Kaikoura Telco Ops</t>
        </is>
      </c>
      <c r="C853" s="2" t="inlineStr">
        <is>
          <t>Other</t>
        </is>
      </c>
      <c r="D853" s="2" t="inlineStr">
        <is>
          <t>L9.DNZ.810.10.180</t>
        </is>
      </c>
      <c r="E853" s="2" t="n">
        <v>10180</v>
      </c>
      <c r="G853" s="2" t="n">
        <v>10.18</v>
      </c>
      <c r="H853" s="2" t="inlineStr">
        <is>
          <t>130 Kerrs Road</t>
        </is>
      </c>
      <c r="I853" s="2" t="inlineStr">
        <is>
          <t>Wiri</t>
        </is>
      </c>
      <c r="J853" s="2" t="inlineStr">
        <is>
          <t>Auckland</t>
        </is>
      </c>
      <c r="K853" s="2" t="n">
        <v>2104</v>
      </c>
      <c r="L853" s="2" t="inlineStr">
        <is>
          <t>New Zealand</t>
        </is>
      </c>
      <c r="M853" s="2" t="inlineStr">
        <is>
          <t>Manurewa</t>
        </is>
      </c>
      <c r="N853" s="2" t="inlineStr">
        <is>
          <t>New Zealand</t>
        </is>
      </c>
      <c r="P853" s="2" t="inlineStr">
        <is>
          <t>Operational Control</t>
        </is>
      </c>
      <c r="Q853" s="2" t="inlineStr">
        <is>
          <t>Operational Control</t>
        </is>
      </c>
      <c r="R853" s="2" t="inlineStr">
        <is>
          <t>Energy and Utilities (EU)</t>
        </is>
      </c>
      <c r="S853" s="2" t="inlineStr">
        <is>
          <t>Downer</t>
        </is>
      </c>
      <c r="T853" s="2" t="n">
        <v>100</v>
      </c>
      <c r="W853" s="2" t="inlineStr">
        <is>
          <t>Classification</t>
        </is>
      </c>
      <c r="X853" s="2" t="n">
        <v>-37.0083</v>
      </c>
      <c r="Y853" s="2" t="n">
        <v>174.8705</v>
      </c>
    </row>
    <row r="854">
      <c r="A854" s="2" t="inlineStr">
        <is>
          <t>Downer</t>
        </is>
      </c>
      <c r="B854" s="2" t="inlineStr">
        <is>
          <t>Bluff Hill Watermain</t>
        </is>
      </c>
      <c r="C854" s="2" t="inlineStr">
        <is>
          <t>Other</t>
        </is>
      </c>
      <c r="D854" s="2" t="inlineStr">
        <is>
          <t>L9.DNZJ.561281</t>
        </is>
      </c>
      <c r="E854" s="2" t="n">
        <v>561281</v>
      </c>
      <c r="M854" s="2" t="inlineStr">
        <is>
          <t>Auckland</t>
        </is>
      </c>
      <c r="N854" s="2" t="inlineStr">
        <is>
          <t>New Zealand</t>
        </is>
      </c>
      <c r="P854" s="2" t="inlineStr">
        <is>
          <t>Operational Control</t>
        </is>
      </c>
      <c r="Q854" s="2" t="inlineStr">
        <is>
          <t>Operational Control</t>
        </is>
      </c>
      <c r="R854" s="2" t="inlineStr">
        <is>
          <t>Energy and Utilities (EU)</t>
        </is>
      </c>
      <c r="S854" s="2" t="inlineStr">
        <is>
          <t>Downer</t>
        </is>
      </c>
      <c r="T854" s="2" t="n">
        <v>100</v>
      </c>
      <c r="W854" s="2" t="inlineStr">
        <is>
          <t>Classification</t>
        </is>
      </c>
    </row>
    <row r="855">
      <c r="A855" s="2" t="inlineStr">
        <is>
          <t>Downer</t>
        </is>
      </c>
      <c r="B855" s="2" t="inlineStr">
        <is>
          <t>BOP Omanawa - 345 Matakokiri Drive, Tauranga</t>
        </is>
      </c>
      <c r="C855" s="2" t="inlineStr">
        <is>
          <t>Laboratory</t>
        </is>
      </c>
      <c r="D855" s="2" t="inlineStr">
        <is>
          <t>L9.DNZJ.3520</t>
        </is>
      </c>
      <c r="E855" s="2" t="inlineStr">
        <is>
          <t>L9.DNZJ.3520</t>
        </is>
      </c>
      <c r="M855" s="2" t="inlineStr">
        <is>
          <t>Tauranga</t>
        </is>
      </c>
      <c r="N855" s="2" t="inlineStr">
        <is>
          <t>New Zealand</t>
        </is>
      </c>
      <c r="P855" s="2" t="inlineStr">
        <is>
          <t>Operational Control</t>
        </is>
      </c>
      <c r="Q855" s="2" t="inlineStr">
        <is>
          <t>Operational Control</t>
        </is>
      </c>
      <c r="R855" s="2" t="inlineStr">
        <is>
          <t>Transport &amp; Infrastructure (T&amp;I)</t>
        </is>
      </c>
      <c r="S855" s="2" t="inlineStr">
        <is>
          <t>Downer</t>
        </is>
      </c>
      <c r="T855" s="2" t="n">
        <v>100</v>
      </c>
      <c r="W855" s="2" t="inlineStr">
        <is>
          <t>Classification</t>
        </is>
      </c>
    </row>
    <row r="856">
      <c r="A856" s="2" t="inlineStr">
        <is>
          <t>Downer</t>
        </is>
      </c>
      <c r="B856" s="2" t="inlineStr">
        <is>
          <t>BOP Overhead</t>
        </is>
      </c>
      <c r="C856" s="2" t="inlineStr">
        <is>
          <t>Other</t>
        </is>
      </c>
      <c r="D856" s="2" t="inlineStr">
        <is>
          <t>L9.DNZJ.55935</t>
        </is>
      </c>
      <c r="E856" s="2" t="n">
        <v>55935</v>
      </c>
      <c r="M856" s="2" t="inlineStr">
        <is>
          <t>Manurewa</t>
        </is>
      </c>
      <c r="N856" s="2" t="inlineStr">
        <is>
          <t>New Zealand</t>
        </is>
      </c>
      <c r="P856" s="2" t="inlineStr">
        <is>
          <t>Operational Control</t>
        </is>
      </c>
      <c r="Q856" s="2" t="inlineStr">
        <is>
          <t>Operational Control</t>
        </is>
      </c>
      <c r="R856" s="2" t="inlineStr">
        <is>
          <t>Transport &amp; Infrastructure (T&amp;I)</t>
        </is>
      </c>
      <c r="S856" s="2" t="inlineStr">
        <is>
          <t>Downer</t>
        </is>
      </c>
      <c r="T856" s="2" t="n">
        <v>100</v>
      </c>
      <c r="W856" s="2" t="inlineStr">
        <is>
          <t>Classification</t>
        </is>
      </c>
    </row>
    <row r="857">
      <c r="A857" s="2" t="inlineStr">
        <is>
          <t>Downer</t>
        </is>
      </c>
      <c r="B857" s="2" t="inlineStr">
        <is>
          <t>BOP People/Plant</t>
        </is>
      </c>
      <c r="C857" s="2" t="inlineStr">
        <is>
          <t>Other</t>
        </is>
      </c>
      <c r="D857" s="2" t="inlineStr">
        <is>
          <t>L9.DNZJ.66202</t>
        </is>
      </c>
      <c r="E857" s="2" t="n">
        <v>66202</v>
      </c>
      <c r="H857" s="2" t="inlineStr">
        <is>
          <t>130 Kerrs Road</t>
        </is>
      </c>
      <c r="I857" s="2" t="inlineStr">
        <is>
          <t>Wiri</t>
        </is>
      </c>
      <c r="J857" s="2" t="inlineStr">
        <is>
          <t>Auckland</t>
        </is>
      </c>
      <c r="K857" s="2" t="n">
        <v>2104</v>
      </c>
      <c r="L857" s="2" t="inlineStr">
        <is>
          <t>New Zealand</t>
        </is>
      </c>
      <c r="M857" s="2" t="inlineStr">
        <is>
          <t>Manurewa</t>
        </is>
      </c>
      <c r="N857" s="2" t="inlineStr">
        <is>
          <t>New Zealand</t>
        </is>
      </c>
      <c r="P857" s="2" t="inlineStr">
        <is>
          <t>Operational Control</t>
        </is>
      </c>
      <c r="Q857" s="2" t="inlineStr">
        <is>
          <t>Operational Control</t>
        </is>
      </c>
      <c r="R857" s="2" t="inlineStr">
        <is>
          <t>Transport &amp; Infrastructure (T&amp;I)</t>
        </is>
      </c>
      <c r="S857" s="2" t="inlineStr">
        <is>
          <t>Downer</t>
        </is>
      </c>
      <c r="T857" s="2" t="n">
        <v>100</v>
      </c>
      <c r="W857" s="2" t="inlineStr">
        <is>
          <t>Classification</t>
        </is>
      </c>
      <c r="X857" s="2" t="n">
        <v>-37.0083</v>
      </c>
      <c r="Y857" s="2" t="n">
        <v>174.8705</v>
      </c>
    </row>
    <row r="858">
      <c r="A858" s="2" t="inlineStr">
        <is>
          <t>Downer</t>
        </is>
      </c>
      <c r="B858" s="2" t="inlineStr">
        <is>
          <t>BP Oil NZ Christchurch 45003854</t>
        </is>
      </c>
      <c r="C858" s="2" t="inlineStr">
        <is>
          <t>Other</t>
        </is>
      </c>
      <c r="D858" s="2" t="inlineStr">
        <is>
          <t>L9.S.26019498</t>
        </is>
      </c>
      <c r="E858" s="2" t="n">
        <v>2000005073</v>
      </c>
      <c r="H858" s="2" t="inlineStr">
        <is>
          <t>130 Kerrs Road</t>
        </is>
      </c>
      <c r="I858" s="2" t="inlineStr">
        <is>
          <t>Wiri</t>
        </is>
      </c>
      <c r="J858" s="2" t="inlineStr">
        <is>
          <t>Auckland</t>
        </is>
      </c>
      <c r="K858" s="2" t="n">
        <v>2104</v>
      </c>
      <c r="L858" s="2" t="inlineStr">
        <is>
          <t>New Zealand</t>
        </is>
      </c>
      <c r="M858" s="2" t="inlineStr">
        <is>
          <t>Manurewa</t>
        </is>
      </c>
      <c r="N858" s="2" t="inlineStr">
        <is>
          <t>New Zealand</t>
        </is>
      </c>
      <c r="P858" s="2" t="inlineStr">
        <is>
          <t>Operational Control</t>
        </is>
      </c>
      <c r="Q858" s="2" t="inlineStr">
        <is>
          <t>Operational Control</t>
        </is>
      </c>
      <c r="R858" s="2" t="inlineStr">
        <is>
          <t>Social Infra &amp; Citizen Serv (SICS)</t>
        </is>
      </c>
      <c r="S858" s="2" t="inlineStr">
        <is>
          <t>Downer</t>
        </is>
      </c>
      <c r="T858" s="2" t="n">
        <v>100</v>
      </c>
      <c r="W858" s="2" t="inlineStr">
        <is>
          <t>Classification</t>
        </is>
      </c>
      <c r="X858" s="2" t="n">
        <v>-37.0083</v>
      </c>
      <c r="Y858" s="2" t="n">
        <v>174.8705</v>
      </c>
    </row>
    <row r="859">
      <c r="A859" s="2" t="inlineStr">
        <is>
          <t>Downer</t>
        </is>
      </c>
      <c r="B859" s="2" t="inlineStr">
        <is>
          <t>BP Oil NZ Rotorua 45003857</t>
        </is>
      </c>
      <c r="C859" s="2" t="inlineStr">
        <is>
          <t>Other</t>
        </is>
      </c>
      <c r="D859" s="2" t="inlineStr">
        <is>
          <t>L9.S.26019532</t>
        </is>
      </c>
      <c r="E859" s="2" t="n">
        <v>2000005079</v>
      </c>
      <c r="H859" s="2" t="inlineStr">
        <is>
          <t>130 Kerrs Road</t>
        </is>
      </c>
      <c r="I859" s="2" t="inlineStr">
        <is>
          <t>Wiri</t>
        </is>
      </c>
      <c r="J859" s="2" t="inlineStr">
        <is>
          <t>Auckland</t>
        </is>
      </c>
      <c r="K859" s="2" t="n">
        <v>2104</v>
      </c>
      <c r="L859" s="2" t="inlineStr">
        <is>
          <t>New Zealand</t>
        </is>
      </c>
      <c r="M859" s="2" t="inlineStr">
        <is>
          <t>Manurewa</t>
        </is>
      </c>
      <c r="N859" s="2" t="inlineStr">
        <is>
          <t>New Zealand</t>
        </is>
      </c>
      <c r="P859" s="2" t="inlineStr">
        <is>
          <t>Operational Control</t>
        </is>
      </c>
      <c r="Q859" s="2" t="inlineStr">
        <is>
          <t>Operational Control</t>
        </is>
      </c>
      <c r="R859" s="2" t="inlineStr">
        <is>
          <t>Social Infra &amp; Citizen Serv (SICS)</t>
        </is>
      </c>
      <c r="S859" s="2" t="inlineStr">
        <is>
          <t>Downer</t>
        </is>
      </c>
      <c r="T859" s="2" t="n">
        <v>100</v>
      </c>
      <c r="W859" s="2" t="inlineStr">
        <is>
          <t>Classification</t>
        </is>
      </c>
      <c r="X859" s="2" t="n">
        <v>-37.0083</v>
      </c>
      <c r="Y859" s="2" t="n">
        <v>174.8705</v>
      </c>
    </row>
    <row r="860">
      <c r="A860" s="2" t="inlineStr">
        <is>
          <t>Downer</t>
        </is>
      </c>
      <c r="B860" s="2" t="inlineStr">
        <is>
          <t>BP Oil NZ Tauranga 45003857</t>
        </is>
      </c>
      <c r="C860" s="2" t="inlineStr">
        <is>
          <t>Other</t>
        </is>
      </c>
      <c r="D860" s="2" t="inlineStr">
        <is>
          <t>L9.S.26019537</t>
        </is>
      </c>
      <c r="E860" s="2" t="n">
        <v>2000005081</v>
      </c>
      <c r="H860" s="2" t="inlineStr">
        <is>
          <t>130 Kerrs Road</t>
        </is>
      </c>
      <c r="I860" s="2" t="inlineStr">
        <is>
          <t>Wiri</t>
        </is>
      </c>
      <c r="J860" s="2" t="inlineStr">
        <is>
          <t>Auckland</t>
        </is>
      </c>
      <c r="K860" s="2" t="n">
        <v>2104</v>
      </c>
      <c r="L860" s="2" t="inlineStr">
        <is>
          <t>New Zealand</t>
        </is>
      </c>
      <c r="M860" s="2" t="inlineStr">
        <is>
          <t>Manurewa</t>
        </is>
      </c>
      <c r="N860" s="2" t="inlineStr">
        <is>
          <t>New Zealand</t>
        </is>
      </c>
      <c r="P860" s="2" t="inlineStr">
        <is>
          <t>Operational Control</t>
        </is>
      </c>
      <c r="Q860" s="2" t="inlineStr">
        <is>
          <t>Operational Control</t>
        </is>
      </c>
      <c r="R860" s="2" t="inlineStr">
        <is>
          <t>Social Infra &amp; Citizen Serv (SICS)</t>
        </is>
      </c>
      <c r="S860" s="2" t="inlineStr">
        <is>
          <t>Downer</t>
        </is>
      </c>
      <c r="T860" s="2" t="n">
        <v>100</v>
      </c>
      <c r="W860" s="2" t="inlineStr">
        <is>
          <t>Classification</t>
        </is>
      </c>
      <c r="X860" s="2" t="n">
        <v>-37.0083</v>
      </c>
      <c r="Y860" s="2" t="n">
        <v>174.8705</v>
      </c>
    </row>
    <row r="861">
      <c r="A861" s="2" t="inlineStr">
        <is>
          <t>Downer</t>
        </is>
      </c>
      <c r="B861" s="2" t="inlineStr">
        <is>
          <t>BP Oil NZ Wanganui 45003858</t>
        </is>
      </c>
      <c r="C861" s="2" t="inlineStr">
        <is>
          <t>Other</t>
        </is>
      </c>
      <c r="D861" s="2" t="inlineStr">
        <is>
          <t>L9.S.26019600</t>
        </is>
      </c>
      <c r="E861" s="2" t="n">
        <v>2000005087</v>
      </c>
      <c r="H861" s="2" t="inlineStr">
        <is>
          <t>130 Kerrs Road</t>
        </is>
      </c>
      <c r="I861" s="2" t="inlineStr">
        <is>
          <t>Wiri</t>
        </is>
      </c>
      <c r="J861" s="2" t="inlineStr">
        <is>
          <t>Auckland</t>
        </is>
      </c>
      <c r="K861" s="2" t="n">
        <v>2104</v>
      </c>
      <c r="L861" s="2" t="inlineStr">
        <is>
          <t>New Zealand</t>
        </is>
      </c>
      <c r="M861" s="2" t="inlineStr">
        <is>
          <t>Manurewa</t>
        </is>
      </c>
      <c r="N861" s="2" t="inlineStr">
        <is>
          <t>New Zealand</t>
        </is>
      </c>
      <c r="P861" s="2" t="inlineStr">
        <is>
          <t>Operational Control</t>
        </is>
      </c>
      <c r="Q861" s="2" t="inlineStr">
        <is>
          <t>Operational Control</t>
        </is>
      </c>
      <c r="R861" s="2" t="inlineStr">
        <is>
          <t>Social Infra &amp; Citizen Serv (SICS)</t>
        </is>
      </c>
      <c r="S861" s="2" t="inlineStr">
        <is>
          <t>Downer</t>
        </is>
      </c>
      <c r="T861" s="2" t="n">
        <v>100</v>
      </c>
      <c r="W861" s="2" t="inlineStr">
        <is>
          <t>Classification</t>
        </is>
      </c>
      <c r="X861" s="2" t="n">
        <v>-37.0083</v>
      </c>
      <c r="Y861" s="2" t="n">
        <v>174.8705</v>
      </c>
    </row>
    <row r="862">
      <c r="A862" s="2" t="inlineStr">
        <is>
          <t>Downer</t>
        </is>
      </c>
      <c r="B862" s="2" t="inlineStr">
        <is>
          <t>BP Oil NZ Wellington 45003855</t>
        </is>
      </c>
      <c r="C862" s="2" t="inlineStr">
        <is>
          <t>Other</t>
        </is>
      </c>
      <c r="D862" s="2" t="inlineStr">
        <is>
          <t>L9.S.26019511</t>
        </is>
      </c>
      <c r="E862" s="2" t="n">
        <v>2000005074</v>
      </c>
      <c r="H862" s="2" t="inlineStr">
        <is>
          <t>130 Kerrs Road</t>
        </is>
      </c>
      <c r="I862" s="2" t="inlineStr">
        <is>
          <t>Wiri</t>
        </is>
      </c>
      <c r="J862" s="2" t="inlineStr">
        <is>
          <t>Auckland</t>
        </is>
      </c>
      <c r="K862" s="2" t="n">
        <v>2104</v>
      </c>
      <c r="L862" s="2" t="inlineStr">
        <is>
          <t>New Zealand</t>
        </is>
      </c>
      <c r="M862" s="2" t="inlineStr">
        <is>
          <t>Manurewa</t>
        </is>
      </c>
      <c r="N862" s="2" t="inlineStr">
        <is>
          <t>New Zealand</t>
        </is>
      </c>
      <c r="P862" s="2" t="inlineStr">
        <is>
          <t>Operational Control</t>
        </is>
      </c>
      <c r="Q862" s="2" t="inlineStr">
        <is>
          <t>Operational Control</t>
        </is>
      </c>
      <c r="R862" s="2" t="inlineStr">
        <is>
          <t>Social Infra &amp; Citizen Serv (SICS)</t>
        </is>
      </c>
      <c r="S862" s="2" t="inlineStr">
        <is>
          <t>Downer</t>
        </is>
      </c>
      <c r="T862" s="2" t="n">
        <v>100</v>
      </c>
      <c r="W862" s="2" t="inlineStr">
        <is>
          <t>Classification</t>
        </is>
      </c>
      <c r="X862" s="2" t="n">
        <v>-37.0083</v>
      </c>
      <c r="Y862" s="2" t="n">
        <v>174.8705</v>
      </c>
    </row>
    <row r="863">
      <c r="A863" s="2" t="inlineStr">
        <is>
          <t>Downer</t>
        </is>
      </c>
      <c r="B863" s="2" t="inlineStr">
        <is>
          <t>BRANZ WESTSIDE</t>
        </is>
      </c>
      <c r="C863" s="2" t="inlineStr">
        <is>
          <t>Other</t>
        </is>
      </c>
      <c r="D863" s="2" t="inlineStr">
        <is>
          <t>L9.DNZ.HW0217</t>
        </is>
      </c>
      <c r="E863" s="2" t="inlineStr">
        <is>
          <t>JP_HW0217</t>
        </is>
      </c>
      <c r="H863" s="2" t="inlineStr">
        <is>
          <t>130 Kerrs Road</t>
        </is>
      </c>
      <c r="I863" s="2" t="inlineStr">
        <is>
          <t>Wiri</t>
        </is>
      </c>
      <c r="J863" s="2" t="inlineStr">
        <is>
          <t>Auckland</t>
        </is>
      </c>
      <c r="K863" s="2" t="n">
        <v>2104</v>
      </c>
      <c r="L863" s="2" t="inlineStr">
        <is>
          <t>New Zealand</t>
        </is>
      </c>
      <c r="M863" s="2" t="inlineStr">
        <is>
          <t>Manurewa</t>
        </is>
      </c>
      <c r="N863" s="2" t="inlineStr">
        <is>
          <t>New Zealand</t>
        </is>
      </c>
      <c r="P863" s="2" t="inlineStr">
        <is>
          <t>Operational Control</t>
        </is>
      </c>
      <c r="Q863" s="2" t="inlineStr">
        <is>
          <t>Operational Control</t>
        </is>
      </c>
      <c r="R863" s="2" t="inlineStr">
        <is>
          <t>Transport &amp; Infrastructure (T&amp;I)</t>
        </is>
      </c>
      <c r="S863" s="2" t="inlineStr">
        <is>
          <t>Downer</t>
        </is>
      </c>
      <c r="T863" s="2" t="n">
        <v>100</v>
      </c>
      <c r="W863" s="2" t="inlineStr">
        <is>
          <t>Classification</t>
        </is>
      </c>
      <c r="X863" s="2" t="n">
        <v>-37.0083</v>
      </c>
      <c r="Y863" s="2" t="n">
        <v>174.8705</v>
      </c>
    </row>
    <row r="864">
      <c r="A864" s="2" t="inlineStr">
        <is>
          <t>Downer</t>
        </is>
      </c>
      <c r="B864" s="2" t="inlineStr">
        <is>
          <t>Build Services Leadership</t>
        </is>
      </c>
      <c r="C864" s="2" t="inlineStr">
        <is>
          <t>Other</t>
        </is>
      </c>
      <c r="D864" s="2" t="inlineStr">
        <is>
          <t>L9.DNZJ.10088</t>
        </is>
      </c>
      <c r="E864" s="2" t="n">
        <v>10088</v>
      </c>
      <c r="M864" s="2" t="inlineStr">
        <is>
          <t>Auckland</t>
        </is>
      </c>
      <c r="N864" s="2" t="inlineStr">
        <is>
          <t>New Zealand</t>
        </is>
      </c>
      <c r="P864" s="2" t="inlineStr">
        <is>
          <t>Operational Control</t>
        </is>
      </c>
      <c r="Q864" s="2" t="inlineStr">
        <is>
          <t>Operational Control</t>
        </is>
      </c>
      <c r="R864" s="2" t="inlineStr">
        <is>
          <t>Energy and Utilities (EU)</t>
        </is>
      </c>
      <c r="S864" s="2" t="inlineStr">
        <is>
          <t>Downer</t>
        </is>
      </c>
      <c r="T864" s="2" t="n">
        <v>100</v>
      </c>
      <c r="W864" s="2" t="inlineStr">
        <is>
          <t>Classification</t>
        </is>
      </c>
    </row>
    <row r="865">
      <c r="A865" s="2" t="inlineStr">
        <is>
          <t>Downer</t>
        </is>
      </c>
      <c r="B865" s="2" t="inlineStr">
        <is>
          <t>Bunbury</t>
        </is>
      </c>
      <c r="C865" s="2" t="inlineStr">
        <is>
          <t>Warehouse</t>
        </is>
      </c>
      <c r="D865" s="2" t="inlineStr">
        <is>
          <t>L9.J.382703</t>
        </is>
      </c>
      <c r="E865" s="2" t="inlineStr">
        <is>
          <t>ASV-382703</t>
        </is>
      </c>
      <c r="F865" s="2" t="n">
        <v>32</v>
      </c>
      <c r="H865" s="2" t="inlineStr">
        <is>
          <t>9 Stokes Way</t>
        </is>
      </c>
      <c r="I865" s="2" t="inlineStr">
        <is>
          <t>Davenport</t>
        </is>
      </c>
      <c r="J865" s="2" t="inlineStr">
        <is>
          <t>WA</t>
        </is>
      </c>
      <c r="K865" s="2" t="n">
        <v>6230</v>
      </c>
      <c r="L865" s="2" t="inlineStr">
        <is>
          <t>Australia</t>
        </is>
      </c>
      <c r="M865" s="2" t="inlineStr">
        <is>
          <t>Western Australia</t>
        </is>
      </c>
      <c r="N865" s="2" t="inlineStr">
        <is>
          <t>Australia</t>
        </is>
      </c>
      <c r="P865" s="2" t="inlineStr">
        <is>
          <t>Operational Control</t>
        </is>
      </c>
      <c r="Q865" s="2" t="inlineStr">
        <is>
          <t>Operational Control</t>
        </is>
      </c>
      <c r="R865" s="2" t="inlineStr">
        <is>
          <t>Energy and Utilities (EU)</t>
        </is>
      </c>
      <c r="S865" s="2" t="inlineStr">
        <is>
          <t>Downer</t>
        </is>
      </c>
      <c r="T865" s="2" t="n">
        <v>100</v>
      </c>
      <c r="W865" s="2" t="inlineStr">
        <is>
          <t>Classification</t>
        </is>
      </c>
      <c r="X865" s="2" t="n">
        <v>-33.363949</v>
      </c>
      <c r="Y865" s="2" t="n">
        <v>115.680149</v>
      </c>
      <c r="Z865" s="2" t="n">
        <v>692</v>
      </c>
      <c r="AB865" s="11" t="n">
        <v>45466</v>
      </c>
    </row>
    <row r="866">
      <c r="A866" s="2" t="inlineStr">
        <is>
          <t>Downer</t>
        </is>
      </c>
      <c r="B866" s="2" t="inlineStr">
        <is>
          <t>Burnham Operations 45003019</t>
        </is>
      </c>
      <c r="C866" s="2" t="inlineStr">
        <is>
          <t>Other</t>
        </is>
      </c>
      <c r="D866" s="2" t="inlineStr">
        <is>
          <t>L9.S.26016948</t>
        </is>
      </c>
      <c r="E866" s="2" t="n">
        <v>2000004650</v>
      </c>
      <c r="H866" s="2" t="inlineStr">
        <is>
          <t>Canterbury, Selwyn, Burnham, Russell Rd (Burnham Camp)</t>
        </is>
      </c>
      <c r="I866" s="2" t="inlineStr">
        <is>
          <t>Wiri</t>
        </is>
      </c>
      <c r="J866" s="2" t="inlineStr">
        <is>
          <t>Burnham</t>
        </is>
      </c>
      <c r="K866" s="2" t="n">
        <v>7677</v>
      </c>
      <c r="L866" s="2" t="inlineStr">
        <is>
          <t>New Zealand</t>
        </is>
      </c>
      <c r="M866" s="2" t="inlineStr">
        <is>
          <t>Manurewa</t>
        </is>
      </c>
      <c r="N866" s="2" t="inlineStr">
        <is>
          <t>New Zealand</t>
        </is>
      </c>
      <c r="P866" s="2" t="inlineStr">
        <is>
          <t>Operational Control</t>
        </is>
      </c>
      <c r="Q866" s="2" t="inlineStr">
        <is>
          <t>Operational Control</t>
        </is>
      </c>
      <c r="R866" s="2" t="inlineStr">
        <is>
          <t>Social Infra &amp; Citizen Serv (SICS)</t>
        </is>
      </c>
      <c r="S866" s="2" t="inlineStr">
        <is>
          <t>Downer</t>
        </is>
      </c>
      <c r="T866" s="2" t="n">
        <v>100</v>
      </c>
      <c r="W866" s="2" t="inlineStr">
        <is>
          <t>Classification</t>
        </is>
      </c>
      <c r="X866" s="2" t="n">
        <v>-37.0083</v>
      </c>
      <c r="Y866" s="2" t="n">
        <v>174.8705</v>
      </c>
    </row>
    <row r="867">
      <c r="A867" s="2" t="inlineStr">
        <is>
          <t>Downer</t>
        </is>
      </c>
      <c r="B867" s="2" t="inlineStr">
        <is>
          <t>Business Support EU Subcontractors</t>
        </is>
      </c>
      <c r="C867" s="2" t="inlineStr">
        <is>
          <t>Other</t>
        </is>
      </c>
      <c r="D867" s="2" t="inlineStr">
        <is>
          <t>L9.DNZ.810.10.257</t>
        </is>
      </c>
      <c r="E867" s="2" t="inlineStr">
        <is>
          <t>L9.DNZ.810.10.257</t>
        </is>
      </c>
      <c r="M867" s="2" t="inlineStr">
        <is>
          <t>Auckland City</t>
        </is>
      </c>
      <c r="N867" s="2" t="inlineStr">
        <is>
          <t>New Zealand</t>
        </is>
      </c>
      <c r="P867" s="2" t="inlineStr">
        <is>
          <t>Operational Control</t>
        </is>
      </c>
      <c r="Q867" s="2" t="inlineStr">
        <is>
          <t>Operational Control</t>
        </is>
      </c>
      <c r="R867" s="2" t="inlineStr">
        <is>
          <t>Energy and Utilities (EU)</t>
        </is>
      </c>
      <c r="S867" s="2" t="inlineStr">
        <is>
          <t>Downer</t>
        </is>
      </c>
      <c r="T867" s="2" t="n">
        <v>100</v>
      </c>
      <c r="W867" s="2" t="inlineStr">
        <is>
          <t>Classification</t>
        </is>
      </c>
    </row>
    <row r="868">
      <c r="A868" s="2" t="inlineStr">
        <is>
          <t>Downer</t>
        </is>
      </c>
      <c r="B868" s="2" t="inlineStr">
        <is>
          <t>C&amp;J 3 Water</t>
        </is>
      </c>
      <c r="C868" s="2" t="inlineStr">
        <is>
          <t>Site</t>
        </is>
      </c>
      <c r="D868" s="2" t="inlineStr">
        <is>
          <t>L9.DNZ.810.20907</t>
        </is>
      </c>
      <c r="E868" s="2" t="n">
        <v>10125</v>
      </c>
      <c r="M868" s="2" t="inlineStr">
        <is>
          <t>Auckland</t>
        </is>
      </c>
      <c r="N868" s="2" t="inlineStr">
        <is>
          <t>New Zealand</t>
        </is>
      </c>
      <c r="P868" s="2" t="inlineStr">
        <is>
          <t>Operational Control</t>
        </is>
      </c>
      <c r="Q868" s="2" t="inlineStr">
        <is>
          <t>Operational Control</t>
        </is>
      </c>
      <c r="R868" s="2" t="inlineStr">
        <is>
          <t>Social Infra &amp; Citizen Serv (SICS)</t>
        </is>
      </c>
      <c r="S868" s="2" t="inlineStr">
        <is>
          <t>Downer</t>
        </is>
      </c>
      <c r="T868" s="2" t="n">
        <v>100</v>
      </c>
      <c r="W868" s="2" t="inlineStr">
        <is>
          <t>Classification</t>
        </is>
      </c>
    </row>
    <row r="869">
      <c r="A869" s="2" t="inlineStr">
        <is>
          <t>Downer</t>
        </is>
      </c>
      <c r="B869" s="2" t="inlineStr">
        <is>
          <t>C1057 Road Maint. Services</t>
        </is>
      </c>
      <c r="C869" s="2" t="inlineStr">
        <is>
          <t>Other</t>
        </is>
      </c>
      <c r="D869" s="2" t="inlineStr">
        <is>
          <t>L9.DNZJ.551970</t>
        </is>
      </c>
      <c r="E869" s="2" t="n">
        <v>551970</v>
      </c>
      <c r="M869" s="2" t="inlineStr">
        <is>
          <t>Manurewa</t>
        </is>
      </c>
      <c r="N869" s="2" t="inlineStr">
        <is>
          <t>New Zealand</t>
        </is>
      </c>
      <c r="P869" s="2" t="inlineStr">
        <is>
          <t>Operational Control</t>
        </is>
      </c>
      <c r="Q869" s="2" t="inlineStr">
        <is>
          <t>Operational Control</t>
        </is>
      </c>
      <c r="R869" s="2" t="inlineStr">
        <is>
          <t>Transport &amp; Infrastructure (T&amp;I)</t>
        </is>
      </c>
      <c r="S869" s="2" t="inlineStr">
        <is>
          <t>Downer</t>
        </is>
      </c>
      <c r="T869" s="2" t="n">
        <v>100</v>
      </c>
      <c r="W869" s="2" t="inlineStr">
        <is>
          <t>Classification</t>
        </is>
      </c>
    </row>
    <row r="870">
      <c r="A870" s="2" t="inlineStr">
        <is>
          <t>Downer</t>
        </is>
      </c>
      <c r="B870" s="2" t="inlineStr">
        <is>
          <t>CALLAGHAN LIBRARY REFURBISHMNT</t>
        </is>
      </c>
      <c r="C870" s="2" t="inlineStr">
        <is>
          <t>Other</t>
        </is>
      </c>
      <c r="D870" s="2" t="inlineStr">
        <is>
          <t>L9.DNZ.HW0230</t>
        </is>
      </c>
      <c r="E870" s="2" t="inlineStr">
        <is>
          <t>JP_HW0230</t>
        </is>
      </c>
      <c r="H870" s="2" t="inlineStr">
        <is>
          <t>70 Molesworth Street</t>
        </is>
      </c>
      <c r="I870" s="2" t="inlineStr">
        <is>
          <t>Thorndon</t>
        </is>
      </c>
      <c r="J870" s="2" t="inlineStr">
        <is>
          <t>Wellington</t>
        </is>
      </c>
      <c r="K870" s="2" t="n">
        <v>6011</v>
      </c>
      <c r="L870" s="2" t="inlineStr">
        <is>
          <t>New Zealand</t>
        </is>
      </c>
      <c r="M870" s="2" t="inlineStr">
        <is>
          <t>Wellington</t>
        </is>
      </c>
      <c r="N870" s="2" t="inlineStr">
        <is>
          <t>New Zealand</t>
        </is>
      </c>
      <c r="P870" s="2" t="inlineStr">
        <is>
          <t>Operational Control</t>
        </is>
      </c>
      <c r="Q870" s="2" t="inlineStr">
        <is>
          <t>Operational Control</t>
        </is>
      </c>
      <c r="R870" s="2" t="inlineStr">
        <is>
          <t>Transport &amp; Infrastructure (T&amp;I)</t>
        </is>
      </c>
      <c r="S870" s="2" t="inlineStr">
        <is>
          <t>Downer</t>
        </is>
      </c>
      <c r="T870" s="2" t="n">
        <v>100</v>
      </c>
      <c r="W870" s="2" t="inlineStr">
        <is>
          <t>Classification</t>
        </is>
      </c>
      <c r="X870" s="2" t="n">
        <v>-41.2767</v>
      </c>
      <c r="Y870" s="2" t="n">
        <v>174.7785</v>
      </c>
    </row>
    <row r="871">
      <c r="A871" s="2" t="inlineStr">
        <is>
          <t>Downer</t>
        </is>
      </c>
      <c r="B871" s="2" t="inlineStr">
        <is>
          <t>Canning Vale</t>
        </is>
      </c>
      <c r="C871" s="2" t="inlineStr">
        <is>
          <t>Office</t>
        </is>
      </c>
      <c r="D871" s="2" t="inlineStr">
        <is>
          <t>L9.J.10920016</t>
        </is>
      </c>
      <c r="E871" s="2" t="inlineStr">
        <is>
          <t>COR-10920016</t>
        </is>
      </c>
      <c r="F871" s="2" t="inlineStr">
        <is>
          <t>L9 INX Workgroup</t>
        </is>
      </c>
      <c r="G871" s="2" t="inlineStr">
        <is>
          <t>L9 INX Workgroup</t>
        </is>
      </c>
      <c r="M871" s="2" t="inlineStr">
        <is>
          <t>Western Australia</t>
        </is>
      </c>
      <c r="N871" s="2" t="inlineStr">
        <is>
          <t>Australia</t>
        </is>
      </c>
      <c r="P871" s="2" t="inlineStr">
        <is>
          <t>Operational Control</t>
        </is>
      </c>
      <c r="Q871" s="2" t="inlineStr">
        <is>
          <t>Operational Control</t>
        </is>
      </c>
      <c r="R871" s="2" t="inlineStr">
        <is>
          <t>Corporate</t>
        </is>
      </c>
      <c r="S871" s="2" t="inlineStr">
        <is>
          <t>Downer</t>
        </is>
      </c>
      <c r="T871" s="2" t="n">
        <v>100</v>
      </c>
      <c r="W871" s="2" t="inlineStr">
        <is>
          <t>Classification</t>
        </is>
      </c>
    </row>
    <row r="872">
      <c r="A872" s="2" t="inlineStr">
        <is>
          <t>Downer</t>
        </is>
      </c>
      <c r="B872" s="2" t="inlineStr">
        <is>
          <t>Canning Vale Minor Works</t>
        </is>
      </c>
      <c r="C872" s="2" t="inlineStr">
        <is>
          <t>Depot</t>
        </is>
      </c>
      <c r="D872" s="2" t="inlineStr">
        <is>
          <t>L9.J.301305</t>
        </is>
      </c>
      <c r="E872" s="2" t="n">
        <v>2005</v>
      </c>
      <c r="F872" s="2" t="n">
        <v>37</v>
      </c>
      <c r="H872" s="2" t="inlineStr">
        <is>
          <t>9 Modal Crescent</t>
        </is>
      </c>
      <c r="I872" s="2" t="inlineStr">
        <is>
          <t>Canning Vale</t>
        </is>
      </c>
      <c r="J872" s="2" t="inlineStr">
        <is>
          <t>WA</t>
        </is>
      </c>
      <c r="K872" s="2" t="n">
        <v>6155</v>
      </c>
      <c r="L872" s="2" t="inlineStr">
        <is>
          <t>Australia</t>
        </is>
      </c>
      <c r="M872" s="2" t="inlineStr">
        <is>
          <t>Western Australia</t>
        </is>
      </c>
      <c r="N872" s="2" t="inlineStr">
        <is>
          <t>Australia</t>
        </is>
      </c>
      <c r="P872" s="2" t="inlineStr">
        <is>
          <t>Operational Control</t>
        </is>
      </c>
      <c r="Q872" s="2" t="inlineStr">
        <is>
          <t>Operational Control</t>
        </is>
      </c>
      <c r="R872" s="2" t="inlineStr">
        <is>
          <t>Asset &amp; Development Services (Baseline)</t>
        </is>
      </c>
      <c r="S872" s="2" t="inlineStr">
        <is>
          <t>Downer</t>
        </is>
      </c>
      <c r="T872" s="2" t="n">
        <v>100</v>
      </c>
      <c r="V872" s="11" t="n">
        <v>45107</v>
      </c>
      <c r="W872" s="2" t="inlineStr">
        <is>
          <t>Classification</t>
        </is>
      </c>
      <c r="X872" s="2" t="n">
        <v>-32.0704</v>
      </c>
      <c r="Y872" s="2" t="n">
        <v>115.912018</v>
      </c>
      <c r="Z872" s="2" t="n">
        <v>692</v>
      </c>
    </row>
    <row r="873">
      <c r="A873" s="2" t="inlineStr">
        <is>
          <t>Downer</t>
        </is>
      </c>
      <c r="B873" s="2" t="inlineStr">
        <is>
          <t>Cannington Emulsion Plant</t>
        </is>
      </c>
      <c r="C873" s="2" t="inlineStr">
        <is>
          <t>Emulsion Plant</t>
        </is>
      </c>
      <c r="D873" s="2" t="inlineStr">
        <is>
          <t>L9.J.170926</t>
        </is>
      </c>
      <c r="E873" s="2" t="n">
        <v>39</v>
      </c>
      <c r="H873" s="2" t="inlineStr">
        <is>
          <t>59-65 Bickley Road</t>
        </is>
      </c>
      <c r="I873" s="2" t="inlineStr">
        <is>
          <t>Cannington</t>
        </is>
      </c>
      <c r="J873" s="2" t="inlineStr">
        <is>
          <t>WA</t>
        </is>
      </c>
      <c r="K873" s="2" t="n">
        <v>6107</v>
      </c>
      <c r="L873" s="2" t="inlineStr">
        <is>
          <t>Australia</t>
        </is>
      </c>
      <c r="M873" s="2" t="inlineStr">
        <is>
          <t>Western Australia</t>
        </is>
      </c>
      <c r="N873" s="2" t="inlineStr">
        <is>
          <t>Australia</t>
        </is>
      </c>
      <c r="P873" s="2" t="inlineStr">
        <is>
          <t>Operational Control</t>
        </is>
      </c>
      <c r="Q873" s="2" t="inlineStr">
        <is>
          <t>Operational Control</t>
        </is>
      </c>
      <c r="R873" s="2" t="inlineStr">
        <is>
          <t>Transport &amp; Infrastructure (T&amp;I)</t>
        </is>
      </c>
      <c r="S873" s="2" t="inlineStr">
        <is>
          <t>Downer</t>
        </is>
      </c>
      <c r="T873" s="2" t="n">
        <v>100</v>
      </c>
      <c r="W873" s="2" t="inlineStr">
        <is>
          <t>Classification</t>
        </is>
      </c>
      <c r="X873" s="2" t="n">
        <v>-32.023</v>
      </c>
      <c r="Y873" s="2" t="n">
        <v>115.949</v>
      </c>
      <c r="Z873" s="2" t="n">
        <v>170</v>
      </c>
    </row>
    <row r="874">
      <c r="A874" s="2" t="inlineStr">
        <is>
          <t>Downer</t>
        </is>
      </c>
      <c r="B874" s="2" t="inlineStr">
        <is>
          <t>Canterbury Overhead</t>
        </is>
      </c>
      <c r="C874" s="2" t="inlineStr">
        <is>
          <t>Other</t>
        </is>
      </c>
      <c r="D874" s="2" t="inlineStr">
        <is>
          <t>L9.DNZJ.54942</t>
        </is>
      </c>
      <c r="E874" s="2" t="n">
        <v>54942</v>
      </c>
      <c r="G874" s="2" t="inlineStr">
        <is>
          <t>TI-NZT-54942 - Canterbury Overhead</t>
        </is>
      </c>
      <c r="M874" s="2" t="inlineStr">
        <is>
          <t>Canterbury</t>
        </is>
      </c>
      <c r="N874" s="2" t="inlineStr">
        <is>
          <t>New Zealand</t>
        </is>
      </c>
      <c r="P874" s="2" t="inlineStr">
        <is>
          <t>Operational Control</t>
        </is>
      </c>
      <c r="Q874" s="2" t="inlineStr">
        <is>
          <t>Operational Control</t>
        </is>
      </c>
      <c r="R874" s="2" t="inlineStr">
        <is>
          <t>Transport &amp; Infrastructure (T&amp;I)</t>
        </is>
      </c>
      <c r="S874" s="2" t="inlineStr">
        <is>
          <t>Downer</t>
        </is>
      </c>
      <c r="T874" s="2" t="n">
        <v>100</v>
      </c>
      <c r="W874" s="2" t="inlineStr">
        <is>
          <t>Classification</t>
        </is>
      </c>
    </row>
    <row r="875">
      <c r="A875" s="2" t="inlineStr">
        <is>
          <t>Downer</t>
        </is>
      </c>
      <c r="B875" s="2" t="inlineStr">
        <is>
          <t>Canterbury People/Plant OSM</t>
        </is>
      </c>
      <c r="C875" s="2" t="inlineStr">
        <is>
          <t>Other</t>
        </is>
      </c>
      <c r="D875" s="2" t="inlineStr">
        <is>
          <t>L9.DNZJ.66200</t>
        </is>
      </c>
      <c r="E875" s="2" t="n">
        <v>66200</v>
      </c>
      <c r="H875" s="2" t="inlineStr">
        <is>
          <t>130 Kerrs Road</t>
        </is>
      </c>
      <c r="I875" s="2" t="inlineStr">
        <is>
          <t>Wiri</t>
        </is>
      </c>
      <c r="J875" s="2" t="inlineStr">
        <is>
          <t>Auckland</t>
        </is>
      </c>
      <c r="K875" s="2" t="n">
        <v>2104</v>
      </c>
      <c r="L875" s="2" t="inlineStr">
        <is>
          <t>New Zealand</t>
        </is>
      </c>
      <c r="M875" s="2" t="inlineStr">
        <is>
          <t>Manurewa</t>
        </is>
      </c>
      <c r="N875" s="2" t="inlineStr">
        <is>
          <t>New Zealand</t>
        </is>
      </c>
      <c r="P875" s="2" t="inlineStr">
        <is>
          <t>Operational Control</t>
        </is>
      </c>
      <c r="Q875" s="2" t="inlineStr">
        <is>
          <t>Operational Control</t>
        </is>
      </c>
      <c r="R875" s="2" t="inlineStr">
        <is>
          <t>Transport &amp; Infrastructure (T&amp;I)</t>
        </is>
      </c>
      <c r="S875" s="2" t="inlineStr">
        <is>
          <t>Downer</t>
        </is>
      </c>
      <c r="T875" s="2" t="n">
        <v>100</v>
      </c>
      <c r="W875" s="2" t="inlineStr">
        <is>
          <t>Classification</t>
        </is>
      </c>
      <c r="X875" s="2" t="n">
        <v>-37.0083</v>
      </c>
      <c r="Y875" s="2" t="n">
        <v>174.8705</v>
      </c>
    </row>
    <row r="876">
      <c r="A876" s="2" t="inlineStr">
        <is>
          <t>Downer</t>
        </is>
      </c>
      <c r="B876" s="2" t="inlineStr">
        <is>
          <t>Canterbury-Cap Asphalt 16/17</t>
        </is>
      </c>
      <c r="C876" s="2" t="inlineStr">
        <is>
          <t>Other</t>
        </is>
      </c>
      <c r="D876" s="2" t="inlineStr">
        <is>
          <t>L9.DNZJ.554217</t>
        </is>
      </c>
      <c r="E876" s="2" t="n">
        <v>554217</v>
      </c>
      <c r="M876" s="2" t="inlineStr">
        <is>
          <t>Canterbury</t>
        </is>
      </c>
      <c r="N876" s="2" t="inlineStr">
        <is>
          <t>New Zealand</t>
        </is>
      </c>
      <c r="P876" s="2" t="inlineStr">
        <is>
          <t>Operational Control</t>
        </is>
      </c>
      <c r="Q876" s="2" t="inlineStr">
        <is>
          <t>Operational Control</t>
        </is>
      </c>
      <c r="R876" s="2" t="inlineStr">
        <is>
          <t>Social Infra &amp; Citizen Serv (SICS)</t>
        </is>
      </c>
      <c r="S876" s="2" t="inlineStr">
        <is>
          <t>Downer</t>
        </is>
      </c>
      <c r="T876" s="2" t="n">
        <v>100</v>
      </c>
      <c r="W876" s="2" t="inlineStr">
        <is>
          <t>Classification</t>
        </is>
      </c>
    </row>
    <row r="877">
      <c r="A877" s="2" t="inlineStr">
        <is>
          <t>Downer</t>
        </is>
      </c>
      <c r="B877" s="2" t="inlineStr">
        <is>
          <t>Capital Coast Kenepuru - 45002542</t>
        </is>
      </c>
      <c r="C877" s="2" t="inlineStr">
        <is>
          <t>Other</t>
        </is>
      </c>
      <c r="D877" s="2" t="inlineStr">
        <is>
          <t>L9.S.24000126</t>
        </is>
      </c>
      <c r="E877" s="2" t="n">
        <v>2000004522</v>
      </c>
      <c r="H877" s="2" t="inlineStr">
        <is>
          <t>130 Kerrs Road</t>
        </is>
      </c>
      <c r="I877" s="2" t="inlineStr">
        <is>
          <t>Wiri</t>
        </is>
      </c>
      <c r="J877" s="2" t="inlineStr">
        <is>
          <t>Auckland</t>
        </is>
      </c>
      <c r="K877" s="2" t="n">
        <v>2104</v>
      </c>
      <c r="L877" s="2" t="inlineStr">
        <is>
          <t>New Zealand</t>
        </is>
      </c>
      <c r="M877" s="2" t="inlineStr">
        <is>
          <t>Manurewa</t>
        </is>
      </c>
      <c r="N877" s="2" t="inlineStr">
        <is>
          <t>New Zealand</t>
        </is>
      </c>
      <c r="P877" s="2" t="inlineStr">
        <is>
          <t>Operational Control</t>
        </is>
      </c>
      <c r="Q877" s="2" t="inlineStr">
        <is>
          <t>Operational Control</t>
        </is>
      </c>
      <c r="R877" s="2" t="inlineStr">
        <is>
          <t>Social Infra &amp; Citizen Serv (SICS)</t>
        </is>
      </c>
      <c r="S877" s="2" t="inlineStr">
        <is>
          <t>Downer</t>
        </is>
      </c>
      <c r="T877" s="2" t="n">
        <v>100</v>
      </c>
      <c r="W877" s="2" t="inlineStr">
        <is>
          <t>Classification</t>
        </is>
      </c>
      <c r="X877" s="2" t="n">
        <v>-37.0083</v>
      </c>
      <c r="Y877" s="2" t="n">
        <v>174.8705</v>
      </c>
    </row>
    <row r="878">
      <c r="A878" s="2" t="inlineStr">
        <is>
          <t>Downer</t>
        </is>
      </c>
      <c r="B878" s="2" t="inlineStr">
        <is>
          <t>Cardiff - Rail</t>
        </is>
      </c>
      <c r="C878" s="2" t="inlineStr">
        <is>
          <t>Depot</t>
        </is>
      </c>
      <c r="D878" s="2" t="inlineStr">
        <is>
          <t>L9.J.709301</t>
        </is>
      </c>
      <c r="E878" s="2" t="n">
        <v>3004</v>
      </c>
      <c r="F878" s="2" t="n">
        <v>42</v>
      </c>
      <c r="H878" s="2" t="inlineStr">
        <is>
          <t>460 Main Road</t>
        </is>
      </c>
      <c r="I878" s="2" t="inlineStr">
        <is>
          <t>Glendale</t>
        </is>
      </c>
      <c r="J878" s="2" t="inlineStr">
        <is>
          <t>NSW</t>
        </is>
      </c>
      <c r="K878" s="2" t="n">
        <v>2285</v>
      </c>
      <c r="L878" s="2" t="inlineStr">
        <is>
          <t>Australia</t>
        </is>
      </c>
      <c r="M878" s="2" t="inlineStr">
        <is>
          <t>New South Wales</t>
        </is>
      </c>
      <c r="N878" s="2" t="inlineStr">
        <is>
          <t>Australia</t>
        </is>
      </c>
      <c r="P878" s="2" t="inlineStr">
        <is>
          <t>Operational Control</t>
        </is>
      </c>
      <c r="Q878" s="2" t="inlineStr">
        <is>
          <t>Operational Control</t>
        </is>
      </c>
      <c r="R878" s="2" t="inlineStr">
        <is>
          <t>Rail &amp; Transit Systems (RTS)</t>
        </is>
      </c>
      <c r="S878" s="2" t="inlineStr">
        <is>
          <t>Downer</t>
        </is>
      </c>
      <c r="T878" s="2" t="n">
        <v>100</v>
      </c>
      <c r="W878" s="2" t="inlineStr">
        <is>
          <t>Classification</t>
        </is>
      </c>
      <c r="X878" s="2" t="n">
        <v>-32.93</v>
      </c>
      <c r="Y878" s="2" t="n">
        <v>151.648</v>
      </c>
      <c r="Z878" s="2" t="n">
        <v>239</v>
      </c>
    </row>
    <row r="879">
      <c r="A879" s="2" t="inlineStr">
        <is>
          <t>Downer</t>
        </is>
      </c>
      <c r="B879" s="2" t="inlineStr">
        <is>
          <t>CATHLAB 1 FITOUT</t>
        </is>
      </c>
      <c r="C879" s="2" t="inlineStr">
        <is>
          <t>Other</t>
        </is>
      </c>
      <c r="D879" s="2" t="inlineStr">
        <is>
          <t>L9.DNZ.HC0353</t>
        </is>
      </c>
      <c r="E879" s="2" t="inlineStr">
        <is>
          <t>JP_HC0353</t>
        </is>
      </c>
      <c r="M879" s="2" t="inlineStr">
        <is>
          <t>Manurewa</t>
        </is>
      </c>
      <c r="N879" s="2" t="inlineStr">
        <is>
          <t>New Zealand</t>
        </is>
      </c>
      <c r="P879" s="2" t="inlineStr">
        <is>
          <t>Operational Control</t>
        </is>
      </c>
      <c r="Q879" s="2" t="inlineStr">
        <is>
          <t>Operational Control</t>
        </is>
      </c>
      <c r="R879" s="2" t="inlineStr">
        <is>
          <t>Transport &amp; Infrastructure (T&amp;I)</t>
        </is>
      </c>
      <c r="S879" s="2" t="inlineStr">
        <is>
          <t>Downer</t>
        </is>
      </c>
      <c r="T879" s="2" t="n">
        <v>100</v>
      </c>
      <c r="W879" s="2" t="inlineStr">
        <is>
          <t>Classification</t>
        </is>
      </c>
    </row>
    <row r="880">
      <c r="A880" s="2" t="inlineStr">
        <is>
          <t>Downer</t>
        </is>
      </c>
      <c r="B880" s="2" t="inlineStr">
        <is>
          <t>CCA NZ (FM) 45003859</t>
        </is>
      </c>
      <c r="C880" s="2" t="inlineStr">
        <is>
          <t>Other</t>
        </is>
      </c>
      <c r="D880" s="2" t="inlineStr">
        <is>
          <t>L9.S.24000333</t>
        </is>
      </c>
      <c r="E880" s="2" t="n">
        <v>2000005088</v>
      </c>
      <c r="M880" s="2" t="inlineStr">
        <is>
          <t>Manurewa</t>
        </is>
      </c>
      <c r="N880" s="2" t="inlineStr">
        <is>
          <t>New Zealand</t>
        </is>
      </c>
      <c r="P880" s="2" t="inlineStr">
        <is>
          <t>Operational Control</t>
        </is>
      </c>
      <c r="Q880" s="2" t="inlineStr">
        <is>
          <t>Operational Control</t>
        </is>
      </c>
      <c r="R880" s="2" t="inlineStr">
        <is>
          <t>Social Infra &amp; Citizen Serv (SICS)</t>
        </is>
      </c>
      <c r="S880" s="2" t="inlineStr">
        <is>
          <t>Downer</t>
        </is>
      </c>
      <c r="T880" s="2" t="n">
        <v>100</v>
      </c>
      <c r="W880" s="2" t="inlineStr">
        <is>
          <t>Classification</t>
        </is>
      </c>
    </row>
    <row r="881">
      <c r="A881" s="2" t="inlineStr">
        <is>
          <t>Downer</t>
        </is>
      </c>
      <c r="B881" s="2" t="inlineStr">
        <is>
          <t>CCC Water Main Renewals Ilam</t>
        </is>
      </c>
      <c r="C881" s="2" t="inlineStr">
        <is>
          <t>Other</t>
        </is>
      </c>
      <c r="D881" s="2" t="inlineStr">
        <is>
          <t>L9.DNZJ.DS2664</t>
        </is>
      </c>
      <c r="E881" s="2" t="inlineStr">
        <is>
          <t>JP_DS2664</t>
        </is>
      </c>
      <c r="H881" s="2" t="inlineStr">
        <is>
          <t>532 Blenheim Road</t>
        </is>
      </c>
      <c r="I881" s="2" t="inlineStr">
        <is>
          <t>Sockburn</t>
        </is>
      </c>
      <c r="J881" s="2" t="inlineStr">
        <is>
          <t>Christchurch</t>
        </is>
      </c>
      <c r="K881" s="2" t="n">
        <v>8042</v>
      </c>
      <c r="L881" s="2" t="inlineStr">
        <is>
          <t>New Zealand</t>
        </is>
      </c>
      <c r="M881" s="2" t="inlineStr">
        <is>
          <t>Christchurch</t>
        </is>
      </c>
      <c r="N881" s="2" t="inlineStr">
        <is>
          <t>New Zealand</t>
        </is>
      </c>
      <c r="P881" s="2" t="inlineStr">
        <is>
          <t>Operational Control</t>
        </is>
      </c>
      <c r="Q881" s="2" t="inlineStr">
        <is>
          <t>Operational Control</t>
        </is>
      </c>
      <c r="R881" s="2" t="inlineStr">
        <is>
          <t>Energy and Utilities (EU)</t>
        </is>
      </c>
      <c r="S881" s="2" t="inlineStr">
        <is>
          <t>Downer</t>
        </is>
      </c>
      <c r="T881" s="2" t="n">
        <v>100</v>
      </c>
      <c r="W881" s="2" t="inlineStr">
        <is>
          <t>Classification</t>
        </is>
      </c>
      <c r="X881" s="2" t="n">
        <v>-43.539</v>
      </c>
      <c r="Y881" s="2" t="n">
        <v>172.5588</v>
      </c>
    </row>
    <row r="882">
      <c r="A882" s="2" t="inlineStr">
        <is>
          <t>Downer</t>
        </is>
      </c>
      <c r="B882" s="2" t="inlineStr">
        <is>
          <t>Ceduna</t>
        </is>
      </c>
      <c r="C882" s="2" t="inlineStr">
        <is>
          <t>Depot</t>
        </is>
      </c>
      <c r="D882" s="2" t="inlineStr">
        <is>
          <t>L9.J.170251</t>
        </is>
      </c>
      <c r="H882" s="2" t="inlineStr">
        <is>
          <t>8 Eyre Highway</t>
        </is>
      </c>
      <c r="I882" s="2" t="inlineStr">
        <is>
          <t>Ceduna</t>
        </is>
      </c>
      <c r="J882" s="2" t="inlineStr">
        <is>
          <t>SA</t>
        </is>
      </c>
      <c r="K882" s="2" t="n">
        <v>5690</v>
      </c>
      <c r="L882" s="2" t="inlineStr">
        <is>
          <t>Australia</t>
        </is>
      </c>
      <c r="M882" s="2" t="inlineStr">
        <is>
          <t>New South Wales</t>
        </is>
      </c>
      <c r="N882" s="2" t="inlineStr">
        <is>
          <t>Australia</t>
        </is>
      </c>
      <c r="P882" s="2" t="inlineStr">
        <is>
          <t>Operational Control</t>
        </is>
      </c>
      <c r="Q882" s="2" t="inlineStr">
        <is>
          <t>Operational Control</t>
        </is>
      </c>
      <c r="R882" s="2" t="inlineStr">
        <is>
          <t>Transport &amp; Infrastructure (T&amp;I)</t>
        </is>
      </c>
      <c r="S882" s="2" t="inlineStr">
        <is>
          <t>Downer</t>
        </is>
      </c>
      <c r="T882" s="2" t="n">
        <v>100</v>
      </c>
      <c r="W882" s="2" t="inlineStr">
        <is>
          <t>Classification</t>
        </is>
      </c>
    </row>
    <row r="883">
      <c r="A883" s="2" t="inlineStr">
        <is>
          <t>Downer</t>
        </is>
      </c>
      <c r="B883" s="2" t="inlineStr">
        <is>
          <t>Cell Towers</t>
        </is>
      </c>
      <c r="C883" s="2" t="inlineStr">
        <is>
          <t>Other</t>
        </is>
      </c>
      <c r="D883" s="2" t="inlineStr">
        <is>
          <t>L9.DNZJ.91999</t>
        </is>
      </c>
      <c r="E883" s="2" t="n">
        <v>91999</v>
      </c>
      <c r="H883" s="2" t="inlineStr">
        <is>
          <t>130 Kerrs Road</t>
        </is>
      </c>
      <c r="I883" s="2" t="inlineStr">
        <is>
          <t>Wiri</t>
        </is>
      </c>
      <c r="J883" s="2" t="inlineStr">
        <is>
          <t>Auckland</t>
        </is>
      </c>
      <c r="K883" s="2" t="n">
        <v>2104</v>
      </c>
      <c r="L883" s="2" t="inlineStr">
        <is>
          <t>New Zealand</t>
        </is>
      </c>
      <c r="M883" s="2" t="inlineStr">
        <is>
          <t>Manurewa</t>
        </is>
      </c>
      <c r="N883" s="2" t="inlineStr">
        <is>
          <t>New Zealand</t>
        </is>
      </c>
      <c r="P883" s="2" t="inlineStr">
        <is>
          <t>Operational Control</t>
        </is>
      </c>
      <c r="Q883" s="2" t="inlineStr">
        <is>
          <t>Operational Control</t>
        </is>
      </c>
      <c r="R883" s="2" t="inlineStr">
        <is>
          <t>Corporate</t>
        </is>
      </c>
      <c r="S883" s="2" t="inlineStr">
        <is>
          <t>Downer</t>
        </is>
      </c>
      <c r="T883" s="2" t="n">
        <v>100</v>
      </c>
      <c r="W883" s="2" t="inlineStr">
        <is>
          <t>Classification</t>
        </is>
      </c>
      <c r="X883" s="2" t="n">
        <v>-37.0083</v>
      </c>
      <c r="Y883" s="2" t="n">
        <v>174.8705</v>
      </c>
    </row>
    <row r="884">
      <c r="A884" s="2" t="inlineStr">
        <is>
          <t>Downer</t>
        </is>
      </c>
      <c r="B884" s="2" t="inlineStr">
        <is>
          <t>Central Corrections</t>
        </is>
      </c>
      <c r="C884" s="2" t="inlineStr">
        <is>
          <t>Other</t>
        </is>
      </c>
      <c r="D884" s="2" t="inlineStr">
        <is>
          <t>L9.DNZ.810.10.133</t>
        </is>
      </c>
      <c r="E884" s="2" t="n">
        <v>10133</v>
      </c>
      <c r="G884" s="2" t="n">
        <v>10.133</v>
      </c>
      <c r="H884" s="2" t="inlineStr">
        <is>
          <t>130 Kerrs Road</t>
        </is>
      </c>
      <c r="I884" s="2" t="inlineStr">
        <is>
          <t>Wiri</t>
        </is>
      </c>
      <c r="J884" s="2" t="inlineStr">
        <is>
          <t>Auckland</t>
        </is>
      </c>
      <c r="K884" s="2" t="n">
        <v>2104</v>
      </c>
      <c r="L884" s="2" t="inlineStr">
        <is>
          <t>New Zealand</t>
        </is>
      </c>
      <c r="M884" s="2" t="inlineStr">
        <is>
          <t>Manurewa</t>
        </is>
      </c>
      <c r="N884" s="2" t="inlineStr">
        <is>
          <t>New Zealand</t>
        </is>
      </c>
      <c r="P884" s="2" t="inlineStr">
        <is>
          <t>Operational Control</t>
        </is>
      </c>
      <c r="Q884" s="2" t="inlineStr">
        <is>
          <t>Operational Control</t>
        </is>
      </c>
      <c r="R884" s="2" t="inlineStr">
        <is>
          <t>Social Infra &amp; Citizen Serv (SICS)</t>
        </is>
      </c>
      <c r="S884" s="2" t="inlineStr">
        <is>
          <t>Downer</t>
        </is>
      </c>
      <c r="T884" s="2" t="n">
        <v>100</v>
      </c>
      <c r="W884" s="2" t="inlineStr">
        <is>
          <t>Classification</t>
        </is>
      </c>
      <c r="X884" s="2" t="n">
        <v>-37.0083</v>
      </c>
      <c r="Y884" s="2" t="n">
        <v>174.8705</v>
      </c>
    </row>
    <row r="885">
      <c r="A885" s="2" t="inlineStr">
        <is>
          <t>Downer</t>
        </is>
      </c>
      <c r="B885" s="2" t="inlineStr">
        <is>
          <t>Central Food AOR</t>
        </is>
      </c>
      <c r="C885" s="2" t="inlineStr">
        <is>
          <t>Other</t>
        </is>
      </c>
      <c r="D885" s="2" t="inlineStr">
        <is>
          <t>L9.S.26019477</t>
        </is>
      </c>
      <c r="E885" s="2" t="n">
        <v>2000005065</v>
      </c>
      <c r="H885" s="2" t="inlineStr">
        <is>
          <t>130 Kerrs Road</t>
        </is>
      </c>
      <c r="I885" s="2" t="inlineStr">
        <is>
          <t>Wiri</t>
        </is>
      </c>
      <c r="J885" s="2" t="inlineStr">
        <is>
          <t>Auckland</t>
        </is>
      </c>
      <c r="K885" s="2" t="n">
        <v>2104</v>
      </c>
      <c r="L885" s="2" t="inlineStr">
        <is>
          <t>New Zealand</t>
        </is>
      </c>
      <c r="M885" s="2" t="inlineStr">
        <is>
          <t>Manurewa</t>
        </is>
      </c>
      <c r="N885" s="2" t="inlineStr">
        <is>
          <t>New Zealand</t>
        </is>
      </c>
      <c r="P885" s="2" t="inlineStr">
        <is>
          <t>Operational Control</t>
        </is>
      </c>
      <c r="Q885" s="2" t="inlineStr">
        <is>
          <t>Operational Control</t>
        </is>
      </c>
      <c r="R885" s="2" t="inlineStr">
        <is>
          <t>Social Infra &amp; Citizen Serv (SICS)</t>
        </is>
      </c>
      <c r="S885" s="2" t="inlineStr">
        <is>
          <t>Downer</t>
        </is>
      </c>
      <c r="T885" s="2" t="n">
        <v>100</v>
      </c>
      <c r="W885" s="2" t="inlineStr">
        <is>
          <t>Classification</t>
        </is>
      </c>
      <c r="X885" s="2" t="n">
        <v>-37.0083</v>
      </c>
      <c r="Y885" s="2" t="n">
        <v>174.8705</v>
      </c>
    </row>
    <row r="886">
      <c r="A886" s="2" t="inlineStr">
        <is>
          <t>Downer</t>
        </is>
      </c>
      <c r="B886" s="2" t="inlineStr">
        <is>
          <t>Central Hawkes Bay (2020) -RCM</t>
        </is>
      </c>
      <c r="C886" s="2" t="inlineStr">
        <is>
          <t>Other</t>
        </is>
      </c>
      <c r="D886" s="2" t="inlineStr">
        <is>
          <t>L9.DNZJ.55197</t>
        </is>
      </c>
      <c r="E886" s="2" t="n">
        <v>55197</v>
      </c>
      <c r="H886" s="2" t="inlineStr">
        <is>
          <t>130 Kerrs Road</t>
        </is>
      </c>
      <c r="I886" s="2" t="inlineStr">
        <is>
          <t>Wiri</t>
        </is>
      </c>
      <c r="J886" s="2" t="inlineStr">
        <is>
          <t>Auckland</t>
        </is>
      </c>
      <c r="K886" s="2" t="n">
        <v>2104</v>
      </c>
      <c r="L886" s="2" t="inlineStr">
        <is>
          <t>New Zealand</t>
        </is>
      </c>
      <c r="M886" s="2" t="inlineStr">
        <is>
          <t>Manurewa</t>
        </is>
      </c>
      <c r="N886" s="2" t="inlineStr">
        <is>
          <t>New Zealand</t>
        </is>
      </c>
      <c r="P886" s="2" t="inlineStr">
        <is>
          <t>Operational Control</t>
        </is>
      </c>
      <c r="Q886" s="2" t="inlineStr">
        <is>
          <t>Operational Control</t>
        </is>
      </c>
      <c r="R886" s="2" t="inlineStr">
        <is>
          <t>Transport &amp; Infrastructure (T&amp;I)</t>
        </is>
      </c>
      <c r="S886" s="2" t="inlineStr">
        <is>
          <t>Downer</t>
        </is>
      </c>
      <c r="T886" s="2" t="n">
        <v>100</v>
      </c>
      <c r="W886" s="2" t="inlineStr">
        <is>
          <t>Classification</t>
        </is>
      </c>
      <c r="X886" s="2" t="n">
        <v>-37.0083</v>
      </c>
      <c r="Y886" s="2" t="n">
        <v>174.8705</v>
      </c>
    </row>
    <row r="887">
      <c r="A887" s="2" t="inlineStr">
        <is>
          <t>Downer</t>
        </is>
      </c>
      <c r="B887" s="2" t="inlineStr">
        <is>
          <t>Central Otago Telco Ops</t>
        </is>
      </c>
      <c r="C887" s="2" t="inlineStr">
        <is>
          <t>Other</t>
        </is>
      </c>
      <c r="D887" s="2" t="inlineStr">
        <is>
          <t>L9.DNZ.810.10.124</t>
        </is>
      </c>
      <c r="E887" s="2" t="n">
        <v>10124</v>
      </c>
      <c r="G887" s="2" t="n">
        <v>10.124</v>
      </c>
      <c r="H887" s="2" t="inlineStr">
        <is>
          <t>130 Kerrs Road</t>
        </is>
      </c>
      <c r="I887" s="2" t="inlineStr">
        <is>
          <t>Wiri</t>
        </is>
      </c>
      <c r="J887" s="2" t="inlineStr">
        <is>
          <t>Auckland</t>
        </is>
      </c>
      <c r="K887" s="2" t="n">
        <v>2104</v>
      </c>
      <c r="L887" s="2" t="inlineStr">
        <is>
          <t>New Zealand</t>
        </is>
      </c>
      <c r="M887" s="2" t="inlineStr">
        <is>
          <t>Manurewa</t>
        </is>
      </c>
      <c r="N887" s="2" t="inlineStr">
        <is>
          <t>New Zealand</t>
        </is>
      </c>
      <c r="P887" s="2" t="inlineStr">
        <is>
          <t>Operational Control</t>
        </is>
      </c>
      <c r="Q887" s="2" t="inlineStr">
        <is>
          <t>Operational Control</t>
        </is>
      </c>
      <c r="R887" s="2" t="inlineStr">
        <is>
          <t>Energy and Utilities (EU)</t>
        </is>
      </c>
      <c r="S887" s="2" t="inlineStr">
        <is>
          <t>Downer</t>
        </is>
      </c>
      <c r="T887" s="2" t="n">
        <v>100</v>
      </c>
      <c r="W887" s="2" t="inlineStr">
        <is>
          <t>Classification</t>
        </is>
      </c>
      <c r="X887" s="2" t="n">
        <v>-37.0083</v>
      </c>
      <c r="Y887" s="2" t="n">
        <v>174.8705</v>
      </c>
    </row>
    <row r="888">
      <c r="A888" s="2" t="inlineStr">
        <is>
          <t>Downer</t>
        </is>
      </c>
      <c r="B888" s="2" t="inlineStr">
        <is>
          <t>Central Regional</t>
        </is>
      </c>
      <c r="C888" s="2" t="inlineStr">
        <is>
          <t>Other</t>
        </is>
      </c>
      <c r="D888" s="2" t="inlineStr">
        <is>
          <t>L9.DNZ.810.10.134</t>
        </is>
      </c>
      <c r="E888" s="2" t="n">
        <v>10134</v>
      </c>
      <c r="G888" s="2" t="n">
        <v>10.134</v>
      </c>
      <c r="H888" s="2" t="inlineStr">
        <is>
          <t>130 Kerrs Road</t>
        </is>
      </c>
      <c r="I888" s="2" t="inlineStr">
        <is>
          <t>Wiri</t>
        </is>
      </c>
      <c r="J888" s="2" t="inlineStr">
        <is>
          <t>Auckland</t>
        </is>
      </c>
      <c r="K888" s="2" t="n">
        <v>2104</v>
      </c>
      <c r="L888" s="2" t="inlineStr">
        <is>
          <t>New Zealand</t>
        </is>
      </c>
      <c r="M888" s="2" t="inlineStr">
        <is>
          <t>Manurewa</t>
        </is>
      </c>
      <c r="N888" s="2" t="inlineStr">
        <is>
          <t>New Zealand</t>
        </is>
      </c>
      <c r="P888" s="2" t="inlineStr">
        <is>
          <t>Operational Control</t>
        </is>
      </c>
      <c r="Q888" s="2" t="inlineStr">
        <is>
          <t>Operational Control</t>
        </is>
      </c>
      <c r="R888" s="2" t="inlineStr">
        <is>
          <t>Social Infra &amp; Citizen Serv (SICS)</t>
        </is>
      </c>
      <c r="S888" s="2" t="inlineStr">
        <is>
          <t>Downer</t>
        </is>
      </c>
      <c r="T888" s="2" t="n">
        <v>100</v>
      </c>
      <c r="W888" s="2" t="inlineStr">
        <is>
          <t>Classification</t>
        </is>
      </c>
      <c r="X888" s="2" t="n">
        <v>-37.0083</v>
      </c>
      <c r="Y888" s="2" t="n">
        <v>174.8705</v>
      </c>
    </row>
    <row r="889">
      <c r="A889" s="2" t="inlineStr">
        <is>
          <t>Downer</t>
        </is>
      </c>
      <c r="B889" s="2" t="inlineStr">
        <is>
          <t>Chatham Islands Airport - L&amp;S</t>
        </is>
      </c>
      <c r="C889" s="2" t="inlineStr">
        <is>
          <t>Other</t>
        </is>
      </c>
      <c r="D889" s="2" t="inlineStr">
        <is>
          <t>L9.DNZJ.DS2668</t>
        </is>
      </c>
      <c r="E889" s="2" t="inlineStr">
        <is>
          <t>JP_DS2668</t>
        </is>
      </c>
      <c r="H889" s="2" t="inlineStr">
        <is>
          <t>130 Kerrs Road</t>
        </is>
      </c>
      <c r="I889" s="2" t="inlineStr">
        <is>
          <t>Wiri</t>
        </is>
      </c>
      <c r="J889" s="2" t="inlineStr">
        <is>
          <t>Auckland</t>
        </is>
      </c>
      <c r="K889" s="2" t="n">
        <v>2104</v>
      </c>
      <c r="L889" s="2" t="inlineStr">
        <is>
          <t>New Zealand</t>
        </is>
      </c>
      <c r="M889" s="2" t="inlineStr">
        <is>
          <t>Manurewa</t>
        </is>
      </c>
      <c r="N889" s="2" t="inlineStr">
        <is>
          <t>New Zealand</t>
        </is>
      </c>
      <c r="P889" s="2" t="inlineStr">
        <is>
          <t>Operational Control</t>
        </is>
      </c>
      <c r="Q889" s="2" t="inlineStr">
        <is>
          <t>Operational Control</t>
        </is>
      </c>
      <c r="R889" s="2" t="inlineStr">
        <is>
          <t>Transport &amp; Infrastructure (T&amp;I)</t>
        </is>
      </c>
      <c r="S889" s="2" t="inlineStr">
        <is>
          <t>Downer</t>
        </is>
      </c>
      <c r="T889" s="2" t="n">
        <v>100</v>
      </c>
      <c r="W889" s="2" t="inlineStr">
        <is>
          <t>Classification</t>
        </is>
      </c>
      <c r="X889" s="2" t="n">
        <v>-37.0083</v>
      </c>
      <c r="Y889" s="2" t="n">
        <v>174.8705</v>
      </c>
    </row>
    <row r="890">
      <c r="A890" s="2" t="inlineStr">
        <is>
          <t>Downer</t>
        </is>
      </c>
      <c r="B890" s="2" t="inlineStr">
        <is>
          <t>CHCH PERFORMING ARTS PRECINCT</t>
        </is>
      </c>
      <c r="C890" s="2" t="inlineStr">
        <is>
          <t>Other</t>
        </is>
      </c>
      <c r="D890" s="2" t="inlineStr">
        <is>
          <t>L9.DNZ.HS0164</t>
        </is>
      </c>
      <c r="E890" s="2" t="inlineStr">
        <is>
          <t>JP_HS0164</t>
        </is>
      </c>
      <c r="M890" s="2" t="inlineStr">
        <is>
          <t>Manurewa</t>
        </is>
      </c>
      <c r="N890" s="2" t="inlineStr">
        <is>
          <t>New Zealand</t>
        </is>
      </c>
      <c r="P890" s="2" t="inlineStr">
        <is>
          <t>Operational Control</t>
        </is>
      </c>
      <c r="Q890" s="2" t="inlineStr">
        <is>
          <t>Operational Control</t>
        </is>
      </c>
      <c r="R890" s="2" t="inlineStr">
        <is>
          <t>Transport &amp; Infrastructure (T&amp;I)</t>
        </is>
      </c>
      <c r="S890" s="2" t="inlineStr">
        <is>
          <t>Downer</t>
        </is>
      </c>
      <c r="T890" s="2" t="n">
        <v>100</v>
      </c>
      <c r="W890" s="2" t="inlineStr">
        <is>
          <t>Classification</t>
        </is>
      </c>
    </row>
    <row r="891">
      <c r="A891" s="2" t="inlineStr">
        <is>
          <t>Downer</t>
        </is>
      </c>
      <c r="B891" s="2" t="inlineStr">
        <is>
          <t>ChCh Plant</t>
        </is>
      </c>
      <c r="C891" s="2" t="inlineStr">
        <is>
          <t>Asphalt Plant</t>
        </is>
      </c>
      <c r="D891" s="2" t="inlineStr">
        <is>
          <t>L9.DNZJ.8103</t>
        </is>
      </c>
      <c r="E891" s="2" t="n">
        <v>8103</v>
      </c>
      <c r="H891" s="2" t="inlineStr">
        <is>
          <t>397 McLeans Island Road</t>
        </is>
      </c>
      <c r="I891" s="2" t="inlineStr">
        <is>
          <t>McLeans Island</t>
        </is>
      </c>
      <c r="J891" s="2" t="inlineStr">
        <is>
          <t>Christchurch</t>
        </is>
      </c>
      <c r="K891" s="2" t="n">
        <v>8051</v>
      </c>
      <c r="L891" s="2" t="inlineStr">
        <is>
          <t>New Zealand</t>
        </is>
      </c>
      <c r="M891" s="2" t="inlineStr">
        <is>
          <t>Manurewa</t>
        </is>
      </c>
      <c r="N891" s="2" t="inlineStr">
        <is>
          <t>New Zealand</t>
        </is>
      </c>
      <c r="P891" s="2" t="inlineStr">
        <is>
          <t>Operational Control</t>
        </is>
      </c>
      <c r="Q891" s="2" t="inlineStr">
        <is>
          <t>Operational Control</t>
        </is>
      </c>
      <c r="R891" s="2" t="inlineStr">
        <is>
          <t>Transport &amp; Infrastructure (T&amp;I)</t>
        </is>
      </c>
      <c r="S891" s="2" t="inlineStr">
        <is>
          <t>Downer</t>
        </is>
      </c>
      <c r="T891" s="2" t="n">
        <v>100</v>
      </c>
      <c r="W891" s="2" t="inlineStr">
        <is>
          <t>Classification</t>
        </is>
      </c>
      <c r="X891" s="2" t="n">
        <v>-37.0083</v>
      </c>
      <c r="Y891" s="2" t="n">
        <v>174.8705</v>
      </c>
    </row>
    <row r="892">
      <c r="A892" s="2" t="inlineStr">
        <is>
          <t>Downer</t>
        </is>
      </c>
      <c r="B892" s="2" t="inlineStr">
        <is>
          <t>Chevron EU Subcontractors</t>
        </is>
      </c>
      <c r="C892" s="2" t="inlineStr">
        <is>
          <t>Other</t>
        </is>
      </c>
      <c r="D892" s="2" t="inlineStr">
        <is>
          <t>L9.ENG.360.12905</t>
        </is>
      </c>
      <c r="E892" s="2" t="inlineStr">
        <is>
          <t>L9.ENG.360.12905</t>
        </is>
      </c>
      <c r="M892" s="2" t="inlineStr">
        <is>
          <t>North Ryde</t>
        </is>
      </c>
      <c r="N892" s="2" t="inlineStr">
        <is>
          <t>Australia</t>
        </is>
      </c>
      <c r="P892" s="2" t="inlineStr">
        <is>
          <t>Operational Control</t>
        </is>
      </c>
      <c r="Q892" s="2" t="inlineStr">
        <is>
          <t>Operational Control</t>
        </is>
      </c>
      <c r="R892" s="2" t="inlineStr">
        <is>
          <t>Energy and Utilities (EU)</t>
        </is>
      </c>
      <c r="S892" s="2" t="inlineStr">
        <is>
          <t>Downer</t>
        </is>
      </c>
      <c r="T892" s="2" t="n">
        <v>100</v>
      </c>
      <c r="W892" s="2" t="inlineStr">
        <is>
          <t>Classification</t>
        </is>
      </c>
    </row>
    <row r="893">
      <c r="A893" s="2" t="inlineStr">
        <is>
          <t>Downer</t>
        </is>
      </c>
      <c r="B893" s="2" t="inlineStr">
        <is>
          <t>Chip Sealing - Lower South</t>
        </is>
      </c>
      <c r="C893" s="2" t="inlineStr">
        <is>
          <t>Other</t>
        </is>
      </c>
      <c r="D893" s="2" t="inlineStr">
        <is>
          <t>L9.DNZJ.55390</t>
        </is>
      </c>
      <c r="E893" s="2" t="n">
        <v>55390</v>
      </c>
      <c r="H893" s="2" t="inlineStr">
        <is>
          <t>130 Kerrs Road</t>
        </is>
      </c>
      <c r="I893" s="2" t="inlineStr">
        <is>
          <t>Wiri</t>
        </is>
      </c>
      <c r="J893" s="2" t="inlineStr">
        <is>
          <t>Auckland</t>
        </is>
      </c>
      <c r="K893" s="2" t="n">
        <v>2104</v>
      </c>
      <c r="L893" s="2" t="inlineStr">
        <is>
          <t>New Zealand</t>
        </is>
      </c>
      <c r="M893" s="2" t="inlineStr">
        <is>
          <t>Manurewa</t>
        </is>
      </c>
      <c r="N893" s="2" t="inlineStr">
        <is>
          <t>New Zealand</t>
        </is>
      </c>
      <c r="P893" s="2" t="inlineStr">
        <is>
          <t>Operational Control</t>
        </is>
      </c>
      <c r="Q893" s="2" t="inlineStr">
        <is>
          <t>Operational Control</t>
        </is>
      </c>
      <c r="R893" s="2" t="inlineStr">
        <is>
          <t>Transport &amp; Infrastructure (T&amp;I)</t>
        </is>
      </c>
      <c r="S893" s="2" t="inlineStr">
        <is>
          <t>Downer</t>
        </is>
      </c>
      <c r="T893" s="2" t="n">
        <v>100</v>
      </c>
      <c r="W893" s="2" t="inlineStr">
        <is>
          <t>Classification</t>
        </is>
      </c>
      <c r="X893" s="2" t="n">
        <v>-37.0083</v>
      </c>
      <c r="Y893" s="2" t="n">
        <v>174.8705</v>
      </c>
    </row>
    <row r="894">
      <c r="A894" s="2" t="inlineStr">
        <is>
          <t>Downer</t>
        </is>
      </c>
      <c r="B894" s="2" t="inlineStr">
        <is>
          <t>Chorus FSA Transition</t>
        </is>
      </c>
      <c r="C894" s="2" t="inlineStr">
        <is>
          <t>Other</t>
        </is>
      </c>
      <c r="D894" s="2" t="inlineStr">
        <is>
          <t>L9.DNZ.810.10.034</t>
        </is>
      </c>
      <c r="E894" s="2" t="n">
        <v>10034</v>
      </c>
      <c r="G894" s="2" t="n">
        <v>10.034</v>
      </c>
      <c r="H894" s="2" t="inlineStr">
        <is>
          <t>130 Kerrs Road</t>
        </is>
      </c>
      <c r="I894" s="2" t="inlineStr">
        <is>
          <t>Wiri</t>
        </is>
      </c>
      <c r="J894" s="2" t="inlineStr">
        <is>
          <t>Auckland</t>
        </is>
      </c>
      <c r="K894" s="2" t="n">
        <v>2104</v>
      </c>
      <c r="L894" s="2" t="inlineStr">
        <is>
          <t>New Zealand</t>
        </is>
      </c>
      <c r="M894" s="2" t="inlineStr">
        <is>
          <t>Manurewa</t>
        </is>
      </c>
      <c r="N894" s="2" t="inlineStr">
        <is>
          <t>New Zealand</t>
        </is>
      </c>
      <c r="P894" s="2" t="inlineStr">
        <is>
          <t>Operational Control</t>
        </is>
      </c>
      <c r="Q894" s="2" t="inlineStr">
        <is>
          <t>Operational Control</t>
        </is>
      </c>
      <c r="R894" s="2" t="inlineStr">
        <is>
          <t>Energy and Utilities (EU)</t>
        </is>
      </c>
      <c r="S894" s="2" t="inlineStr">
        <is>
          <t>Downer</t>
        </is>
      </c>
      <c r="T894" s="2" t="n">
        <v>100</v>
      </c>
      <c r="W894" s="2" t="inlineStr">
        <is>
          <t>Classification</t>
        </is>
      </c>
      <c r="X894" s="2" t="n">
        <v>-37.0083</v>
      </c>
      <c r="Y894" s="2" t="n">
        <v>174.8705</v>
      </c>
    </row>
    <row r="895">
      <c r="A895" s="2" t="inlineStr">
        <is>
          <t>Downer</t>
        </is>
      </c>
      <c r="B895" s="2" t="inlineStr">
        <is>
          <t>Chorus RBI</t>
        </is>
      </c>
      <c r="C895" s="2" t="inlineStr">
        <is>
          <t>Other</t>
        </is>
      </c>
      <c r="D895" s="2" t="inlineStr">
        <is>
          <t>L9.DNZ.810.10.246</t>
        </is>
      </c>
      <c r="E895" s="2" t="n">
        <v>10246</v>
      </c>
      <c r="G895" s="2" t="n">
        <v>10.246</v>
      </c>
      <c r="H895" s="2" t="inlineStr">
        <is>
          <t>130 Kerrs Road</t>
        </is>
      </c>
      <c r="I895" s="2" t="inlineStr">
        <is>
          <t>Wiri</t>
        </is>
      </c>
      <c r="J895" s="2" t="inlineStr">
        <is>
          <t>Auckland</t>
        </is>
      </c>
      <c r="K895" s="2" t="n">
        <v>2104</v>
      </c>
      <c r="L895" s="2" t="inlineStr">
        <is>
          <t>New Zealand</t>
        </is>
      </c>
      <c r="M895" s="2" t="inlineStr">
        <is>
          <t>Manurewa</t>
        </is>
      </c>
      <c r="N895" s="2" t="inlineStr">
        <is>
          <t>New Zealand</t>
        </is>
      </c>
      <c r="P895" s="2" t="inlineStr">
        <is>
          <t>Operational Control</t>
        </is>
      </c>
      <c r="Q895" s="2" t="inlineStr">
        <is>
          <t>Operational Control</t>
        </is>
      </c>
      <c r="R895" s="2" t="inlineStr">
        <is>
          <t>Energy and Utilities (EU)</t>
        </is>
      </c>
      <c r="S895" s="2" t="inlineStr">
        <is>
          <t>Downer</t>
        </is>
      </c>
      <c r="T895" s="2" t="n">
        <v>100</v>
      </c>
      <c r="W895" s="2" t="inlineStr">
        <is>
          <t>Classification</t>
        </is>
      </c>
      <c r="X895" s="2" t="n">
        <v>-37.0083</v>
      </c>
      <c r="Y895" s="2" t="n">
        <v>174.8705</v>
      </c>
    </row>
    <row r="896">
      <c r="A896" s="2" t="inlineStr">
        <is>
          <t>Downer</t>
        </is>
      </c>
      <c r="B896" s="2" t="inlineStr">
        <is>
          <t>Christchurch (118 Salisbury St</t>
        </is>
      </c>
      <c r="C896" s="2" t="inlineStr">
        <is>
          <t>Residential</t>
        </is>
      </c>
      <c r="D896" s="2" t="inlineStr">
        <is>
          <t>L9.DNZJ.91408</t>
        </is>
      </c>
      <c r="E896" s="2" t="n">
        <v>91408</v>
      </c>
      <c r="G896" s="2" t="inlineStr">
        <is>
          <t>COR-NZHO-91408 - Christchurch (118 Salisbury St</t>
        </is>
      </c>
      <c r="M896" s="2" t="inlineStr">
        <is>
          <t>Christchurch</t>
        </is>
      </c>
      <c r="N896" s="2" t="inlineStr">
        <is>
          <t>New Zealand</t>
        </is>
      </c>
      <c r="P896" s="2" t="inlineStr">
        <is>
          <t>Operational Control</t>
        </is>
      </c>
      <c r="Q896" s="2" t="inlineStr">
        <is>
          <t>Operational Control</t>
        </is>
      </c>
      <c r="R896" s="2" t="inlineStr">
        <is>
          <t>Corporate</t>
        </is>
      </c>
      <c r="S896" s="2" t="inlineStr">
        <is>
          <t>Downer</t>
        </is>
      </c>
      <c r="T896" s="2" t="n">
        <v>100</v>
      </c>
      <c r="W896" s="2" t="inlineStr">
        <is>
          <t>Classification</t>
        </is>
      </c>
    </row>
    <row r="897">
      <c r="A897" s="2" t="inlineStr">
        <is>
          <t>Downer</t>
        </is>
      </c>
      <c r="B897" s="2" t="inlineStr">
        <is>
          <t>Christchurch (133 Cavendish Rd</t>
        </is>
      </c>
      <c r="C897" s="2" t="inlineStr">
        <is>
          <t>Storage</t>
        </is>
      </c>
      <c r="D897" s="2" t="inlineStr">
        <is>
          <t>L9.DNZJ.91393</t>
        </is>
      </c>
      <c r="E897" s="2" t="n">
        <v>91393</v>
      </c>
      <c r="G897" s="2" t="inlineStr">
        <is>
          <t>COR-91393 - Christchurch (133 Cavendish Rd
T&amp;I Setdown Area
Metered temporary - Site Shed  133 Cavendish Road  Redwood  Christchurch</t>
        </is>
      </c>
      <c r="M897" s="2" t="inlineStr">
        <is>
          <t>Christchurch</t>
        </is>
      </c>
      <c r="N897" s="2" t="inlineStr">
        <is>
          <t>New Zealand</t>
        </is>
      </c>
      <c r="P897" s="2" t="inlineStr">
        <is>
          <t>Operational Control</t>
        </is>
      </c>
      <c r="Q897" s="2" t="inlineStr">
        <is>
          <t>Operational Control</t>
        </is>
      </c>
      <c r="R897" s="2" t="inlineStr">
        <is>
          <t>Transport &amp; Infrastructure (T&amp;I)</t>
        </is>
      </c>
      <c r="S897" s="2" t="inlineStr">
        <is>
          <t>Downer</t>
        </is>
      </c>
      <c r="T897" s="2" t="n">
        <v>100</v>
      </c>
      <c r="W897" s="2" t="inlineStr">
        <is>
          <t>Classification</t>
        </is>
      </c>
    </row>
    <row r="898">
      <c r="A898" s="2" t="inlineStr">
        <is>
          <t>Downer</t>
        </is>
      </c>
      <c r="B898" s="2" t="inlineStr">
        <is>
          <t>Christchurch (40 Ballarat Way)</t>
        </is>
      </c>
      <c r="C898" s="2" t="inlineStr">
        <is>
          <t>Office</t>
        </is>
      </c>
      <c r="D898" s="2" t="inlineStr">
        <is>
          <t>L9.DNZJ.91423</t>
        </is>
      </c>
      <c r="E898" s="2" t="n">
        <v>91423</v>
      </c>
      <c r="H898" s="2" t="inlineStr">
        <is>
          <t>40 Ballarat Way</t>
        </is>
      </c>
      <c r="I898" s="2" t="inlineStr">
        <is>
          <t>Wigram</t>
        </is>
      </c>
      <c r="J898" s="2" t="inlineStr">
        <is>
          <t>Christchurch</t>
        </is>
      </c>
      <c r="K898" s="2" t="n">
        <v>8042</v>
      </c>
      <c r="M898" s="2" t="inlineStr">
        <is>
          <t>Christchurch</t>
        </is>
      </c>
      <c r="N898" s="2" t="inlineStr">
        <is>
          <t>New Zealand</t>
        </is>
      </c>
      <c r="P898" s="2" t="inlineStr">
        <is>
          <t>Operational Control</t>
        </is>
      </c>
      <c r="Q898" s="2" t="inlineStr">
        <is>
          <t>Operational Control</t>
        </is>
      </c>
      <c r="R898" s="2" t="inlineStr">
        <is>
          <t>Corporate</t>
        </is>
      </c>
      <c r="S898" s="2" t="inlineStr">
        <is>
          <t>Downer</t>
        </is>
      </c>
      <c r="T898" s="2" t="n">
        <v>100</v>
      </c>
      <c r="W898" s="2" t="inlineStr">
        <is>
          <t>Classification</t>
        </is>
      </c>
    </row>
    <row r="899">
      <c r="A899" s="2" t="inlineStr">
        <is>
          <t>Downer</t>
        </is>
      </c>
      <c r="B899" s="2" t="inlineStr">
        <is>
          <t>Christchurch Build</t>
        </is>
      </c>
      <c r="C899" s="2" t="inlineStr">
        <is>
          <t>Other</t>
        </is>
      </c>
      <c r="D899" s="2" t="inlineStr">
        <is>
          <t>L9.DNZ.810.10.232</t>
        </is>
      </c>
      <c r="E899" s="2" t="n">
        <v>10232</v>
      </c>
      <c r="G899" s="2" t="n">
        <v>10.232</v>
      </c>
      <c r="H899" s="2" t="inlineStr">
        <is>
          <t>130 Kerrs Road</t>
        </is>
      </c>
      <c r="I899" s="2" t="inlineStr">
        <is>
          <t>Wiri</t>
        </is>
      </c>
      <c r="J899" s="2" t="inlineStr">
        <is>
          <t>Auckland</t>
        </is>
      </c>
      <c r="K899" s="2" t="n">
        <v>2104</v>
      </c>
      <c r="L899" s="2" t="inlineStr">
        <is>
          <t>New Zealand</t>
        </is>
      </c>
      <c r="M899" s="2" t="inlineStr">
        <is>
          <t>Manurewa</t>
        </is>
      </c>
      <c r="N899" s="2" t="inlineStr">
        <is>
          <t>New Zealand</t>
        </is>
      </c>
      <c r="P899" s="2" t="inlineStr">
        <is>
          <t>Operational Control</t>
        </is>
      </c>
      <c r="Q899" s="2" t="inlineStr">
        <is>
          <t>Operational Control</t>
        </is>
      </c>
      <c r="R899" s="2" t="inlineStr">
        <is>
          <t>Energy and Utilities (EU)</t>
        </is>
      </c>
      <c r="S899" s="2" t="inlineStr">
        <is>
          <t>Downer</t>
        </is>
      </c>
      <c r="T899" s="2" t="n">
        <v>100</v>
      </c>
      <c r="W899" s="2" t="inlineStr">
        <is>
          <t>Classification</t>
        </is>
      </c>
      <c r="X899" s="2" t="n">
        <v>-37.0083</v>
      </c>
      <c r="Y899" s="2" t="n">
        <v>174.8705</v>
      </c>
    </row>
    <row r="900">
      <c r="A900" s="2" t="inlineStr">
        <is>
          <t>Downer</t>
        </is>
      </c>
      <c r="B900" s="2" t="inlineStr">
        <is>
          <t>Christchurch Chorus M&amp;P</t>
        </is>
      </c>
      <c r="C900" s="2" t="inlineStr">
        <is>
          <t>Other</t>
        </is>
      </c>
      <c r="D900" s="2" t="inlineStr">
        <is>
          <t>L9.DNZ.810.10.188</t>
        </is>
      </c>
      <c r="E900" s="2" t="n">
        <v>10188</v>
      </c>
      <c r="G900" s="2" t="n">
        <v>10.188</v>
      </c>
      <c r="H900" s="2" t="inlineStr">
        <is>
          <t>130 Kerrs Road</t>
        </is>
      </c>
      <c r="I900" s="2" t="inlineStr">
        <is>
          <t>Wiri</t>
        </is>
      </c>
      <c r="J900" s="2" t="inlineStr">
        <is>
          <t>Auckland</t>
        </is>
      </c>
      <c r="K900" s="2" t="n">
        <v>2104</v>
      </c>
      <c r="L900" s="2" t="inlineStr">
        <is>
          <t>New Zealand</t>
        </is>
      </c>
      <c r="M900" s="2" t="inlineStr">
        <is>
          <t>Manurewa</t>
        </is>
      </c>
      <c r="N900" s="2" t="inlineStr">
        <is>
          <t>New Zealand</t>
        </is>
      </c>
      <c r="P900" s="2" t="inlineStr">
        <is>
          <t>Operational Control</t>
        </is>
      </c>
      <c r="Q900" s="2" t="inlineStr">
        <is>
          <t>Operational Control</t>
        </is>
      </c>
      <c r="R900" s="2" t="inlineStr">
        <is>
          <t>Energy and Utilities (EU)</t>
        </is>
      </c>
      <c r="S900" s="2" t="inlineStr">
        <is>
          <t>Downer</t>
        </is>
      </c>
      <c r="T900" s="2" t="n">
        <v>100</v>
      </c>
      <c r="W900" s="2" t="inlineStr">
        <is>
          <t>Classification</t>
        </is>
      </c>
      <c r="X900" s="2" t="n">
        <v>-37.0083</v>
      </c>
      <c r="Y900" s="2" t="n">
        <v>174.8705</v>
      </c>
    </row>
    <row r="901">
      <c r="A901" s="2" t="inlineStr">
        <is>
          <t>Downer</t>
        </is>
      </c>
      <c r="B901" s="2" t="inlineStr">
        <is>
          <t>Christchurch Depot(McLeans Is)</t>
        </is>
      </c>
      <c r="C901" s="2" t="inlineStr">
        <is>
          <t>Other</t>
        </is>
      </c>
      <c r="D901" s="2" t="inlineStr">
        <is>
          <t>L9.DNZJ.55650</t>
        </is>
      </c>
      <c r="E901" s="2" t="n">
        <v>55650</v>
      </c>
      <c r="H901" s="2" t="inlineStr">
        <is>
          <t>397 Mcleans Island Road</t>
        </is>
      </c>
      <c r="I901" s="2" t="inlineStr">
        <is>
          <t>Mcleans Island</t>
        </is>
      </c>
      <c r="J901" s="2" t="inlineStr">
        <is>
          <t>Christchurch</t>
        </is>
      </c>
      <c r="K901" s="2" t="n">
        <v>8051</v>
      </c>
      <c r="L901" s="2" t="inlineStr">
        <is>
          <t>New Zealand</t>
        </is>
      </c>
      <c r="M901" s="2" t="inlineStr">
        <is>
          <t>Christchurch</t>
        </is>
      </c>
      <c r="N901" s="2" t="inlineStr">
        <is>
          <t>New Zealand</t>
        </is>
      </c>
      <c r="P901" s="2" t="inlineStr">
        <is>
          <t>Operational Control</t>
        </is>
      </c>
      <c r="Q901" s="2" t="inlineStr">
        <is>
          <t>Operational Control</t>
        </is>
      </c>
      <c r="R901" s="2" t="inlineStr">
        <is>
          <t>Transport &amp; Infrastructure (T&amp;I)</t>
        </is>
      </c>
      <c r="S901" s="2" t="inlineStr">
        <is>
          <t>Downer</t>
        </is>
      </c>
      <c r="T901" s="2" t="n">
        <v>100</v>
      </c>
      <c r="W901" s="2" t="inlineStr">
        <is>
          <t>Classification</t>
        </is>
      </c>
      <c r="X901" s="2" t="n">
        <v>-43.4761</v>
      </c>
      <c r="Y901" s="2" t="n">
        <v>172.5161</v>
      </c>
    </row>
    <row r="902">
      <c r="A902" s="2" t="inlineStr">
        <is>
          <t>Downer</t>
        </is>
      </c>
      <c r="B902" s="2" t="inlineStr">
        <is>
          <t>Christchurch ISP</t>
        </is>
      </c>
      <c r="C902" s="2" t="inlineStr">
        <is>
          <t>Other</t>
        </is>
      </c>
      <c r="D902" s="2" t="inlineStr">
        <is>
          <t>L9.DNZ.810.10.181</t>
        </is>
      </c>
      <c r="E902" s="2" t="n">
        <v>10181</v>
      </c>
      <c r="G902" s="2" t="n">
        <v>10.181</v>
      </c>
      <c r="H902" s="2" t="inlineStr">
        <is>
          <t>130 Kerrs Road</t>
        </is>
      </c>
      <c r="I902" s="2" t="inlineStr">
        <is>
          <t>Wiri</t>
        </is>
      </c>
      <c r="J902" s="2" t="inlineStr">
        <is>
          <t>Auckland</t>
        </is>
      </c>
      <c r="K902" s="2" t="n">
        <v>2104</v>
      </c>
      <c r="L902" s="2" t="inlineStr">
        <is>
          <t>New Zealand</t>
        </is>
      </c>
      <c r="M902" s="2" t="inlineStr">
        <is>
          <t>Manurewa</t>
        </is>
      </c>
      <c r="N902" s="2" t="inlineStr">
        <is>
          <t>New Zealand</t>
        </is>
      </c>
      <c r="P902" s="2" t="inlineStr">
        <is>
          <t>Operational Control</t>
        </is>
      </c>
      <c r="Q902" s="2" t="inlineStr">
        <is>
          <t>Operational Control</t>
        </is>
      </c>
      <c r="R902" s="2" t="inlineStr">
        <is>
          <t>Energy and Utilities (EU)</t>
        </is>
      </c>
      <c r="S902" s="2" t="inlineStr">
        <is>
          <t>Downer</t>
        </is>
      </c>
      <c r="T902" s="2" t="n">
        <v>100</v>
      </c>
      <c r="W902" s="2" t="inlineStr">
        <is>
          <t>Classification</t>
        </is>
      </c>
      <c r="X902" s="2" t="n">
        <v>-37.0083</v>
      </c>
      <c r="Y902" s="2" t="n">
        <v>174.8705</v>
      </c>
    </row>
    <row r="903">
      <c r="A903" s="2" t="inlineStr">
        <is>
          <t>Downer</t>
        </is>
      </c>
      <c r="B903" s="2" t="inlineStr">
        <is>
          <t>Christchurch ISP EU Subcontractors</t>
        </is>
      </c>
      <c r="C903" s="2" t="inlineStr">
        <is>
          <t>Other</t>
        </is>
      </c>
      <c r="D903" s="2" t="inlineStr">
        <is>
          <t>L9.DNZJ.10181</t>
        </is>
      </c>
      <c r="E903" s="2" t="inlineStr">
        <is>
          <t>L9.DNZJ.10181</t>
        </is>
      </c>
      <c r="M903" s="2" t="inlineStr">
        <is>
          <t>Auckland City</t>
        </is>
      </c>
      <c r="N903" s="2" t="inlineStr">
        <is>
          <t>New Zealand</t>
        </is>
      </c>
      <c r="P903" s="2" t="inlineStr">
        <is>
          <t>Operational Control</t>
        </is>
      </c>
      <c r="Q903" s="2" t="inlineStr">
        <is>
          <t>Operational Control</t>
        </is>
      </c>
      <c r="R903" s="2" t="inlineStr">
        <is>
          <t>Energy and Utilities (EU)</t>
        </is>
      </c>
      <c r="S903" s="2" t="inlineStr">
        <is>
          <t>Downer</t>
        </is>
      </c>
      <c r="T903" s="2" t="n">
        <v>100</v>
      </c>
      <c r="W903" s="2" t="inlineStr">
        <is>
          <t>Classification</t>
        </is>
      </c>
    </row>
    <row r="904">
      <c r="A904" s="2" t="inlineStr">
        <is>
          <t>Downer</t>
        </is>
      </c>
      <c r="B904" s="2" t="inlineStr">
        <is>
          <t>Christchurch Laboratory</t>
        </is>
      </c>
      <c r="C904" s="2" t="inlineStr">
        <is>
          <t>Other</t>
        </is>
      </c>
      <c r="D904" s="2" t="inlineStr">
        <is>
          <t>L9.DNZJ.3523</t>
        </is>
      </c>
      <c r="E904" s="2" t="n">
        <v>3523</v>
      </c>
      <c r="H904" s="2" t="inlineStr">
        <is>
          <t>130 Kerrs Road</t>
        </is>
      </c>
      <c r="I904" s="2" t="inlineStr">
        <is>
          <t>Wiri</t>
        </is>
      </c>
      <c r="J904" s="2" t="inlineStr">
        <is>
          <t>Auckland</t>
        </is>
      </c>
      <c r="K904" s="2" t="n">
        <v>2104</v>
      </c>
      <c r="L904" s="2" t="inlineStr">
        <is>
          <t>New Zealand</t>
        </is>
      </c>
      <c r="M904" s="2" t="inlineStr">
        <is>
          <t>Manurewa</t>
        </is>
      </c>
      <c r="N904" s="2" t="inlineStr">
        <is>
          <t>New Zealand</t>
        </is>
      </c>
      <c r="P904" s="2" t="inlineStr">
        <is>
          <t>Operational Control</t>
        </is>
      </c>
      <c r="Q904" s="2" t="inlineStr">
        <is>
          <t>Operational Control</t>
        </is>
      </c>
      <c r="R904" s="2" t="inlineStr">
        <is>
          <t>Transport &amp; Infrastructure (T&amp;I)</t>
        </is>
      </c>
      <c r="S904" s="2" t="inlineStr">
        <is>
          <t>Downer</t>
        </is>
      </c>
      <c r="T904" s="2" t="n">
        <v>100</v>
      </c>
      <c r="W904" s="2" t="inlineStr">
        <is>
          <t>Classification</t>
        </is>
      </c>
      <c r="X904" s="2" t="n">
        <v>-37.0083</v>
      </c>
      <c r="Y904" s="2" t="n">
        <v>174.8705</v>
      </c>
    </row>
    <row r="905">
      <c r="A905" s="2" t="inlineStr">
        <is>
          <t>Downer</t>
        </is>
      </c>
      <c r="B905" s="2" t="inlineStr">
        <is>
          <t>Christchurch Maintenance (FM) - 45002890</t>
        </is>
      </c>
      <c r="C905" s="2" t="inlineStr">
        <is>
          <t>Other</t>
        </is>
      </c>
      <c r="D905" s="2" t="inlineStr">
        <is>
          <t>L9.S.24000259</t>
        </is>
      </c>
      <c r="E905" s="2" t="n">
        <v>2000004704</v>
      </c>
      <c r="H905" s="2" t="inlineStr">
        <is>
          <t>130 Kerrs Road</t>
        </is>
      </c>
      <c r="I905" s="2" t="inlineStr">
        <is>
          <t>Wiri</t>
        </is>
      </c>
      <c r="J905" s="2" t="inlineStr">
        <is>
          <t>Auckland</t>
        </is>
      </c>
      <c r="K905" s="2" t="n">
        <v>2104</v>
      </c>
      <c r="L905" s="2" t="inlineStr">
        <is>
          <t>New Zealand</t>
        </is>
      </c>
      <c r="M905" s="2" t="inlineStr">
        <is>
          <t>Manurewa</t>
        </is>
      </c>
      <c r="N905" s="2" t="inlineStr">
        <is>
          <t>New Zealand</t>
        </is>
      </c>
      <c r="P905" s="2" t="inlineStr">
        <is>
          <t>Operational Control</t>
        </is>
      </c>
      <c r="Q905" s="2" t="inlineStr">
        <is>
          <t>Operational Control</t>
        </is>
      </c>
      <c r="R905" s="2" t="inlineStr">
        <is>
          <t>Social Infra &amp; Citizen Serv (SICS)</t>
        </is>
      </c>
      <c r="S905" s="2" t="inlineStr">
        <is>
          <t>Downer</t>
        </is>
      </c>
      <c r="T905" s="2" t="n">
        <v>100</v>
      </c>
      <c r="W905" s="2" t="inlineStr">
        <is>
          <t>Classification</t>
        </is>
      </c>
      <c r="X905" s="2" t="n">
        <v>-37.0083</v>
      </c>
      <c r="Y905" s="2" t="n">
        <v>174.8705</v>
      </c>
    </row>
    <row r="906">
      <c r="A906" s="2" t="inlineStr">
        <is>
          <t>Downer</t>
        </is>
      </c>
      <c r="B906" s="2" t="inlineStr">
        <is>
          <t>Christchurch Mob/Maint/Build</t>
        </is>
      </c>
      <c r="C906" s="2" t="inlineStr">
        <is>
          <t>Other</t>
        </is>
      </c>
      <c r="D906" s="2" t="inlineStr">
        <is>
          <t>L9.DNZ.810.10.248</t>
        </is>
      </c>
      <c r="E906" s="2" t="n">
        <v>10248</v>
      </c>
      <c r="G906" s="2" t="n">
        <v>10.248</v>
      </c>
      <c r="H906" s="2" t="inlineStr">
        <is>
          <t>130 Kerrs Road</t>
        </is>
      </c>
      <c r="I906" s="2" t="inlineStr">
        <is>
          <t>Wiri</t>
        </is>
      </c>
      <c r="J906" s="2" t="inlineStr">
        <is>
          <t>Auckland</t>
        </is>
      </c>
      <c r="K906" s="2" t="n">
        <v>2104</v>
      </c>
      <c r="L906" s="2" t="inlineStr">
        <is>
          <t>New Zealand</t>
        </is>
      </c>
      <c r="M906" s="2" t="inlineStr">
        <is>
          <t>Manurewa</t>
        </is>
      </c>
      <c r="N906" s="2" t="inlineStr">
        <is>
          <t>New Zealand</t>
        </is>
      </c>
      <c r="P906" s="2" t="inlineStr">
        <is>
          <t>Operational Control</t>
        </is>
      </c>
      <c r="Q906" s="2" t="inlineStr">
        <is>
          <t>Operational Control</t>
        </is>
      </c>
      <c r="R906" s="2" t="inlineStr">
        <is>
          <t>Energy and Utilities (EU)</t>
        </is>
      </c>
      <c r="S906" s="2" t="inlineStr">
        <is>
          <t>Downer</t>
        </is>
      </c>
      <c r="T906" s="2" t="n">
        <v>100</v>
      </c>
      <c r="W906" s="2" t="inlineStr">
        <is>
          <t>Classification</t>
        </is>
      </c>
      <c r="X906" s="2" t="n">
        <v>-37.0083</v>
      </c>
      <c r="Y906" s="2" t="n">
        <v>174.8705</v>
      </c>
    </row>
    <row r="907">
      <c r="A907" s="2" t="inlineStr">
        <is>
          <t>Downer</t>
        </is>
      </c>
      <c r="B907" s="2" t="inlineStr">
        <is>
          <t>Christchurch Mob/Maint/Build EU Subcontractors</t>
        </is>
      </c>
      <c r="C907" s="2" t="inlineStr">
        <is>
          <t>Other</t>
        </is>
      </c>
      <c r="D907" s="2" t="inlineStr">
        <is>
          <t>L9.DNZ.810.20568</t>
        </is>
      </c>
      <c r="E907" s="2" t="inlineStr">
        <is>
          <t>L9.DNZ.810.20568</t>
        </is>
      </c>
      <c r="F907" s="2" t="inlineStr">
        <is>
          <t>L9.DNZ.810.20568</t>
        </is>
      </c>
      <c r="M907" s="2" t="inlineStr">
        <is>
          <t>North Ryde</t>
        </is>
      </c>
      <c r="N907" s="2" t="inlineStr">
        <is>
          <t>Australia</t>
        </is>
      </c>
      <c r="P907" s="2" t="inlineStr">
        <is>
          <t>Operational Control</t>
        </is>
      </c>
      <c r="Q907" s="2" t="inlineStr">
        <is>
          <t>Operational Control</t>
        </is>
      </c>
      <c r="R907" s="2" t="inlineStr">
        <is>
          <t>Energy and Utilities (EU)</t>
        </is>
      </c>
      <c r="S907" s="2" t="inlineStr">
        <is>
          <t>Downer</t>
        </is>
      </c>
      <c r="T907" s="2" t="n">
        <v>100</v>
      </c>
      <c r="W907" s="2" t="inlineStr">
        <is>
          <t>Classification</t>
        </is>
      </c>
    </row>
    <row r="908">
      <c r="A908" s="2" t="inlineStr">
        <is>
          <t>Downer</t>
        </is>
      </c>
      <c r="B908" s="2" t="inlineStr">
        <is>
          <t>Christchurch Operations 45003019</t>
        </is>
      </c>
      <c r="C908" s="2" t="inlineStr">
        <is>
          <t>Other</t>
        </is>
      </c>
      <c r="D908" s="2" t="inlineStr">
        <is>
          <t>L9.S.26016955</t>
        </is>
      </c>
      <c r="E908" s="2" t="n">
        <v>2000004652</v>
      </c>
      <c r="M908" s="2" t="inlineStr">
        <is>
          <t>Manurewa</t>
        </is>
      </c>
      <c r="N908" s="2" t="inlineStr">
        <is>
          <t>New Zealand</t>
        </is>
      </c>
      <c r="P908" s="2" t="inlineStr">
        <is>
          <t>Operational Control</t>
        </is>
      </c>
      <c r="Q908" s="2" t="inlineStr">
        <is>
          <t>Operational Control</t>
        </is>
      </c>
      <c r="R908" s="2" t="inlineStr">
        <is>
          <t>Social Infra &amp; Citizen Serv (SICS)</t>
        </is>
      </c>
      <c r="S908" s="2" t="inlineStr">
        <is>
          <t>Downer</t>
        </is>
      </c>
      <c r="T908" s="2" t="n">
        <v>100</v>
      </c>
      <c r="W908" s="2" t="inlineStr">
        <is>
          <t>Classification</t>
        </is>
      </c>
    </row>
    <row r="909">
      <c r="A909" s="2" t="inlineStr">
        <is>
          <t>Downer</t>
        </is>
      </c>
      <c r="B909" s="2" t="inlineStr">
        <is>
          <t>Christchurch Vodafone OSP</t>
        </is>
      </c>
      <c r="C909" s="2" t="inlineStr">
        <is>
          <t>Other</t>
        </is>
      </c>
      <c r="D909" s="2" t="inlineStr">
        <is>
          <t>L9.DNZ.810.10.182</t>
        </is>
      </c>
      <c r="E909" s="2" t="n">
        <v>10182</v>
      </c>
      <c r="G909" s="2" t="n">
        <v>10.182</v>
      </c>
      <c r="H909" s="2" t="inlineStr">
        <is>
          <t>130 Kerrs Road</t>
        </is>
      </c>
      <c r="I909" s="2" t="inlineStr">
        <is>
          <t>Wiri</t>
        </is>
      </c>
      <c r="J909" s="2" t="inlineStr">
        <is>
          <t>Auckland</t>
        </is>
      </c>
      <c r="K909" s="2" t="n">
        <v>2104</v>
      </c>
      <c r="L909" s="2" t="inlineStr">
        <is>
          <t>New Zealand</t>
        </is>
      </c>
      <c r="M909" s="2" t="inlineStr">
        <is>
          <t>Manurewa</t>
        </is>
      </c>
      <c r="N909" s="2" t="inlineStr">
        <is>
          <t>New Zealand</t>
        </is>
      </c>
      <c r="P909" s="2" t="inlineStr">
        <is>
          <t>Operational Control</t>
        </is>
      </c>
      <c r="Q909" s="2" t="inlineStr">
        <is>
          <t>Operational Control</t>
        </is>
      </c>
      <c r="R909" s="2" t="inlineStr">
        <is>
          <t>Energy and Utilities (EU)</t>
        </is>
      </c>
      <c r="S909" s="2" t="inlineStr">
        <is>
          <t>Downer</t>
        </is>
      </c>
      <c r="T909" s="2" t="n">
        <v>100</v>
      </c>
      <c r="W909" s="2" t="inlineStr">
        <is>
          <t>Classification</t>
        </is>
      </c>
      <c r="X909" s="2" t="n">
        <v>-37.0083</v>
      </c>
      <c r="Y909" s="2" t="n">
        <v>174.8705</v>
      </c>
    </row>
    <row r="910">
      <c r="A910" s="2" t="inlineStr">
        <is>
          <t>Downer</t>
        </is>
      </c>
      <c r="B910" s="2" t="inlineStr">
        <is>
          <t>City of Melton Roads and Drainage Asset Maintenanc</t>
        </is>
      </c>
      <c r="C910" s="2" t="inlineStr">
        <is>
          <t>Depot</t>
        </is>
      </c>
      <c r="D910" s="2" t="inlineStr">
        <is>
          <t>L9.J.170232</t>
        </is>
      </c>
      <c r="E910" s="2" t="inlineStr">
        <is>
          <t>L9.J.170232</t>
        </is>
      </c>
      <c r="M910" s="2" t="inlineStr">
        <is>
          <t>Victoria</t>
        </is>
      </c>
      <c r="N910" s="2" t="inlineStr">
        <is>
          <t>Australia</t>
        </is>
      </c>
      <c r="P910" s="2" t="inlineStr">
        <is>
          <t>Operational Control</t>
        </is>
      </c>
      <c r="Q910" s="2" t="inlineStr">
        <is>
          <t>Operational Control</t>
        </is>
      </c>
      <c r="R910" s="2" t="inlineStr">
        <is>
          <t>Transport &amp; Infrastructure (T&amp;I)</t>
        </is>
      </c>
      <c r="S910" s="2" t="inlineStr">
        <is>
          <t>Downer</t>
        </is>
      </c>
      <c r="T910" s="2" t="n">
        <v>100</v>
      </c>
      <c r="W910" s="2" t="inlineStr">
        <is>
          <t>Classification</t>
        </is>
      </c>
    </row>
    <row r="911">
      <c r="A911" s="2" t="inlineStr">
        <is>
          <t>Downer</t>
        </is>
      </c>
      <c r="B911" s="2" t="inlineStr">
        <is>
          <t>CLIFTON COURT STREETSCAPE</t>
        </is>
      </c>
      <c r="C911" s="2" t="inlineStr">
        <is>
          <t>Other</t>
        </is>
      </c>
      <c r="D911" s="2" t="inlineStr">
        <is>
          <t>L9.DNZJ.553348</t>
        </is>
      </c>
      <c r="E911" s="2" t="n">
        <v>553348</v>
      </c>
      <c r="F911" s="2" t="n">
        <v>553348</v>
      </c>
      <c r="M911" s="2" t="inlineStr">
        <is>
          <t>Auckland</t>
        </is>
      </c>
      <c r="N911" s="2" t="inlineStr">
        <is>
          <t>New Zealand</t>
        </is>
      </c>
      <c r="P911" s="2" t="inlineStr">
        <is>
          <t>Operational Control</t>
        </is>
      </c>
      <c r="Q911" s="2" t="inlineStr">
        <is>
          <t>Operational Control</t>
        </is>
      </c>
      <c r="R911" s="2" t="inlineStr">
        <is>
          <t>Transport &amp; Infrastructure (T&amp;I)</t>
        </is>
      </c>
      <c r="S911" s="2" t="inlineStr">
        <is>
          <t>Downer</t>
        </is>
      </c>
      <c r="T911" s="2" t="n">
        <v>100</v>
      </c>
      <c r="W911" s="2" t="inlineStr">
        <is>
          <t>Classification</t>
        </is>
      </c>
    </row>
    <row r="912">
      <c r="A912" s="2" t="inlineStr">
        <is>
          <t>Downer</t>
        </is>
      </c>
      <c r="B912" s="2" t="inlineStr">
        <is>
          <t>CLOSED</t>
        </is>
      </c>
      <c r="C912" s="2" t="inlineStr">
        <is>
          <t>Other</t>
        </is>
      </c>
      <c r="M912" s="2" t="inlineStr">
        <is>
          <t>New South Wales</t>
        </is>
      </c>
      <c r="N912" s="2" t="inlineStr">
        <is>
          <t>Australia</t>
        </is>
      </c>
      <c r="P912" s="2" t="inlineStr">
        <is>
          <t>Operational Control</t>
        </is>
      </c>
      <c r="Q912" s="2" t="inlineStr">
        <is>
          <t>Operational Control</t>
        </is>
      </c>
      <c r="R912" s="2" t="inlineStr">
        <is>
          <t>Asset &amp; Development Services (Baseline)</t>
        </is>
      </c>
      <c r="S912" s="2" t="inlineStr">
        <is>
          <t>Downer</t>
        </is>
      </c>
      <c r="T912" s="2" t="n">
        <v>100</v>
      </c>
      <c r="W912" s="2" t="inlineStr">
        <is>
          <t>Classification</t>
        </is>
      </c>
    </row>
    <row r="913">
      <c r="A913" s="2" t="inlineStr">
        <is>
          <t>Downer</t>
        </is>
      </c>
      <c r="B913" s="2" t="inlineStr">
        <is>
          <t>CLOSED_NZ_Tuvalu</t>
        </is>
      </c>
      <c r="C913" s="2" t="inlineStr">
        <is>
          <t>Airport</t>
        </is>
      </c>
      <c r="D913" s="2" t="inlineStr">
        <is>
          <t>L9.DNZJ.300208</t>
        </is>
      </c>
      <c r="E913" s="2" t="n">
        <v>300208</v>
      </c>
      <c r="G913" s="2" t="inlineStr">
        <is>
          <t>TI-NZT-300208 - Pacific Recharge - Tuvalu</t>
        </is>
      </c>
      <c r="M913" s="2" t="inlineStr">
        <is>
          <t>Funafuti</t>
        </is>
      </c>
      <c r="N913" s="2" t="inlineStr">
        <is>
          <t>Tuvalu</t>
        </is>
      </c>
      <c r="P913" s="2" t="inlineStr">
        <is>
          <t>Operational Control</t>
        </is>
      </c>
      <c r="Q913" s="2" t="inlineStr">
        <is>
          <t>Operational Control</t>
        </is>
      </c>
      <c r="R913" s="2" t="inlineStr">
        <is>
          <t>Transport &amp; Infrastructure (T&amp;I)</t>
        </is>
      </c>
      <c r="S913" s="2" t="inlineStr">
        <is>
          <t>Downer</t>
        </is>
      </c>
      <c r="T913" s="2" t="n">
        <v>100</v>
      </c>
      <c r="W913" s="2" t="inlineStr">
        <is>
          <t>Classification</t>
        </is>
      </c>
      <c r="AB913" s="11" t="n">
        <v>45870</v>
      </c>
    </row>
    <row r="914">
      <c r="A914" s="2" t="inlineStr">
        <is>
          <t>Downer</t>
        </is>
      </c>
      <c r="B914" s="2" t="inlineStr">
        <is>
          <t>CNOC Rehabs</t>
        </is>
      </c>
      <c r="C914" s="2" t="inlineStr">
        <is>
          <t>Other</t>
        </is>
      </c>
      <c r="D914" s="2" t="inlineStr">
        <is>
          <t>L9.DNZJ.550728</t>
        </is>
      </c>
      <c r="E914" s="2" t="n">
        <v>550728</v>
      </c>
      <c r="M914" s="2" t="inlineStr">
        <is>
          <t>Auckland</t>
        </is>
      </c>
      <c r="N914" s="2" t="inlineStr">
        <is>
          <t>New Zealand</t>
        </is>
      </c>
      <c r="P914" s="2" t="inlineStr">
        <is>
          <t>Operational Control</t>
        </is>
      </c>
      <c r="Q914" s="2" t="inlineStr">
        <is>
          <t>Operational Control</t>
        </is>
      </c>
      <c r="R914" s="2" t="inlineStr">
        <is>
          <t>Transport &amp; Infrastructure (T&amp;I)</t>
        </is>
      </c>
      <c r="S914" s="2" t="inlineStr">
        <is>
          <t>Downer</t>
        </is>
      </c>
      <c r="T914" s="2" t="n">
        <v>100</v>
      </c>
      <c r="W914" s="2" t="inlineStr">
        <is>
          <t>Classification</t>
        </is>
      </c>
    </row>
    <row r="915">
      <c r="A915" s="2" t="inlineStr">
        <is>
          <t>Downer</t>
        </is>
      </c>
      <c r="B915" s="2" t="inlineStr">
        <is>
          <t>Collins St - IS-Roads Head Office</t>
        </is>
      </c>
      <c r="C915" s="2" t="inlineStr">
        <is>
          <t>Head Office</t>
        </is>
      </c>
      <c r="D915" s="2" t="inlineStr">
        <is>
          <t>L9.J.170228</t>
        </is>
      </c>
      <c r="E915" s="2" t="n">
        <v>8011</v>
      </c>
      <c r="G915" s="2" t="inlineStr">
        <is>
          <t>Consolidation of 303 Collins St &amp; Port Melbourne offices from 22/05/2017</t>
        </is>
      </c>
      <c r="H915" s="2" t="inlineStr">
        <is>
          <t>567 Collins Street</t>
        </is>
      </c>
      <c r="I915" s="2" t="inlineStr">
        <is>
          <t>Melbourne</t>
        </is>
      </c>
      <c r="J915" s="2" t="inlineStr">
        <is>
          <t>VIC</t>
        </is>
      </c>
      <c r="K915" s="2" t="n">
        <v>3000</v>
      </c>
      <c r="L915" s="2" t="inlineStr">
        <is>
          <t>Australia</t>
        </is>
      </c>
      <c r="M915" s="2" t="inlineStr">
        <is>
          <t>Victoria</t>
        </is>
      </c>
      <c r="N915" s="2" t="inlineStr">
        <is>
          <t>Australia</t>
        </is>
      </c>
      <c r="P915" s="2" t="inlineStr">
        <is>
          <t>Operational Control</t>
        </is>
      </c>
      <c r="Q915" s="2" t="inlineStr">
        <is>
          <t>Operational Control</t>
        </is>
      </c>
      <c r="R915" s="2" t="inlineStr">
        <is>
          <t>Transport &amp; Infrastructure (T&amp;I)</t>
        </is>
      </c>
      <c r="S915" s="2" t="inlineStr">
        <is>
          <t>Downer</t>
        </is>
      </c>
      <c r="T915" s="2" t="n">
        <v>100</v>
      </c>
      <c r="W915" s="2" t="inlineStr">
        <is>
          <t>Classification</t>
        </is>
      </c>
      <c r="X915" s="2" t="n">
        <v>-37.819</v>
      </c>
      <c r="Y915" s="2" t="n">
        <v>144.956</v>
      </c>
      <c r="Z915" s="2" t="n">
        <v>692</v>
      </c>
      <c r="AA915" s="11" t="n">
        <v>42877</v>
      </c>
    </row>
    <row r="916">
      <c r="A916" s="2" t="inlineStr">
        <is>
          <t>Downer</t>
        </is>
      </c>
      <c r="B916" s="2" t="inlineStr">
        <is>
          <t>Commercial</t>
        </is>
      </c>
      <c r="C916" s="2" t="inlineStr">
        <is>
          <t>Other</t>
        </is>
      </c>
      <c r="D916" s="2" t="inlineStr">
        <is>
          <t>L9.DNZJ.63930</t>
        </is>
      </c>
      <c r="E916" s="2" t="n">
        <v>63930</v>
      </c>
      <c r="M916" s="2" t="inlineStr">
        <is>
          <t>Auckland</t>
        </is>
      </c>
      <c r="N916" s="2" t="inlineStr">
        <is>
          <t>New Zealand</t>
        </is>
      </c>
      <c r="P916" s="2" t="inlineStr">
        <is>
          <t>Operational Control</t>
        </is>
      </c>
      <c r="Q916" s="2" t="inlineStr">
        <is>
          <t>Operational Control</t>
        </is>
      </c>
      <c r="R916" s="2" t="inlineStr">
        <is>
          <t>Energy and Utilities (EU)</t>
        </is>
      </c>
      <c r="S916" s="2" t="inlineStr">
        <is>
          <t>Downer</t>
        </is>
      </c>
      <c r="T916" s="2" t="n">
        <v>100</v>
      </c>
      <c r="W916" s="2" t="inlineStr">
        <is>
          <t>Classification</t>
        </is>
      </c>
    </row>
    <row r="917">
      <c r="A917" s="2" t="inlineStr">
        <is>
          <t>Downer</t>
        </is>
      </c>
      <c r="B917" s="2" t="inlineStr">
        <is>
          <t>Commercial &amp; Finance</t>
        </is>
      </c>
      <c r="C917" s="2" t="inlineStr">
        <is>
          <t>Other</t>
        </is>
      </c>
      <c r="D917" s="2" t="inlineStr">
        <is>
          <t>L9.DNZJ.55908</t>
        </is>
      </c>
      <c r="E917" s="2" t="n">
        <v>55908</v>
      </c>
      <c r="M917" s="2" t="inlineStr">
        <is>
          <t>Manurewa</t>
        </is>
      </c>
      <c r="N917" s="2" t="inlineStr">
        <is>
          <t>New Zealand</t>
        </is>
      </c>
      <c r="P917" s="2" t="inlineStr">
        <is>
          <t>Operational Control</t>
        </is>
      </c>
      <c r="Q917" s="2" t="inlineStr">
        <is>
          <t>Operational Control</t>
        </is>
      </c>
      <c r="R917" s="2" t="inlineStr">
        <is>
          <t>Transport &amp; Infrastructure (T&amp;I)</t>
        </is>
      </c>
      <c r="S917" s="2" t="inlineStr">
        <is>
          <t>Downer</t>
        </is>
      </c>
      <c r="T917" s="2" t="n">
        <v>100</v>
      </c>
      <c r="W917" s="2" t="inlineStr">
        <is>
          <t>Classification</t>
        </is>
      </c>
    </row>
    <row r="918">
      <c r="A918" s="2" t="inlineStr">
        <is>
          <t>Downer</t>
        </is>
      </c>
      <c r="B918" s="2" t="inlineStr">
        <is>
          <t>Commercial and Risk</t>
        </is>
      </c>
      <c r="C918" s="2" t="inlineStr">
        <is>
          <t>Other</t>
        </is>
      </c>
      <c r="D918" s="2" t="inlineStr">
        <is>
          <t>L9.DNZJ.56904</t>
        </is>
      </c>
      <c r="E918" s="2" t="n">
        <v>56904</v>
      </c>
      <c r="M918" s="2" t="inlineStr">
        <is>
          <t>Auckland</t>
        </is>
      </c>
      <c r="N918" s="2" t="inlineStr">
        <is>
          <t>New Zealand</t>
        </is>
      </c>
      <c r="P918" s="2" t="inlineStr">
        <is>
          <t>Operational Control</t>
        </is>
      </c>
      <c r="Q918" s="2" t="inlineStr">
        <is>
          <t>Operational Control</t>
        </is>
      </c>
      <c r="R918" s="2" t="inlineStr">
        <is>
          <t>Energy and Utilities (EU)</t>
        </is>
      </c>
      <c r="S918" s="2" t="inlineStr">
        <is>
          <t>Downer</t>
        </is>
      </c>
      <c r="T918" s="2" t="n">
        <v>100</v>
      </c>
      <c r="W918" s="2" t="inlineStr">
        <is>
          <t>Classification</t>
        </is>
      </c>
    </row>
    <row r="919">
      <c r="A919" s="2" t="inlineStr">
        <is>
          <t>Downer</t>
        </is>
      </c>
      <c r="B919" s="2" t="inlineStr">
        <is>
          <t>Commercial Solar EU Subcontractors</t>
        </is>
      </c>
      <c r="C919" s="2" t="inlineStr">
        <is>
          <t>Other</t>
        </is>
      </c>
      <c r="D919" s="2" t="inlineStr">
        <is>
          <t>L9.J.50129994</t>
        </is>
      </c>
      <c r="E919" s="2" t="inlineStr">
        <is>
          <t>L9.J.50129994</t>
        </is>
      </c>
      <c r="M919" s="2" t="inlineStr">
        <is>
          <t>North Ryde</t>
        </is>
      </c>
      <c r="N919" s="2" t="inlineStr">
        <is>
          <t>Australia</t>
        </is>
      </c>
      <c r="P919" s="2" t="inlineStr">
        <is>
          <t>Operational Control</t>
        </is>
      </c>
      <c r="Q919" s="2" t="inlineStr">
        <is>
          <t>Operational Control</t>
        </is>
      </c>
      <c r="R919" s="2" t="inlineStr">
        <is>
          <t>Energy and Utilities (EU)</t>
        </is>
      </c>
      <c r="S919" s="2" t="inlineStr">
        <is>
          <t>Downer</t>
        </is>
      </c>
      <c r="T919" s="2" t="n">
        <v>100</v>
      </c>
      <c r="W919" s="2" t="inlineStr">
        <is>
          <t>Classification</t>
        </is>
      </c>
    </row>
    <row r="920">
      <c r="A920" s="2" t="inlineStr">
        <is>
          <t>Downer</t>
        </is>
      </c>
      <c r="B920" s="2" t="inlineStr">
        <is>
          <t>Communications</t>
        </is>
      </c>
      <c r="C920" s="2" t="inlineStr">
        <is>
          <t>Other</t>
        </is>
      </c>
      <c r="D920" s="2" t="inlineStr">
        <is>
          <t>L9.DNZJ.9032</t>
        </is>
      </c>
      <c r="E920" s="2" t="n">
        <v>9032</v>
      </c>
      <c r="H920" s="2" t="inlineStr">
        <is>
          <t>130 Kerrs Road</t>
        </is>
      </c>
      <c r="I920" s="2" t="inlineStr">
        <is>
          <t>Wiri</t>
        </is>
      </c>
      <c r="J920" s="2" t="inlineStr">
        <is>
          <t>Auckland</t>
        </is>
      </c>
      <c r="K920" s="2" t="n">
        <v>2104</v>
      </c>
      <c r="L920" s="2" t="inlineStr">
        <is>
          <t>New Zealand</t>
        </is>
      </c>
      <c r="M920" s="2" t="inlineStr">
        <is>
          <t>Manurewa</t>
        </is>
      </c>
      <c r="N920" s="2" t="inlineStr">
        <is>
          <t>New Zealand</t>
        </is>
      </c>
      <c r="P920" s="2" t="inlineStr">
        <is>
          <t>Operational Control</t>
        </is>
      </c>
      <c r="Q920" s="2" t="inlineStr">
        <is>
          <t>Operational Control</t>
        </is>
      </c>
      <c r="R920" s="2" t="inlineStr">
        <is>
          <t>Corporate</t>
        </is>
      </c>
      <c r="S920" s="2" t="inlineStr">
        <is>
          <t>Downer</t>
        </is>
      </c>
      <c r="T920" s="2" t="n">
        <v>100</v>
      </c>
      <c r="W920" s="2" t="inlineStr">
        <is>
          <t>Classification</t>
        </is>
      </c>
      <c r="X920" s="2" t="n">
        <v>-37.0083</v>
      </c>
      <c r="Y920" s="2" t="n">
        <v>174.8705</v>
      </c>
    </row>
    <row r="921">
      <c r="A921" s="2" t="inlineStr">
        <is>
          <t>Downer</t>
        </is>
      </c>
      <c r="B921" s="2" t="inlineStr">
        <is>
          <t>Compliance Management</t>
        </is>
      </c>
      <c r="C921" s="2" t="inlineStr">
        <is>
          <t>Other</t>
        </is>
      </c>
      <c r="D921" s="2" t="inlineStr">
        <is>
          <t>L9.DNZ.810.10.129</t>
        </is>
      </c>
      <c r="E921" s="2" t="n">
        <v>10129</v>
      </c>
      <c r="G921" s="2" t="n">
        <v>10.129</v>
      </c>
      <c r="H921" s="2" t="inlineStr">
        <is>
          <t>130 Kerrs Road</t>
        </is>
      </c>
      <c r="I921" s="2" t="inlineStr">
        <is>
          <t>Wiri</t>
        </is>
      </c>
      <c r="J921" s="2" t="inlineStr">
        <is>
          <t>Auckland</t>
        </is>
      </c>
      <c r="K921" s="2" t="n">
        <v>2104</v>
      </c>
      <c r="L921" s="2" t="inlineStr">
        <is>
          <t>New Zealand</t>
        </is>
      </c>
      <c r="M921" s="2" t="inlineStr">
        <is>
          <t>Manurewa</t>
        </is>
      </c>
      <c r="N921" s="2" t="inlineStr">
        <is>
          <t>New Zealand</t>
        </is>
      </c>
      <c r="P921" s="2" t="inlineStr">
        <is>
          <t>Operational Control</t>
        </is>
      </c>
      <c r="Q921" s="2" t="inlineStr">
        <is>
          <t>Operational Control</t>
        </is>
      </c>
      <c r="R921" s="2" t="inlineStr">
        <is>
          <t>Social Infra &amp; Citizen Serv (SICS)</t>
        </is>
      </c>
      <c r="S921" s="2" t="inlineStr">
        <is>
          <t>Downer</t>
        </is>
      </c>
      <c r="T921" s="2" t="n">
        <v>100</v>
      </c>
      <c r="W921" s="2" t="inlineStr">
        <is>
          <t>Classification</t>
        </is>
      </c>
      <c r="X921" s="2" t="n">
        <v>-37.0083</v>
      </c>
      <c r="Y921" s="2" t="n">
        <v>174.8705</v>
      </c>
    </row>
    <row r="922">
      <c r="A922" s="2" t="inlineStr">
        <is>
          <t>Downer</t>
        </is>
      </c>
      <c r="B922" s="2" t="inlineStr">
        <is>
          <t>Connect Blenheim EU Subcontractors</t>
        </is>
      </c>
      <c r="C922" s="2" t="inlineStr">
        <is>
          <t>Other</t>
        </is>
      </c>
      <c r="D922" s="2" t="inlineStr">
        <is>
          <t>L9.DNZ.810.20920</t>
        </is>
      </c>
      <c r="E922" s="2" t="inlineStr">
        <is>
          <t>L9.DNZ.810.20920</t>
        </is>
      </c>
      <c r="M922" s="2" t="inlineStr">
        <is>
          <t>Auckland City</t>
        </is>
      </c>
      <c r="N922" s="2" t="inlineStr">
        <is>
          <t>New Zealand</t>
        </is>
      </c>
      <c r="P922" s="2" t="inlineStr">
        <is>
          <t>Operational Control</t>
        </is>
      </c>
      <c r="Q922" s="2" t="inlineStr">
        <is>
          <t>Operational Control</t>
        </is>
      </c>
      <c r="R922" s="2" t="inlineStr">
        <is>
          <t>Energy and Utilities (EU)</t>
        </is>
      </c>
      <c r="S922" s="2" t="inlineStr">
        <is>
          <t>Downer</t>
        </is>
      </c>
      <c r="T922" s="2" t="n">
        <v>100</v>
      </c>
      <c r="W922" s="2" t="inlineStr">
        <is>
          <t>Classification</t>
        </is>
      </c>
    </row>
    <row r="923">
      <c r="A923" s="2" t="inlineStr">
        <is>
          <t>Downer</t>
        </is>
      </c>
      <c r="B923" s="2" t="inlineStr">
        <is>
          <t>Connect Canterbury EU Subcontractors</t>
        </is>
      </c>
      <c r="C923" s="2" t="inlineStr">
        <is>
          <t>Other</t>
        </is>
      </c>
      <c r="D923" s="2" t="inlineStr">
        <is>
          <t>L9.DNZ.810.20918</t>
        </is>
      </c>
      <c r="E923" s="2" t="inlineStr">
        <is>
          <t>L9.DNZ.810.20918</t>
        </is>
      </c>
      <c r="M923" s="2" t="inlineStr">
        <is>
          <t>Auckland City</t>
        </is>
      </c>
      <c r="N923" s="2" t="inlineStr">
        <is>
          <t>New Zealand</t>
        </is>
      </c>
      <c r="P923" s="2" t="inlineStr">
        <is>
          <t>Operational Control</t>
        </is>
      </c>
      <c r="Q923" s="2" t="inlineStr">
        <is>
          <t>Operational Control</t>
        </is>
      </c>
      <c r="R923" s="2" t="inlineStr">
        <is>
          <t>Energy and Utilities (EU)</t>
        </is>
      </c>
      <c r="S923" s="2" t="inlineStr">
        <is>
          <t>Downer</t>
        </is>
      </c>
      <c r="T923" s="2" t="n">
        <v>100</v>
      </c>
      <c r="W923" s="2" t="inlineStr">
        <is>
          <t>Classification</t>
        </is>
      </c>
    </row>
    <row r="924">
      <c r="A924" s="2" t="inlineStr">
        <is>
          <t>Downer</t>
        </is>
      </c>
      <c r="B924" s="2" t="inlineStr">
        <is>
          <t>Connect Canterbury V2 EU Subcontractors</t>
        </is>
      </c>
      <c r="C924" s="2" t="inlineStr">
        <is>
          <t>Other</t>
        </is>
      </c>
      <c r="D924" s="2" t="inlineStr">
        <is>
          <t>L9.DNZJ.10187</t>
        </is>
      </c>
      <c r="E924" s="2" t="inlineStr">
        <is>
          <t>L9.DNZJ.10187</t>
        </is>
      </c>
      <c r="F924" s="2" t="inlineStr">
        <is>
          <t>L9.DNZJ.10187</t>
        </is>
      </c>
      <c r="M924" s="2" t="inlineStr">
        <is>
          <t>Auckland</t>
        </is>
      </c>
      <c r="N924" s="2" t="inlineStr">
        <is>
          <t>New Zealand</t>
        </is>
      </c>
      <c r="P924" s="2" t="inlineStr">
        <is>
          <t>Operational Control</t>
        </is>
      </c>
      <c r="Q924" s="2" t="inlineStr">
        <is>
          <t>Operational Control</t>
        </is>
      </c>
      <c r="R924" s="2" t="inlineStr">
        <is>
          <t>Energy and Utilities (EU)</t>
        </is>
      </c>
      <c r="S924" s="2" t="inlineStr">
        <is>
          <t>Downer</t>
        </is>
      </c>
      <c r="T924" s="2" t="n">
        <v>100</v>
      </c>
      <c r="W924" s="2" t="inlineStr">
        <is>
          <t>Classification</t>
        </is>
      </c>
    </row>
    <row r="925">
      <c r="A925" s="2" t="inlineStr">
        <is>
          <t>Downer</t>
        </is>
      </c>
      <c r="B925" s="2" t="inlineStr">
        <is>
          <t>Connect Central Otago/Lakes v2 EU Subcontractors</t>
        </is>
      </c>
      <c r="C925" s="2" t="inlineStr">
        <is>
          <t>Other</t>
        </is>
      </c>
      <c r="D925" s="2" t="inlineStr">
        <is>
          <t>L9.DNZ.810.20993</t>
        </is>
      </c>
      <c r="E925" s="2" t="inlineStr">
        <is>
          <t>L9.DNZ.810.20993</t>
        </is>
      </c>
      <c r="M925" s="2" t="inlineStr">
        <is>
          <t>Auckland City</t>
        </is>
      </c>
      <c r="N925" s="2" t="inlineStr">
        <is>
          <t>New Zealand</t>
        </is>
      </c>
      <c r="P925" s="2" t="inlineStr">
        <is>
          <t>Operational Control</t>
        </is>
      </c>
      <c r="Q925" s="2" t="inlineStr">
        <is>
          <t>Operational Control</t>
        </is>
      </c>
      <c r="R925" s="2" t="inlineStr">
        <is>
          <t>Energy and Utilities (EU)</t>
        </is>
      </c>
      <c r="S925" s="2" t="inlineStr">
        <is>
          <t>Downer</t>
        </is>
      </c>
      <c r="T925" s="2" t="n">
        <v>100</v>
      </c>
      <c r="W925" s="2" t="inlineStr">
        <is>
          <t>Classification</t>
        </is>
      </c>
    </row>
    <row r="926">
      <c r="A926" s="2" t="inlineStr">
        <is>
          <t>Downer</t>
        </is>
      </c>
      <c r="B926" s="2" t="inlineStr">
        <is>
          <t>Connect CSA01 MDU/ROW Build EU Subcontractors</t>
        </is>
      </c>
      <c r="C926" s="2" t="inlineStr">
        <is>
          <t>Other</t>
        </is>
      </c>
      <c r="D926" s="2" t="inlineStr">
        <is>
          <t>L9.DNZ.810.20974</t>
        </is>
      </c>
      <c r="E926" s="2" t="inlineStr">
        <is>
          <t>L9.DNZ.810.20974</t>
        </is>
      </c>
      <c r="M926" s="2" t="inlineStr">
        <is>
          <t>Auckland City</t>
        </is>
      </c>
      <c r="N926" s="2" t="inlineStr">
        <is>
          <t>New Zealand</t>
        </is>
      </c>
      <c r="P926" s="2" t="inlineStr">
        <is>
          <t>Operational Control</t>
        </is>
      </c>
      <c r="Q926" s="2" t="inlineStr">
        <is>
          <t>Operational Control</t>
        </is>
      </c>
      <c r="R926" s="2" t="inlineStr">
        <is>
          <t>Energy and Utilities (EU)</t>
        </is>
      </c>
      <c r="S926" s="2" t="inlineStr">
        <is>
          <t>Downer</t>
        </is>
      </c>
      <c r="T926" s="2" t="n">
        <v>100</v>
      </c>
      <c r="W926" s="2" t="inlineStr">
        <is>
          <t>Classification</t>
        </is>
      </c>
    </row>
    <row r="927">
      <c r="A927" s="2" t="inlineStr">
        <is>
          <t>Downer</t>
        </is>
      </c>
      <c r="B927" s="2" t="inlineStr">
        <is>
          <t>Connect Dunedin v2 EU Subcontractors</t>
        </is>
      </c>
      <c r="C927" s="2" t="inlineStr">
        <is>
          <t>Other</t>
        </is>
      </c>
      <c r="D927" s="2" t="inlineStr">
        <is>
          <t>L9.DNZ.810.10.225</t>
        </is>
      </c>
      <c r="E927" s="2" t="inlineStr">
        <is>
          <t>L9.DNZ.810.10.225</t>
        </is>
      </c>
      <c r="F927" s="2" t="inlineStr">
        <is>
          <t>L9.DNZ.810.10.225</t>
        </is>
      </c>
      <c r="M927" s="2" t="inlineStr">
        <is>
          <t>Auckland</t>
        </is>
      </c>
      <c r="N927" s="2" t="inlineStr">
        <is>
          <t>New Zealand</t>
        </is>
      </c>
      <c r="P927" s="2" t="inlineStr">
        <is>
          <t>Operational Control</t>
        </is>
      </c>
      <c r="Q927" s="2" t="inlineStr">
        <is>
          <t>Operational Control</t>
        </is>
      </c>
      <c r="R927" s="2" t="inlineStr">
        <is>
          <t>Energy and Utilities (EU)</t>
        </is>
      </c>
      <c r="S927" s="2" t="inlineStr">
        <is>
          <t>Downer</t>
        </is>
      </c>
      <c r="T927" s="2" t="n">
        <v>100</v>
      </c>
      <c r="W927" s="2" t="inlineStr">
        <is>
          <t>Classification</t>
        </is>
      </c>
    </row>
    <row r="928">
      <c r="A928" s="2" t="inlineStr">
        <is>
          <t>Downer</t>
        </is>
      </c>
      <c r="B928" s="2" t="inlineStr">
        <is>
          <t>Connect Invercargill EU Subcontractors</t>
        </is>
      </c>
      <c r="C928" s="2" t="inlineStr">
        <is>
          <t>Other</t>
        </is>
      </c>
      <c r="D928" s="2" t="inlineStr">
        <is>
          <t>L9.DNZ.810.20914</t>
        </is>
      </c>
      <c r="E928" s="2" t="inlineStr">
        <is>
          <t>L9.DNZ.810.20914</t>
        </is>
      </c>
      <c r="M928" s="2" t="inlineStr">
        <is>
          <t>Auckland City</t>
        </is>
      </c>
      <c r="N928" s="2" t="inlineStr">
        <is>
          <t>New Zealand</t>
        </is>
      </c>
      <c r="P928" s="2" t="inlineStr">
        <is>
          <t>Operational Control</t>
        </is>
      </c>
      <c r="Q928" s="2" t="inlineStr">
        <is>
          <t>Operational Control</t>
        </is>
      </c>
      <c r="R928" s="2" t="inlineStr">
        <is>
          <t>Energy and Utilities (EU)</t>
        </is>
      </c>
      <c r="S928" s="2" t="inlineStr">
        <is>
          <t>Downer</t>
        </is>
      </c>
      <c r="T928" s="2" t="n">
        <v>100</v>
      </c>
      <c r="W928" s="2" t="inlineStr">
        <is>
          <t>Classification</t>
        </is>
      </c>
    </row>
    <row r="929">
      <c r="A929" s="2" t="inlineStr">
        <is>
          <t>Downer</t>
        </is>
      </c>
      <c r="B929" s="2" t="inlineStr">
        <is>
          <t>Connect Nelson EU Subcontractors</t>
        </is>
      </c>
      <c r="C929" s="2" t="inlineStr">
        <is>
          <t>Other</t>
        </is>
      </c>
      <c r="D929" s="2" t="inlineStr">
        <is>
          <t>L9.DNZ.810.21021</t>
        </is>
      </c>
      <c r="E929" s="2" t="inlineStr">
        <is>
          <t>L9.DNZ.810.21021</t>
        </is>
      </c>
      <c r="M929" s="2" t="inlineStr">
        <is>
          <t>Auckland City</t>
        </is>
      </c>
      <c r="N929" s="2" t="inlineStr">
        <is>
          <t>New Zealand</t>
        </is>
      </c>
      <c r="P929" s="2" t="inlineStr">
        <is>
          <t>Operational Control</t>
        </is>
      </c>
      <c r="Q929" s="2" t="inlineStr">
        <is>
          <t>Operational Control</t>
        </is>
      </c>
      <c r="R929" s="2" t="inlineStr">
        <is>
          <t>Energy and Utilities (EU)</t>
        </is>
      </c>
      <c r="S929" s="2" t="inlineStr">
        <is>
          <t>Downer</t>
        </is>
      </c>
      <c r="T929" s="2" t="n">
        <v>100</v>
      </c>
      <c r="W929" s="2" t="inlineStr">
        <is>
          <t>Classification</t>
        </is>
      </c>
    </row>
    <row r="930">
      <c r="A930" s="2" t="inlineStr">
        <is>
          <t>Downer</t>
        </is>
      </c>
      <c r="B930" s="2" t="inlineStr">
        <is>
          <t>Connect Nelson/ EU Subcontractors</t>
        </is>
      </c>
      <c r="C930" s="2" t="inlineStr">
        <is>
          <t>Other</t>
        </is>
      </c>
      <c r="D930" s="2" t="inlineStr">
        <is>
          <t>L9.DNZJ.10076</t>
        </is>
      </c>
      <c r="E930" s="2" t="inlineStr">
        <is>
          <t>L9.DNZJ.10076</t>
        </is>
      </c>
      <c r="F930" s="2" t="inlineStr">
        <is>
          <t>L9.DNZJ.10076</t>
        </is>
      </c>
      <c r="M930" s="2" t="inlineStr">
        <is>
          <t>Auckland</t>
        </is>
      </c>
      <c r="N930" s="2" t="inlineStr">
        <is>
          <t>New Zealand</t>
        </is>
      </c>
      <c r="P930" s="2" t="inlineStr">
        <is>
          <t>Operational Control</t>
        </is>
      </c>
      <c r="Q930" s="2" t="inlineStr">
        <is>
          <t>Operational Control</t>
        </is>
      </c>
      <c r="R930" s="2" t="inlineStr">
        <is>
          <t>Energy and Utilities (EU)</t>
        </is>
      </c>
      <c r="S930" s="2" t="inlineStr">
        <is>
          <t>Downer</t>
        </is>
      </c>
      <c r="T930" s="2" t="n">
        <v>100</v>
      </c>
      <c r="W930" s="2" t="inlineStr">
        <is>
          <t>Classification</t>
        </is>
      </c>
    </row>
    <row r="931">
      <c r="A931" s="2" t="inlineStr">
        <is>
          <t>Downer</t>
        </is>
      </c>
      <c r="B931" s="2" t="inlineStr">
        <is>
          <t>Connect Nelson/Tasman EU Subcontractors</t>
        </is>
      </c>
      <c r="C931" s="2" t="inlineStr">
        <is>
          <t>Other</t>
        </is>
      </c>
      <c r="D931" s="2" t="inlineStr">
        <is>
          <t>L9.DNZ.810.20919</t>
        </is>
      </c>
      <c r="E931" s="2" t="inlineStr">
        <is>
          <t>L9.DNZ.810.20919</t>
        </is>
      </c>
      <c r="M931" s="2" t="inlineStr">
        <is>
          <t>Auckland City</t>
        </is>
      </c>
      <c r="N931" s="2" t="inlineStr">
        <is>
          <t>New Zealand</t>
        </is>
      </c>
      <c r="P931" s="2" t="inlineStr">
        <is>
          <t>Operational Control</t>
        </is>
      </c>
      <c r="Q931" s="2" t="inlineStr">
        <is>
          <t>Operational Control</t>
        </is>
      </c>
      <c r="R931" s="2" t="inlineStr">
        <is>
          <t>Energy and Utilities (EU)</t>
        </is>
      </c>
      <c r="S931" s="2" t="inlineStr">
        <is>
          <t>Downer</t>
        </is>
      </c>
      <c r="T931" s="2" t="n">
        <v>100</v>
      </c>
      <c r="W931" s="2" t="inlineStr">
        <is>
          <t>Classification</t>
        </is>
      </c>
    </row>
    <row r="932">
      <c r="A932" s="2" t="inlineStr">
        <is>
          <t>Downer</t>
        </is>
      </c>
      <c r="B932" s="2" t="inlineStr">
        <is>
          <t>Connect Timaru V2 EU Subcontractors</t>
        </is>
      </c>
      <c r="C932" s="2" t="inlineStr">
        <is>
          <t>Other</t>
        </is>
      </c>
      <c r="D932" s="2" t="inlineStr">
        <is>
          <t>L9.DNZ.810.21004</t>
        </is>
      </c>
      <c r="E932" s="2" t="inlineStr">
        <is>
          <t>L9.DNZ.810.21004</t>
        </is>
      </c>
      <c r="M932" s="2" t="inlineStr">
        <is>
          <t>Auckland City</t>
        </is>
      </c>
      <c r="N932" s="2" t="inlineStr">
        <is>
          <t>New Zealand</t>
        </is>
      </c>
      <c r="P932" s="2" t="inlineStr">
        <is>
          <t>Operational Control</t>
        </is>
      </c>
      <c r="Q932" s="2" t="inlineStr">
        <is>
          <t>Operational Control</t>
        </is>
      </c>
      <c r="R932" s="2" t="inlineStr">
        <is>
          <t>Energy and Utilities (EU)</t>
        </is>
      </c>
      <c r="S932" s="2" t="inlineStr">
        <is>
          <t>Downer</t>
        </is>
      </c>
      <c r="T932" s="2" t="n">
        <v>100</v>
      </c>
      <c r="W932" s="2" t="inlineStr">
        <is>
          <t>Classification</t>
        </is>
      </c>
    </row>
    <row r="933">
      <c r="A933" s="2" t="inlineStr">
        <is>
          <t>Downer</t>
        </is>
      </c>
      <c r="B933" s="2" t="inlineStr">
        <is>
          <t>Connect West Coast EU Subcontractors</t>
        </is>
      </c>
      <c r="C933" s="2" t="inlineStr">
        <is>
          <t>Other</t>
        </is>
      </c>
      <c r="D933" s="2" t="inlineStr">
        <is>
          <t>L9.DNZ.810.20921</t>
        </is>
      </c>
      <c r="E933" s="2" t="inlineStr">
        <is>
          <t>L9.DNZ.810.20921</t>
        </is>
      </c>
      <c r="M933" s="2" t="inlineStr">
        <is>
          <t>Auckland City</t>
        </is>
      </c>
      <c r="N933" s="2" t="inlineStr">
        <is>
          <t>New Zealand</t>
        </is>
      </c>
      <c r="P933" s="2" t="inlineStr">
        <is>
          <t>Operational Control</t>
        </is>
      </c>
      <c r="Q933" s="2" t="inlineStr">
        <is>
          <t>Operational Control</t>
        </is>
      </c>
      <c r="R933" s="2" t="inlineStr">
        <is>
          <t>Energy and Utilities (EU)</t>
        </is>
      </c>
      <c r="S933" s="2" t="inlineStr">
        <is>
          <t>Downer</t>
        </is>
      </c>
      <c r="T933" s="2" t="n">
        <v>100</v>
      </c>
      <c r="W933" s="2" t="inlineStr">
        <is>
          <t>Classification</t>
        </is>
      </c>
    </row>
    <row r="934">
      <c r="A934" s="2" t="inlineStr">
        <is>
          <t>Downer</t>
        </is>
      </c>
      <c r="B934" s="2" t="inlineStr">
        <is>
          <t>Construct Staff - MMA</t>
        </is>
      </c>
      <c r="C934" s="2" t="inlineStr">
        <is>
          <t>Other</t>
        </is>
      </c>
      <c r="D934" s="2" t="inlineStr">
        <is>
          <t>L9.DNZJ.8882</t>
        </is>
      </c>
      <c r="E934" s="2" t="n">
        <v>8882</v>
      </c>
      <c r="M934" s="2" t="inlineStr">
        <is>
          <t>Manurewa</t>
        </is>
      </c>
      <c r="N934" s="2" t="inlineStr">
        <is>
          <t>New Zealand</t>
        </is>
      </c>
      <c r="P934" s="2" t="inlineStr">
        <is>
          <t>Operational Control</t>
        </is>
      </c>
      <c r="Q934" s="2" t="inlineStr">
        <is>
          <t>Operational Control</t>
        </is>
      </c>
      <c r="R934" s="2" t="inlineStr">
        <is>
          <t>Transport &amp; Infrastructure (T&amp;I)</t>
        </is>
      </c>
      <c r="S934" s="2" t="inlineStr">
        <is>
          <t>Downer</t>
        </is>
      </c>
      <c r="T934" s="2" t="n">
        <v>100</v>
      </c>
      <c r="W934" s="2" t="inlineStr">
        <is>
          <t>Classification</t>
        </is>
      </c>
    </row>
    <row r="935">
      <c r="A935" s="2" t="inlineStr">
        <is>
          <t>Downer</t>
        </is>
      </c>
      <c r="B935" s="2" t="inlineStr">
        <is>
          <t>Construct Staff - TAT</t>
        </is>
      </c>
      <c r="C935" s="2" t="inlineStr">
        <is>
          <t>Other</t>
        </is>
      </c>
      <c r="D935" s="2" t="inlineStr">
        <is>
          <t>L9.DNZJ.8135</t>
        </is>
      </c>
      <c r="E935" s="2" t="n">
        <v>8135</v>
      </c>
      <c r="G935" s="2" t="inlineStr">
        <is>
          <t>TI-NZT-8135 - Construct Staff - TAT</t>
        </is>
      </c>
      <c r="M935" s="2" t="inlineStr">
        <is>
          <t>Auckland</t>
        </is>
      </c>
      <c r="N935" s="2" t="inlineStr">
        <is>
          <t>New Zealand</t>
        </is>
      </c>
      <c r="P935" s="2" t="inlineStr">
        <is>
          <t>Operational Control</t>
        </is>
      </c>
      <c r="Q935" s="2" t="inlineStr">
        <is>
          <t>Operational Control</t>
        </is>
      </c>
      <c r="R935" s="2" t="inlineStr">
        <is>
          <t>Transport &amp; Infrastructure (T&amp;I)</t>
        </is>
      </c>
      <c r="S935" s="2" t="inlineStr">
        <is>
          <t>Downer</t>
        </is>
      </c>
      <c r="T935" s="2" t="n">
        <v>100</v>
      </c>
      <c r="W935" s="2" t="inlineStr">
        <is>
          <t>Classification</t>
        </is>
      </c>
    </row>
    <row r="936">
      <c r="A936" s="2" t="inlineStr">
        <is>
          <t>Downer</t>
        </is>
      </c>
      <c r="B936" s="2" t="inlineStr">
        <is>
          <t>Construct Staff - TREC</t>
        </is>
      </c>
      <c r="C936" s="2" t="inlineStr">
        <is>
          <t>Other</t>
        </is>
      </c>
      <c r="D936" s="2" t="inlineStr">
        <is>
          <t>L9.DNZJ.8881</t>
        </is>
      </c>
      <c r="E936" s="2" t="n">
        <v>8881</v>
      </c>
      <c r="G936" s="2" t="inlineStr">
        <is>
          <t>TI-NZT - Transport Projects North Support Costs</t>
        </is>
      </c>
      <c r="M936" s="2" t="inlineStr">
        <is>
          <t>Manurewa</t>
        </is>
      </c>
      <c r="N936" s="2" t="inlineStr">
        <is>
          <t>New Zealand</t>
        </is>
      </c>
      <c r="P936" s="2" t="inlineStr">
        <is>
          <t>Operational Control</t>
        </is>
      </c>
      <c r="Q936" s="2" t="inlineStr">
        <is>
          <t>Operational Control</t>
        </is>
      </c>
      <c r="R936" s="2" t="inlineStr">
        <is>
          <t>Transport &amp; Infrastructure (T&amp;I)</t>
        </is>
      </c>
      <c r="S936" s="2" t="inlineStr">
        <is>
          <t>Downer</t>
        </is>
      </c>
      <c r="T936" s="2" t="n">
        <v>100</v>
      </c>
      <c r="W936" s="2" t="inlineStr">
        <is>
          <t>Classification</t>
        </is>
      </c>
    </row>
    <row r="937">
      <c r="A937" s="2" t="inlineStr">
        <is>
          <t>Downer</t>
        </is>
      </c>
      <c r="B937" s="2" t="inlineStr">
        <is>
          <t>Construct Staff-Major Projects</t>
        </is>
      </c>
      <c r="C937" s="2" t="inlineStr">
        <is>
          <t>Depot</t>
        </is>
      </c>
      <c r="D937" s="2" t="inlineStr">
        <is>
          <t>L9.DNZJ.8882</t>
        </is>
      </c>
      <c r="E937" s="2" t="inlineStr">
        <is>
          <t>L9.DNZJ.8882</t>
        </is>
      </c>
      <c r="M937" s="2" t="inlineStr">
        <is>
          <t>Auckland City</t>
        </is>
      </c>
      <c r="N937" s="2" t="inlineStr">
        <is>
          <t>New Zealand</t>
        </is>
      </c>
      <c r="P937" s="2" t="inlineStr">
        <is>
          <t>Operational Control</t>
        </is>
      </c>
      <c r="Q937" s="2" t="inlineStr">
        <is>
          <t>Operational Control</t>
        </is>
      </c>
      <c r="R937" s="2" t="inlineStr">
        <is>
          <t>Transport &amp; Infrastructure (T&amp;I)</t>
        </is>
      </c>
      <c r="S937" s="2" t="inlineStr">
        <is>
          <t>Downer</t>
        </is>
      </c>
      <c r="T937" s="2" t="n">
        <v>100</v>
      </c>
      <c r="W937" s="2" t="inlineStr">
        <is>
          <t>Classification</t>
        </is>
      </c>
    </row>
    <row r="938">
      <c r="A938" s="2" t="inlineStr">
        <is>
          <t>Downer</t>
        </is>
      </c>
      <c r="B938" s="2" t="inlineStr">
        <is>
          <t>Construction - Otago</t>
        </is>
      </c>
      <c r="C938" s="2" t="inlineStr">
        <is>
          <t>Other</t>
        </is>
      </c>
      <c r="D938" s="2" t="inlineStr">
        <is>
          <t>L9.DNZJ.55377</t>
        </is>
      </c>
      <c r="E938" s="2" t="n">
        <v>55377</v>
      </c>
      <c r="F938" s="2" t="n">
        <v>55377</v>
      </c>
      <c r="M938" s="2" t="inlineStr">
        <is>
          <t>Otago</t>
        </is>
      </c>
      <c r="N938" s="2" t="inlineStr">
        <is>
          <t>New Zealand</t>
        </is>
      </c>
      <c r="P938" s="2" t="inlineStr">
        <is>
          <t>Operational Control</t>
        </is>
      </c>
      <c r="Q938" s="2" t="inlineStr">
        <is>
          <t>Operational Control</t>
        </is>
      </c>
      <c r="R938" s="2" t="inlineStr">
        <is>
          <t>Transport &amp; Infrastructure (T&amp;I)</t>
        </is>
      </c>
      <c r="S938" s="2" t="inlineStr">
        <is>
          <t>Downer</t>
        </is>
      </c>
      <c r="T938" s="2" t="n">
        <v>100</v>
      </c>
      <c r="W938" s="2" t="inlineStr">
        <is>
          <t>Classification</t>
        </is>
      </c>
    </row>
    <row r="939">
      <c r="A939" s="2" t="inlineStr">
        <is>
          <t>Downer</t>
        </is>
      </c>
      <c r="B939" s="2" t="inlineStr">
        <is>
          <t>Construction - Taranaki</t>
        </is>
      </c>
      <c r="C939" s="2" t="inlineStr">
        <is>
          <t>Other</t>
        </is>
      </c>
      <c r="D939" s="2" t="inlineStr">
        <is>
          <t>L9.DNZJ.55173</t>
        </is>
      </c>
      <c r="E939" s="2" t="n">
        <v>55173</v>
      </c>
      <c r="M939" s="2" t="inlineStr">
        <is>
          <t>Manurewa</t>
        </is>
      </c>
      <c r="N939" s="2" t="inlineStr">
        <is>
          <t>New Zealand</t>
        </is>
      </c>
      <c r="P939" s="2" t="inlineStr">
        <is>
          <t>Operational Control</t>
        </is>
      </c>
      <c r="Q939" s="2" t="inlineStr">
        <is>
          <t>Operational Control</t>
        </is>
      </c>
      <c r="R939" s="2" t="inlineStr">
        <is>
          <t>Transport &amp; Infrastructure (T&amp;I)</t>
        </is>
      </c>
      <c r="S939" s="2" t="inlineStr">
        <is>
          <t>Downer</t>
        </is>
      </c>
      <c r="T939" s="2" t="n">
        <v>100</v>
      </c>
      <c r="W939" s="2" t="inlineStr">
        <is>
          <t>Classification</t>
        </is>
      </c>
    </row>
    <row r="940">
      <c r="A940" s="2" t="inlineStr">
        <is>
          <t>Downer</t>
        </is>
      </c>
      <c r="B940" s="2" t="inlineStr">
        <is>
          <t>Construction - Tasman</t>
        </is>
      </c>
      <c r="C940" s="2" t="inlineStr">
        <is>
          <t>Other</t>
        </is>
      </c>
      <c r="D940" s="2" t="inlineStr">
        <is>
          <t>L9.DNZJ.55310</t>
        </is>
      </c>
      <c r="E940" s="2" t="n">
        <v>55310</v>
      </c>
      <c r="H940" s="2" t="inlineStr">
        <is>
          <t>130 Kerrs Road</t>
        </is>
      </c>
      <c r="I940" s="2" t="inlineStr">
        <is>
          <t>Wiri</t>
        </is>
      </c>
      <c r="J940" s="2" t="inlineStr">
        <is>
          <t>Auckland</t>
        </is>
      </c>
      <c r="K940" s="2" t="n">
        <v>2104</v>
      </c>
      <c r="L940" s="2" t="inlineStr">
        <is>
          <t>New Zealand</t>
        </is>
      </c>
      <c r="M940" s="2" t="inlineStr">
        <is>
          <t>Manurewa</t>
        </is>
      </c>
      <c r="N940" s="2" t="inlineStr">
        <is>
          <t>New Zealand</t>
        </is>
      </c>
      <c r="P940" s="2" t="inlineStr">
        <is>
          <t>Operational Control</t>
        </is>
      </c>
      <c r="Q940" s="2" t="inlineStr">
        <is>
          <t>Operational Control</t>
        </is>
      </c>
      <c r="R940" s="2" t="inlineStr">
        <is>
          <t>Transport &amp; Infrastructure (T&amp;I)</t>
        </is>
      </c>
      <c r="S940" s="2" t="inlineStr">
        <is>
          <t>Downer</t>
        </is>
      </c>
      <c r="T940" s="2" t="n">
        <v>100</v>
      </c>
      <c r="W940" s="2" t="inlineStr">
        <is>
          <t>Classification</t>
        </is>
      </c>
      <c r="X940" s="2" t="n">
        <v>-37.0083</v>
      </c>
      <c r="Y940" s="2" t="n">
        <v>174.8705</v>
      </c>
    </row>
    <row r="941">
      <c r="A941" s="2" t="inlineStr">
        <is>
          <t>Downer</t>
        </is>
      </c>
      <c r="B941" s="2" t="inlineStr">
        <is>
          <t>Construction (Hawkes Bay)</t>
        </is>
      </c>
      <c r="C941" s="2" t="inlineStr">
        <is>
          <t>Other</t>
        </is>
      </c>
      <c r="D941" s="2" t="inlineStr">
        <is>
          <t>L9.DNZJ.55185</t>
        </is>
      </c>
      <c r="E941" s="2" t="n">
        <v>55185</v>
      </c>
      <c r="H941" s="2" t="inlineStr">
        <is>
          <t>130 Kerrs Road</t>
        </is>
      </c>
      <c r="I941" s="2" t="inlineStr">
        <is>
          <t>Wiri</t>
        </is>
      </c>
      <c r="J941" s="2" t="inlineStr">
        <is>
          <t>Auckland</t>
        </is>
      </c>
      <c r="K941" s="2" t="n">
        <v>2104</v>
      </c>
      <c r="L941" s="2" t="inlineStr">
        <is>
          <t>New Zealand</t>
        </is>
      </c>
      <c r="M941" s="2" t="inlineStr">
        <is>
          <t>Manurewa</t>
        </is>
      </c>
      <c r="N941" s="2" t="inlineStr">
        <is>
          <t>New Zealand</t>
        </is>
      </c>
      <c r="P941" s="2" t="inlineStr">
        <is>
          <t>Operational Control</t>
        </is>
      </c>
      <c r="Q941" s="2" t="inlineStr">
        <is>
          <t>Operational Control</t>
        </is>
      </c>
      <c r="R941" s="2" t="inlineStr">
        <is>
          <t>Transport &amp; Infrastructure (T&amp;I)</t>
        </is>
      </c>
      <c r="S941" s="2" t="inlineStr">
        <is>
          <t>Downer</t>
        </is>
      </c>
      <c r="T941" s="2" t="n">
        <v>100</v>
      </c>
      <c r="W941" s="2" t="inlineStr">
        <is>
          <t>Classification</t>
        </is>
      </c>
      <c r="X941" s="2" t="n">
        <v>-37.0083</v>
      </c>
      <c r="Y941" s="2" t="n">
        <v>174.8705</v>
      </c>
    </row>
    <row r="942">
      <c r="A942" s="2" t="inlineStr">
        <is>
          <t>Downer</t>
        </is>
      </c>
      <c r="B942" s="2" t="inlineStr">
        <is>
          <t>Construction EU Subcontractors</t>
        </is>
      </c>
      <c r="C942" s="2" t="inlineStr">
        <is>
          <t>Other</t>
        </is>
      </c>
      <c r="D942" s="2" t="inlineStr">
        <is>
          <t>L9.S.UECONSTR00</t>
        </is>
      </c>
      <c r="E942" s="2" t="inlineStr">
        <is>
          <t>L9.S.UECONSTR00</t>
        </is>
      </c>
      <c r="M942" s="2" t="inlineStr">
        <is>
          <t>North Ryde</t>
        </is>
      </c>
      <c r="N942" s="2" t="inlineStr">
        <is>
          <t>Australia</t>
        </is>
      </c>
      <c r="P942" s="2" t="inlineStr">
        <is>
          <t>Operational Control</t>
        </is>
      </c>
      <c r="Q942" s="2" t="inlineStr">
        <is>
          <t>Operational Control</t>
        </is>
      </c>
      <c r="R942" s="2" t="inlineStr">
        <is>
          <t>Energy and Utilities (EU)</t>
        </is>
      </c>
      <c r="S942" s="2" t="inlineStr">
        <is>
          <t>Downer</t>
        </is>
      </c>
      <c r="T942" s="2" t="n">
        <v>100</v>
      </c>
      <c r="W942" s="2" t="inlineStr">
        <is>
          <t>Classification</t>
        </is>
      </c>
    </row>
    <row r="943">
      <c r="A943" s="2" t="inlineStr">
        <is>
          <t>Downer</t>
        </is>
      </c>
      <c r="B943" s="2" t="inlineStr">
        <is>
          <t>Construction National DOH</t>
        </is>
      </c>
      <c r="C943" s="2" t="inlineStr">
        <is>
          <t>Other</t>
        </is>
      </c>
      <c r="D943" s="2" t="inlineStr">
        <is>
          <t>L9.DNZJ.56790</t>
        </is>
      </c>
      <c r="E943" s="2" t="n">
        <v>56790</v>
      </c>
      <c r="M943" s="2" t="inlineStr">
        <is>
          <t>Auckland</t>
        </is>
      </c>
      <c r="N943" s="2" t="inlineStr">
        <is>
          <t>New Zealand</t>
        </is>
      </c>
      <c r="P943" s="2" t="inlineStr">
        <is>
          <t>Operational Control</t>
        </is>
      </c>
      <c r="Q943" s="2" t="inlineStr">
        <is>
          <t>Operational Control</t>
        </is>
      </c>
      <c r="R943" s="2" t="inlineStr">
        <is>
          <t>Energy and Utilities (EU)</t>
        </is>
      </c>
      <c r="S943" s="2" t="inlineStr">
        <is>
          <t>Downer</t>
        </is>
      </c>
      <c r="T943" s="2" t="n">
        <v>100</v>
      </c>
      <c r="W943" s="2" t="inlineStr">
        <is>
          <t>Classification</t>
        </is>
      </c>
    </row>
    <row r="944">
      <c r="A944" s="2" t="inlineStr">
        <is>
          <t>Downer</t>
        </is>
      </c>
      <c r="B944" s="2" t="inlineStr">
        <is>
          <t>Construction Otago/Southland EU Subcontractors</t>
        </is>
      </c>
      <c r="C944" s="2" t="inlineStr">
        <is>
          <t>Other</t>
        </is>
      </c>
      <c r="D944" s="2" t="inlineStr">
        <is>
          <t>L9.DNZJ.56138</t>
        </is>
      </c>
      <c r="E944" s="2" t="inlineStr">
        <is>
          <t>L9.DNZJ.56138</t>
        </is>
      </c>
      <c r="M944" s="2" t="inlineStr">
        <is>
          <t>Auckland City</t>
        </is>
      </c>
      <c r="N944" s="2" t="inlineStr">
        <is>
          <t>New Zealand</t>
        </is>
      </c>
      <c r="P944" s="2" t="inlineStr">
        <is>
          <t>Operational Control</t>
        </is>
      </c>
      <c r="Q944" s="2" t="inlineStr">
        <is>
          <t>Operational Control</t>
        </is>
      </c>
      <c r="R944" s="2" t="inlineStr">
        <is>
          <t>Energy and Utilities (EU)</t>
        </is>
      </c>
      <c r="S944" s="2" t="inlineStr">
        <is>
          <t>Downer</t>
        </is>
      </c>
      <c r="T944" s="2" t="n">
        <v>100</v>
      </c>
      <c r="W944" s="2" t="inlineStr">
        <is>
          <t>Classification</t>
        </is>
      </c>
    </row>
    <row r="945">
      <c r="A945" s="2" t="inlineStr">
        <is>
          <t>Downer</t>
        </is>
      </c>
      <c r="B945" s="2" t="inlineStr">
        <is>
          <t>Construction South</t>
        </is>
      </c>
      <c r="C945" s="2" t="inlineStr">
        <is>
          <t>Other</t>
        </is>
      </c>
      <c r="D945" s="2" t="inlineStr">
        <is>
          <t>L9.DNZJ.8140</t>
        </is>
      </c>
      <c r="E945" s="2" t="n">
        <v>8140</v>
      </c>
      <c r="H945" s="2" t="inlineStr">
        <is>
          <t>130 Kerrs Road</t>
        </is>
      </c>
      <c r="I945" s="2" t="inlineStr">
        <is>
          <t>Wiri</t>
        </is>
      </c>
      <c r="J945" s="2" t="inlineStr">
        <is>
          <t>Auckland</t>
        </is>
      </c>
      <c r="K945" s="2" t="n">
        <v>2104</v>
      </c>
      <c r="L945" s="2" t="inlineStr">
        <is>
          <t>New Zealand</t>
        </is>
      </c>
      <c r="M945" s="2" t="inlineStr">
        <is>
          <t>Manurewa</t>
        </is>
      </c>
      <c r="N945" s="2" t="inlineStr">
        <is>
          <t>New Zealand</t>
        </is>
      </c>
      <c r="P945" s="2" t="inlineStr">
        <is>
          <t>Operational Control</t>
        </is>
      </c>
      <c r="Q945" s="2" t="inlineStr">
        <is>
          <t>Operational Control</t>
        </is>
      </c>
      <c r="R945" s="2" t="inlineStr">
        <is>
          <t>Transport &amp; Infrastructure (T&amp;I)</t>
        </is>
      </c>
      <c r="S945" s="2" t="inlineStr">
        <is>
          <t>Downer</t>
        </is>
      </c>
      <c r="T945" s="2" t="n">
        <v>100</v>
      </c>
      <c r="W945" s="2" t="inlineStr">
        <is>
          <t>Classification</t>
        </is>
      </c>
      <c r="X945" s="2" t="n">
        <v>-37.0083</v>
      </c>
      <c r="Y945" s="2" t="n">
        <v>174.8705</v>
      </c>
    </row>
    <row r="946">
      <c r="A946" s="2" t="inlineStr">
        <is>
          <t>Downer</t>
        </is>
      </c>
      <c r="B946" s="2" t="inlineStr">
        <is>
          <t>Construction Staff</t>
        </is>
      </c>
      <c r="C946" s="2" t="inlineStr">
        <is>
          <t>Other</t>
        </is>
      </c>
      <c r="D946" s="2" t="inlineStr">
        <is>
          <t>L9.DNZJ.8104</t>
        </is>
      </c>
      <c r="E946" s="2" t="n">
        <v>8104</v>
      </c>
      <c r="H946" s="2" t="inlineStr">
        <is>
          <t>130 Kerrs Road</t>
        </is>
      </c>
      <c r="I946" s="2" t="inlineStr">
        <is>
          <t>Wiri</t>
        </is>
      </c>
      <c r="J946" s="2" t="inlineStr">
        <is>
          <t>Auckland</t>
        </is>
      </c>
      <c r="K946" s="2" t="n">
        <v>2104</v>
      </c>
      <c r="L946" s="2" t="inlineStr">
        <is>
          <t>New Zealand</t>
        </is>
      </c>
      <c r="M946" s="2" t="inlineStr">
        <is>
          <t>Manurewa</t>
        </is>
      </c>
      <c r="N946" s="2" t="inlineStr">
        <is>
          <t>New Zealand</t>
        </is>
      </c>
      <c r="P946" s="2" t="inlineStr">
        <is>
          <t>Operational Control</t>
        </is>
      </c>
      <c r="Q946" s="2" t="inlineStr">
        <is>
          <t>Operational Control</t>
        </is>
      </c>
      <c r="R946" s="2" t="inlineStr">
        <is>
          <t>Transport &amp; Infrastructure (T&amp;I)</t>
        </is>
      </c>
      <c r="S946" s="2" t="inlineStr">
        <is>
          <t>Downer</t>
        </is>
      </c>
      <c r="T946" s="2" t="n">
        <v>100</v>
      </c>
      <c r="W946" s="2" t="inlineStr">
        <is>
          <t>Classification</t>
        </is>
      </c>
      <c r="X946" s="2" t="n">
        <v>-37.0083</v>
      </c>
      <c r="Y946" s="2" t="n">
        <v>174.8705</v>
      </c>
    </row>
    <row r="947">
      <c r="A947" s="2" t="inlineStr">
        <is>
          <t>Downer</t>
        </is>
      </c>
      <c r="B947" s="2" t="inlineStr">
        <is>
          <t>Construction Staff - MP</t>
        </is>
      </c>
      <c r="C947" s="2" t="inlineStr">
        <is>
          <t>Other</t>
        </is>
      </c>
      <c r="D947" s="2" t="inlineStr">
        <is>
          <t>L9.DNZJ.8880</t>
        </is>
      </c>
      <c r="E947" s="2" t="n">
        <v>8880</v>
      </c>
      <c r="M947" s="2" t="inlineStr">
        <is>
          <t>Manurewa</t>
        </is>
      </c>
      <c r="N947" s="2" t="inlineStr">
        <is>
          <t>New Zealand</t>
        </is>
      </c>
      <c r="P947" s="2" t="inlineStr">
        <is>
          <t>Operational Control</t>
        </is>
      </c>
      <c r="Q947" s="2" t="inlineStr">
        <is>
          <t>Operational Control</t>
        </is>
      </c>
      <c r="R947" s="2" t="inlineStr">
        <is>
          <t>Transport &amp; Infrastructure (T&amp;I)</t>
        </is>
      </c>
      <c r="S947" s="2" t="inlineStr">
        <is>
          <t>Downer</t>
        </is>
      </c>
      <c r="T947" s="2" t="n">
        <v>100</v>
      </c>
      <c r="W947" s="2" t="inlineStr">
        <is>
          <t>Classification</t>
        </is>
      </c>
    </row>
    <row r="948">
      <c r="A948" s="2" t="inlineStr">
        <is>
          <t>Downer</t>
        </is>
      </c>
      <c r="B948" s="2" t="inlineStr">
        <is>
          <t>Construction Staff 2</t>
        </is>
      </c>
      <c r="C948" s="2" t="inlineStr">
        <is>
          <t>Other</t>
        </is>
      </c>
      <c r="D948" s="2" t="inlineStr">
        <is>
          <t>L9.DNZJ.8840</t>
        </is>
      </c>
      <c r="E948" s="2" t="n">
        <v>8840</v>
      </c>
      <c r="H948" s="2" t="inlineStr">
        <is>
          <t>130 Kerrs Road</t>
        </is>
      </c>
      <c r="I948" s="2" t="inlineStr">
        <is>
          <t>Wiri</t>
        </is>
      </c>
      <c r="J948" s="2" t="inlineStr">
        <is>
          <t>Auckland</t>
        </is>
      </c>
      <c r="K948" s="2" t="n">
        <v>2104</v>
      </c>
      <c r="L948" s="2" t="inlineStr">
        <is>
          <t>New Zealand</t>
        </is>
      </c>
      <c r="M948" s="2" t="inlineStr">
        <is>
          <t>Manurewa</t>
        </is>
      </c>
      <c r="N948" s="2" t="inlineStr">
        <is>
          <t>New Zealand</t>
        </is>
      </c>
      <c r="P948" s="2" t="inlineStr">
        <is>
          <t>Operational Control</t>
        </is>
      </c>
      <c r="Q948" s="2" t="inlineStr">
        <is>
          <t>Operational Control</t>
        </is>
      </c>
      <c r="R948" s="2" t="inlineStr">
        <is>
          <t>Transport &amp; Infrastructure (T&amp;I)</t>
        </is>
      </c>
      <c r="S948" s="2" t="inlineStr">
        <is>
          <t>Downer</t>
        </is>
      </c>
      <c r="T948" s="2" t="n">
        <v>100</v>
      </c>
      <c r="W948" s="2" t="inlineStr">
        <is>
          <t>Classification</t>
        </is>
      </c>
      <c r="X948" s="2" t="n">
        <v>-37.0083</v>
      </c>
      <c r="Y948" s="2" t="n">
        <v>174.8705</v>
      </c>
    </row>
    <row r="949">
      <c r="A949" s="2" t="inlineStr">
        <is>
          <t>Downer</t>
        </is>
      </c>
      <c r="B949" s="2" t="inlineStr">
        <is>
          <t>Construction-Central</t>
        </is>
      </c>
      <c r="C949" s="2" t="inlineStr">
        <is>
          <t>Other</t>
        </is>
      </c>
      <c r="D949" s="2" t="inlineStr">
        <is>
          <t>L9.DNZJ.55397</t>
        </is>
      </c>
      <c r="E949" s="2" t="n">
        <v>55397</v>
      </c>
      <c r="H949" s="2" t="inlineStr">
        <is>
          <t>130 Kerrs Road</t>
        </is>
      </c>
      <c r="I949" s="2" t="inlineStr">
        <is>
          <t>Wiri</t>
        </is>
      </c>
      <c r="J949" s="2" t="inlineStr">
        <is>
          <t>Auckland</t>
        </is>
      </c>
      <c r="K949" s="2" t="n">
        <v>2104</v>
      </c>
      <c r="L949" s="2" t="inlineStr">
        <is>
          <t>New Zealand</t>
        </is>
      </c>
      <c r="M949" s="2" t="inlineStr">
        <is>
          <t>Manurewa</t>
        </is>
      </c>
      <c r="N949" s="2" t="inlineStr">
        <is>
          <t>New Zealand</t>
        </is>
      </c>
      <c r="P949" s="2" t="inlineStr">
        <is>
          <t>Operational Control</t>
        </is>
      </c>
      <c r="Q949" s="2" t="inlineStr">
        <is>
          <t>Operational Control</t>
        </is>
      </c>
      <c r="R949" s="2" t="inlineStr">
        <is>
          <t>Transport &amp; Infrastructure (T&amp;I)</t>
        </is>
      </c>
      <c r="S949" s="2" t="inlineStr">
        <is>
          <t>Downer</t>
        </is>
      </c>
      <c r="T949" s="2" t="n">
        <v>100</v>
      </c>
      <c r="W949" s="2" t="inlineStr">
        <is>
          <t>Classification</t>
        </is>
      </c>
      <c r="X949" s="2" t="n">
        <v>-37.0083</v>
      </c>
      <c r="Y949" s="2" t="n">
        <v>174.8705</v>
      </c>
    </row>
    <row r="950">
      <c r="A950" s="2" t="inlineStr">
        <is>
          <t>Downer</t>
        </is>
      </c>
      <c r="B950" s="2" t="inlineStr">
        <is>
          <t>Coober Pedy Depot</t>
        </is>
      </c>
      <c r="C950" s="2" t="inlineStr">
        <is>
          <t>Depot</t>
        </is>
      </c>
      <c r="D950" s="2" t="inlineStr">
        <is>
          <t>L9.J.17021040</t>
        </is>
      </c>
      <c r="E950" s="2" t="n">
        <v>17021040</v>
      </c>
      <c r="G950" s="2" t="inlineStr">
        <is>
          <t>Cooper Pedy depot owned by DIT, co shared shared with SARS</t>
        </is>
      </c>
      <c r="H950" s="2" t="inlineStr">
        <is>
          <t>Lot 1305 Hutchinson Street,</t>
        </is>
      </c>
      <c r="I950" s="2" t="inlineStr">
        <is>
          <t>Cooper Pedy</t>
        </is>
      </c>
      <c r="J950" s="2" t="inlineStr">
        <is>
          <t>South Australia</t>
        </is>
      </c>
      <c r="K950" s="2" t="n">
        <v>5723</v>
      </c>
      <c r="M950" s="2" t="inlineStr">
        <is>
          <t>South Australia</t>
        </is>
      </c>
      <c r="N950" s="2" t="inlineStr">
        <is>
          <t>Australia</t>
        </is>
      </c>
      <c r="P950" s="2" t="inlineStr">
        <is>
          <t>Operational Control</t>
        </is>
      </c>
      <c r="Q950" s="2" t="inlineStr">
        <is>
          <t>Operational Control</t>
        </is>
      </c>
      <c r="R950" s="2" t="inlineStr">
        <is>
          <t>Transport &amp; Infrastructure (T&amp;I)</t>
        </is>
      </c>
      <c r="S950" s="2" t="inlineStr">
        <is>
          <t>Downer</t>
        </is>
      </c>
      <c r="T950" s="2" t="n">
        <v>100</v>
      </c>
      <c r="W950" s="2" t="inlineStr">
        <is>
          <t>Classification</t>
        </is>
      </c>
    </row>
    <row r="951">
      <c r="A951" s="2" t="inlineStr">
        <is>
          <t>Downer</t>
        </is>
      </c>
      <c r="B951" s="2" t="inlineStr">
        <is>
          <t>Copy of _CLOSED_ AGIS Braddon</t>
        </is>
      </c>
      <c r="C951" s="2" t="inlineStr">
        <is>
          <t>Office</t>
        </is>
      </c>
      <c r="D951" s="2" t="inlineStr">
        <is>
          <t>L9.J.502002</t>
        </is>
      </c>
      <c r="E951" s="2" t="n">
        <v>2001</v>
      </c>
      <c r="F951" s="2" t="n">
        <v>2001</v>
      </c>
      <c r="G951" s="2" t="inlineStr">
        <is>
          <t>electricity data only from landlord accounts</t>
        </is>
      </c>
      <c r="M951" s="2" t="inlineStr">
        <is>
          <t>Australian Capital Territory</t>
        </is>
      </c>
      <c r="N951" s="2" t="inlineStr">
        <is>
          <t>Australia</t>
        </is>
      </c>
      <c r="P951" s="2" t="inlineStr">
        <is>
          <t>Operational Control</t>
        </is>
      </c>
      <c r="Q951" s="2" t="inlineStr">
        <is>
          <t>Operational Control</t>
        </is>
      </c>
      <c r="R951" s="2" t="inlineStr">
        <is>
          <t>Social Infra &amp; Citizen Serv (SICS)</t>
        </is>
      </c>
      <c r="S951" s="2" t="inlineStr">
        <is>
          <t>Downer</t>
        </is>
      </c>
      <c r="T951" s="2" t="n">
        <v>100</v>
      </c>
      <c r="U951" s="11" t="n">
        <v>43405</v>
      </c>
      <c r="V951" s="11" t="n">
        <v>44500</v>
      </c>
      <c r="W951" s="2" t="inlineStr">
        <is>
          <t>Classification</t>
        </is>
      </c>
      <c r="X951" s="2" t="n">
        <v>-35.273</v>
      </c>
      <c r="Y951" s="2" t="n">
        <v>149.133</v>
      </c>
      <c r="Z951" s="2" t="n">
        <v>760</v>
      </c>
      <c r="AA951" s="11" t="n">
        <v>42583</v>
      </c>
      <c r="AB951" s="11" t="n">
        <v>44901</v>
      </c>
    </row>
    <row r="952">
      <c r="A952" s="2" t="inlineStr">
        <is>
          <t>Downer</t>
        </is>
      </c>
      <c r="B952" s="2" t="inlineStr">
        <is>
          <t>Copy of _CLOSED_ AGIS Braddon</t>
        </is>
      </c>
      <c r="C952" s="2" t="inlineStr">
        <is>
          <t>Office</t>
        </is>
      </c>
      <c r="D952" s="2" t="inlineStr">
        <is>
          <t>L9.J.502002</t>
        </is>
      </c>
      <c r="E952" s="2" t="n">
        <v>2001</v>
      </c>
      <c r="F952" s="2" t="n">
        <v>2001</v>
      </c>
      <c r="G952" s="2" t="inlineStr">
        <is>
          <t>electricity data only from landlord accounts</t>
        </is>
      </c>
      <c r="M952" s="2" t="inlineStr">
        <is>
          <t>Australian Capital Territory</t>
        </is>
      </c>
      <c r="N952" s="2" t="inlineStr">
        <is>
          <t>Australia</t>
        </is>
      </c>
      <c r="P952" s="2" t="inlineStr">
        <is>
          <t>Operational Control</t>
        </is>
      </c>
      <c r="Q952" s="2" t="inlineStr">
        <is>
          <t>Operational Control</t>
        </is>
      </c>
      <c r="R952" s="2" t="inlineStr">
        <is>
          <t>Social Infra &amp; Citizen Serv (SICS)</t>
        </is>
      </c>
      <c r="S952" s="2" t="inlineStr">
        <is>
          <t>Downer</t>
        </is>
      </c>
      <c r="T952" s="2" t="n">
        <v>100</v>
      </c>
      <c r="U952" s="11" t="n">
        <v>43405</v>
      </c>
      <c r="V952" s="11" t="n">
        <v>44500</v>
      </c>
      <c r="W952" s="2" t="inlineStr">
        <is>
          <t>Classification</t>
        </is>
      </c>
      <c r="X952" s="2" t="n">
        <v>-35.273</v>
      </c>
      <c r="Y952" s="2" t="n">
        <v>149.133</v>
      </c>
      <c r="Z952" s="2" t="n">
        <v>760</v>
      </c>
      <c r="AA952" s="11" t="n">
        <v>42583</v>
      </c>
      <c r="AB952" s="11" t="n">
        <v>44901</v>
      </c>
    </row>
    <row r="953">
      <c r="A953" s="2" t="inlineStr">
        <is>
          <t>Downer</t>
        </is>
      </c>
      <c r="B953" s="2" t="inlineStr">
        <is>
          <t>Coromandel - SP 123</t>
        </is>
      </c>
      <c r="C953" s="2" t="inlineStr">
        <is>
          <t>Other</t>
        </is>
      </c>
      <c r="D953" s="2" t="inlineStr">
        <is>
          <t>L9.DUN.60123</t>
        </is>
      </c>
      <c r="E953" s="2" t="inlineStr">
        <is>
          <t>PG60123</t>
        </is>
      </c>
      <c r="H953" s="2" t="inlineStr">
        <is>
          <t>130 Kerrs Road</t>
        </is>
      </c>
      <c r="I953" s="2" t="inlineStr">
        <is>
          <t>Wiri</t>
        </is>
      </c>
      <c r="J953" s="2" t="inlineStr">
        <is>
          <t>Auckland</t>
        </is>
      </c>
      <c r="K953" s="2" t="n">
        <v>2104</v>
      </c>
      <c r="L953" s="2" t="inlineStr">
        <is>
          <t>New Zealand</t>
        </is>
      </c>
      <c r="M953" s="2" t="inlineStr">
        <is>
          <t>Manurewa</t>
        </is>
      </c>
      <c r="N953" s="2" t="inlineStr">
        <is>
          <t>New Zealand</t>
        </is>
      </c>
      <c r="P953" s="2" t="inlineStr">
        <is>
          <t>Operational Control</t>
        </is>
      </c>
      <c r="Q953" s="2" t="inlineStr">
        <is>
          <t>Operational Control</t>
        </is>
      </c>
      <c r="R953" s="2" t="inlineStr">
        <is>
          <t>Energy and Utilities (EU)</t>
        </is>
      </c>
      <c r="S953" s="2" t="inlineStr">
        <is>
          <t>Downer</t>
        </is>
      </c>
      <c r="T953" s="2" t="n">
        <v>100</v>
      </c>
      <c r="W953" s="2" t="inlineStr">
        <is>
          <t>Classification</t>
        </is>
      </c>
      <c r="X953" s="2" t="n">
        <v>-37.0083</v>
      </c>
      <c r="Y953" s="2" t="n">
        <v>174.8705</v>
      </c>
    </row>
    <row r="954">
      <c r="A954" s="2" t="inlineStr">
        <is>
          <t>Downer</t>
        </is>
      </c>
      <c r="B954" s="2" t="inlineStr">
        <is>
          <t>Corporate - Offices (Cairns QLD)</t>
        </is>
      </c>
      <c r="C954" s="2" t="inlineStr">
        <is>
          <t>Office</t>
        </is>
      </c>
      <c r="D954" s="2" t="inlineStr">
        <is>
          <t>L9.WAU.000812</t>
        </is>
      </c>
      <c r="E954" s="2" t="inlineStr">
        <is>
          <t>L9.WAU.000812</t>
        </is>
      </c>
      <c r="H954" s="2" t="inlineStr">
        <is>
          <t>89 Cook Street</t>
        </is>
      </c>
      <c r="I954" s="2" t="inlineStr">
        <is>
          <t>Portsmith</t>
        </is>
      </c>
      <c r="J954" s="2" t="inlineStr">
        <is>
          <t>QLD</t>
        </is>
      </c>
      <c r="K954" s="2" t="n">
        <v>4870</v>
      </c>
      <c r="M954" s="2" t="inlineStr">
        <is>
          <t>Queensland</t>
        </is>
      </c>
      <c r="N954" s="2" t="inlineStr">
        <is>
          <t>Australia</t>
        </is>
      </c>
      <c r="P954" s="2" t="inlineStr">
        <is>
          <t>Operational Control</t>
        </is>
      </c>
      <c r="Q954" s="2" t="inlineStr">
        <is>
          <t>Operational Control</t>
        </is>
      </c>
      <c r="R954" s="2" t="inlineStr">
        <is>
          <t>Corporate</t>
        </is>
      </c>
      <c r="S954" s="2" t="inlineStr">
        <is>
          <t>Downer</t>
        </is>
      </c>
      <c r="T954" s="2" t="n">
        <v>100</v>
      </c>
      <c r="W954" s="2" t="inlineStr">
        <is>
          <t>Classification</t>
        </is>
      </c>
      <c r="X954" s="2" t="n">
        <v>-16.942656</v>
      </c>
      <c r="Y954" s="2" t="n">
        <v>145.772011</v>
      </c>
      <c r="Z954" s="2" t="n">
        <v>729</v>
      </c>
    </row>
    <row r="955">
      <c r="A955" s="2" t="inlineStr">
        <is>
          <t>Downer</t>
        </is>
      </c>
      <c r="B955" s="2" t="inlineStr">
        <is>
          <t>Corporate - Offices (Townsville QLD)</t>
        </is>
      </c>
      <c r="C955" s="2" t="inlineStr">
        <is>
          <t>Branch Office</t>
        </is>
      </c>
      <c r="D955" s="2" t="inlineStr">
        <is>
          <t>L9.J.150100</t>
        </is>
      </c>
      <c r="E955" s="2" t="inlineStr">
        <is>
          <t>L9.J.150100</t>
        </is>
      </c>
      <c r="H955" s="2" t="inlineStr">
        <is>
          <t>15-19 Dalrymple Rd</t>
        </is>
      </c>
      <c r="I955" s="2" t="inlineStr">
        <is>
          <t>Garbutt</t>
        </is>
      </c>
      <c r="J955" s="2" t="inlineStr">
        <is>
          <t>QLD</t>
        </is>
      </c>
      <c r="K955" s="2" t="n">
        <v>4814</v>
      </c>
      <c r="M955" s="2" t="inlineStr">
        <is>
          <t>Queensland</t>
        </is>
      </c>
      <c r="N955" s="2" t="inlineStr">
        <is>
          <t>Australia</t>
        </is>
      </c>
      <c r="P955" s="2" t="inlineStr">
        <is>
          <t>Operational Control</t>
        </is>
      </c>
      <c r="Q955" s="2" t="inlineStr">
        <is>
          <t>Operational Control</t>
        </is>
      </c>
      <c r="R955" s="2" t="inlineStr">
        <is>
          <t>Corporate</t>
        </is>
      </c>
      <c r="S955" s="2" t="inlineStr">
        <is>
          <t>Downer</t>
        </is>
      </c>
      <c r="T955" s="2" t="n">
        <v>100</v>
      </c>
      <c r="W955" s="2" t="inlineStr">
        <is>
          <t>Classification</t>
        </is>
      </c>
      <c r="X955" s="2" t="n">
        <v>-19.26649</v>
      </c>
      <c r="Y955" s="2" t="n">
        <v>146.780871</v>
      </c>
      <c r="Z955" s="2" t="n">
        <v>729</v>
      </c>
    </row>
    <row r="956">
      <c r="A956" s="2" t="inlineStr">
        <is>
          <t>Downer</t>
        </is>
      </c>
      <c r="B956" s="2" t="inlineStr">
        <is>
          <t>Corporate Plant Pool</t>
        </is>
      </c>
      <c r="C956" s="2" t="inlineStr">
        <is>
          <t>Depot</t>
        </is>
      </c>
      <c r="D956" s="2" t="inlineStr">
        <is>
          <t>L9.J.351101</t>
        </is>
      </c>
      <c r="E956" s="2" t="inlineStr">
        <is>
          <t>L9.J.351101</t>
        </is>
      </c>
      <c r="G956" s="2" t="inlineStr">
        <is>
          <t>Includes shared services pool, plant from divestments and others that could not be allocated to divisions.</t>
        </is>
      </c>
      <c r="M956" s="2" t="inlineStr">
        <is>
          <t>North Ryde</t>
        </is>
      </c>
      <c r="N956" s="2" t="inlineStr">
        <is>
          <t>Australia</t>
        </is>
      </c>
      <c r="P956" s="2" t="inlineStr">
        <is>
          <t>Operational Control</t>
        </is>
      </c>
      <c r="Q956" s="2" t="inlineStr">
        <is>
          <t>Operational Control</t>
        </is>
      </c>
      <c r="R956" s="2" t="inlineStr">
        <is>
          <t>Corporate</t>
        </is>
      </c>
      <c r="S956" s="2" t="inlineStr">
        <is>
          <t>Downer</t>
        </is>
      </c>
      <c r="T956" s="2" t="n">
        <v>100</v>
      </c>
      <c r="W956" s="2" t="inlineStr">
        <is>
          <t>Classification</t>
        </is>
      </c>
    </row>
    <row r="957">
      <c r="A957" s="2" t="inlineStr">
        <is>
          <t>Downer</t>
        </is>
      </c>
      <c r="B957" s="2" t="inlineStr">
        <is>
          <t>Corrections&amp;Justice - Recharge</t>
        </is>
      </c>
      <c r="C957" s="2" t="inlineStr">
        <is>
          <t>Other</t>
        </is>
      </c>
      <c r="D957" s="2" t="inlineStr">
        <is>
          <t>L9.DNZ.810.10.139</t>
        </is>
      </c>
      <c r="E957" s="2" t="n">
        <v>1993</v>
      </c>
      <c r="M957" s="2" t="inlineStr">
        <is>
          <t>Auckland</t>
        </is>
      </c>
      <c r="N957" s="2" t="inlineStr">
        <is>
          <t>New Zealand</t>
        </is>
      </c>
      <c r="P957" s="2" t="inlineStr">
        <is>
          <t>Operational Control</t>
        </is>
      </c>
      <c r="Q957" s="2" t="inlineStr">
        <is>
          <t>Operational Control</t>
        </is>
      </c>
      <c r="R957" s="2" t="inlineStr">
        <is>
          <t>Social Infra &amp; Citizen Serv (SICS)</t>
        </is>
      </c>
      <c r="S957" s="2" t="inlineStr">
        <is>
          <t>Downer</t>
        </is>
      </c>
      <c r="T957" s="2" t="n">
        <v>100</v>
      </c>
      <c r="W957" s="2" t="inlineStr">
        <is>
          <t>Classification</t>
        </is>
      </c>
    </row>
    <row r="958">
      <c r="A958" s="2" t="inlineStr">
        <is>
          <t>Downer</t>
        </is>
      </c>
      <c r="B958" s="2" t="inlineStr">
        <is>
          <t>CP - Direct Connect Container</t>
        </is>
      </c>
      <c r="C958" s="2" t="inlineStr">
        <is>
          <t>Other</t>
        </is>
      </c>
      <c r="D958" s="2" t="inlineStr">
        <is>
          <t>L9.DNZJ.552407</t>
        </is>
      </c>
      <c r="E958" s="2" t="n">
        <v>552407</v>
      </c>
      <c r="H958" s="2" t="inlineStr">
        <is>
          <t>130 Kerrs Road</t>
        </is>
      </c>
      <c r="I958" s="2" t="inlineStr">
        <is>
          <t>Wiri</t>
        </is>
      </c>
      <c r="J958" s="2" t="inlineStr">
        <is>
          <t>Auckland</t>
        </is>
      </c>
      <c r="K958" s="2" t="n">
        <v>2104</v>
      </c>
      <c r="L958" s="2" t="inlineStr">
        <is>
          <t>New Zealand</t>
        </is>
      </c>
      <c r="M958" s="2" t="inlineStr">
        <is>
          <t>Manurewa</t>
        </is>
      </c>
      <c r="N958" s="2" t="inlineStr">
        <is>
          <t>New Zealand</t>
        </is>
      </c>
      <c r="P958" s="2" t="inlineStr">
        <is>
          <t>Operational Control</t>
        </is>
      </c>
      <c r="Q958" s="2" t="inlineStr">
        <is>
          <t>Operational Control</t>
        </is>
      </c>
      <c r="R958" s="2" t="inlineStr">
        <is>
          <t>Transport &amp; Infrastructure (T&amp;I)</t>
        </is>
      </c>
      <c r="S958" s="2" t="inlineStr">
        <is>
          <t>Downer</t>
        </is>
      </c>
      <c r="T958" s="2" t="n">
        <v>100</v>
      </c>
      <c r="W958" s="2" t="inlineStr">
        <is>
          <t>Classification</t>
        </is>
      </c>
      <c r="X958" s="2" t="n">
        <v>-37.0083</v>
      </c>
      <c r="Y958" s="2" t="n">
        <v>174.8705</v>
      </c>
    </row>
    <row r="959">
      <c r="A959" s="2" t="inlineStr">
        <is>
          <t>Downer</t>
        </is>
      </c>
      <c r="B959" s="2" t="inlineStr">
        <is>
          <t>CRL3 - Lease P&amp;L</t>
        </is>
      </c>
      <c r="C959" s="2" t="inlineStr">
        <is>
          <t>Other</t>
        </is>
      </c>
      <c r="D959" s="2" t="inlineStr">
        <is>
          <t>L9.DNZJ.PN4201</t>
        </is>
      </c>
      <c r="E959" s="2" t="n">
        <v>11632</v>
      </c>
      <c r="H959" s="2" t="inlineStr">
        <is>
          <t>130 Kerrs Road</t>
        </is>
      </c>
      <c r="I959" s="2" t="inlineStr">
        <is>
          <t>Wiri</t>
        </is>
      </c>
      <c r="J959" s="2" t="inlineStr">
        <is>
          <t>Auckland</t>
        </is>
      </c>
      <c r="K959" s="2" t="n">
        <v>2104</v>
      </c>
      <c r="L959" s="2" t="inlineStr">
        <is>
          <t>New Zealand</t>
        </is>
      </c>
      <c r="M959" s="2" t="inlineStr">
        <is>
          <t>Manurewa</t>
        </is>
      </c>
      <c r="N959" s="2" t="inlineStr">
        <is>
          <t>New Zealand</t>
        </is>
      </c>
      <c r="P959" s="2" t="inlineStr">
        <is>
          <t>Operational Control</t>
        </is>
      </c>
      <c r="Q959" s="2" t="inlineStr">
        <is>
          <t>Operational Control</t>
        </is>
      </c>
      <c r="R959" s="2" t="inlineStr">
        <is>
          <t>Transport &amp; Infrastructure (T&amp;I)</t>
        </is>
      </c>
      <c r="S959" s="2" t="inlineStr">
        <is>
          <t>Downer</t>
        </is>
      </c>
      <c r="T959" s="2" t="n">
        <v>100</v>
      </c>
      <c r="W959" s="2" t="inlineStr">
        <is>
          <t>Classification</t>
        </is>
      </c>
      <c r="X959" s="2" t="n">
        <v>-37.0083</v>
      </c>
      <c r="Y959" s="2" t="n">
        <v>174.8705</v>
      </c>
    </row>
    <row r="960">
      <c r="A960" s="2" t="inlineStr">
        <is>
          <t>Downer</t>
        </is>
      </c>
      <c r="B960" s="2" t="inlineStr">
        <is>
          <t>CROFTON DOWNS PRIMARY SCHOOL</t>
        </is>
      </c>
      <c r="C960" s="2" t="inlineStr">
        <is>
          <t>Other</t>
        </is>
      </c>
      <c r="D960" s="2" t="inlineStr">
        <is>
          <t>L9.DNZ.HW0219</t>
        </is>
      </c>
      <c r="E960" s="2" t="inlineStr">
        <is>
          <t>JP_HW0219</t>
        </is>
      </c>
      <c r="F960" s="2" t="inlineStr">
        <is>
          <t>JP_HW0219</t>
        </is>
      </c>
      <c r="M960" s="2" t="inlineStr">
        <is>
          <t>Wellington</t>
        </is>
      </c>
      <c r="N960" s="2" t="inlineStr">
        <is>
          <t>New Zealand</t>
        </is>
      </c>
      <c r="P960" s="2" t="inlineStr">
        <is>
          <t>Operational Control</t>
        </is>
      </c>
      <c r="Q960" s="2" t="inlineStr">
        <is>
          <t>Operational Control</t>
        </is>
      </c>
      <c r="R960" s="2" t="inlineStr">
        <is>
          <t>Transport &amp; Infrastructure (T&amp;I)</t>
        </is>
      </c>
      <c r="S960" s="2" t="inlineStr">
        <is>
          <t>Downer</t>
        </is>
      </c>
      <c r="T960" s="2" t="n">
        <v>100</v>
      </c>
      <c r="W960" s="2" t="inlineStr">
        <is>
          <t>Classification</t>
        </is>
      </c>
    </row>
    <row r="961">
      <c r="A961" s="2" t="inlineStr">
        <is>
          <t>Downer</t>
        </is>
      </c>
      <c r="B961" s="2" t="inlineStr">
        <is>
          <t>Cromwell WWTP</t>
        </is>
      </c>
      <c r="C961" s="2" t="inlineStr">
        <is>
          <t>Other</t>
        </is>
      </c>
      <c r="D961" s="2" t="inlineStr">
        <is>
          <t>L9.DNZJ.PS2632</t>
        </is>
      </c>
      <c r="E961" s="2" t="inlineStr">
        <is>
          <t>PS2632</t>
        </is>
      </c>
      <c r="M961" s="2" t="inlineStr">
        <is>
          <t>Manurewa</t>
        </is>
      </c>
      <c r="N961" s="2" t="inlineStr">
        <is>
          <t>New Zealand</t>
        </is>
      </c>
      <c r="P961" s="2" t="inlineStr">
        <is>
          <t>Operational Control</t>
        </is>
      </c>
      <c r="Q961" s="2" t="inlineStr">
        <is>
          <t>Operational Control</t>
        </is>
      </c>
      <c r="R961" s="2" t="inlineStr">
        <is>
          <t>Transport &amp; Infrastructure (T&amp;I)</t>
        </is>
      </c>
      <c r="S961" s="2" t="inlineStr">
        <is>
          <t>Downer</t>
        </is>
      </c>
      <c r="T961" s="2" t="n">
        <v>100</v>
      </c>
      <c r="W961" s="2" t="inlineStr">
        <is>
          <t>Classification</t>
        </is>
      </c>
    </row>
    <row r="962">
      <c r="A962" s="2" t="inlineStr">
        <is>
          <t>Downer</t>
        </is>
      </c>
      <c r="B962" s="2" t="inlineStr">
        <is>
          <t>CS - City of Melbourne - Street Cleaning</t>
        </is>
      </c>
      <c r="C962" s="2" t="inlineStr">
        <is>
          <t>Industrial</t>
        </is>
      </c>
      <c r="D962" s="2" t="inlineStr">
        <is>
          <t>L9.S.14000697</t>
        </is>
      </c>
      <c r="E962" s="2" t="inlineStr">
        <is>
          <t>L9.S.14000697</t>
        </is>
      </c>
      <c r="H962" s="2" t="inlineStr">
        <is>
          <t>Street Cleaning</t>
        </is>
      </c>
      <c r="I962" s="2" t="inlineStr">
        <is>
          <t>Melbourne</t>
        </is>
      </c>
      <c r="J962" s="2" t="inlineStr">
        <is>
          <t>VIC</t>
        </is>
      </c>
      <c r="M962" s="2" t="inlineStr">
        <is>
          <t>Victoria</t>
        </is>
      </c>
      <c r="N962" s="2" t="inlineStr">
        <is>
          <t>Australia</t>
        </is>
      </c>
      <c r="P962" s="2" t="inlineStr">
        <is>
          <t>Operational Control</t>
        </is>
      </c>
      <c r="Q962" s="2" t="inlineStr">
        <is>
          <t>Operational Control</t>
        </is>
      </c>
      <c r="R962" s="2" t="inlineStr">
        <is>
          <t>Social Infra &amp; Citizen Serv (SICS)</t>
        </is>
      </c>
      <c r="S962" s="2" t="inlineStr">
        <is>
          <t>Downer</t>
        </is>
      </c>
      <c r="T962" s="2" t="n">
        <v>100</v>
      </c>
      <c r="W962" s="2" t="inlineStr">
        <is>
          <t>Classification</t>
        </is>
      </c>
      <c r="Z962" s="2" t="n">
        <v>731</v>
      </c>
    </row>
    <row r="963">
      <c r="A963" s="2" t="inlineStr">
        <is>
          <t>Downer</t>
        </is>
      </c>
      <c r="B963" s="2" t="inlineStr">
        <is>
          <t>CS Energy Alliance EU Subcontractors</t>
        </is>
      </c>
      <c r="C963" s="2" t="inlineStr">
        <is>
          <t>Other</t>
        </is>
      </c>
      <c r="D963" s="2" t="inlineStr">
        <is>
          <t>L9.J.38215119</t>
        </is>
      </c>
      <c r="E963" s="2" t="inlineStr">
        <is>
          <t>L9.J.38215119</t>
        </is>
      </c>
      <c r="M963" s="2" t="inlineStr">
        <is>
          <t>North Ryde</t>
        </is>
      </c>
      <c r="N963" s="2" t="inlineStr">
        <is>
          <t>Australia</t>
        </is>
      </c>
      <c r="P963" s="2" t="inlineStr">
        <is>
          <t>Operational Control</t>
        </is>
      </c>
      <c r="Q963" s="2" t="inlineStr">
        <is>
          <t>Operational Control</t>
        </is>
      </c>
      <c r="R963" s="2" t="inlineStr">
        <is>
          <t>Energy and Utilities (EU)</t>
        </is>
      </c>
      <c r="S963" s="2" t="inlineStr">
        <is>
          <t>Downer</t>
        </is>
      </c>
      <c r="T963" s="2" t="n">
        <v>100</v>
      </c>
      <c r="W963" s="2" t="inlineStr">
        <is>
          <t>Classification</t>
        </is>
      </c>
    </row>
    <row r="964">
      <c r="A964" s="2" t="inlineStr">
        <is>
          <t>Downer</t>
        </is>
      </c>
      <c r="B964" s="2" t="inlineStr">
        <is>
          <t>CSA02 Connect MDU/ROW Build EU Subcontractors</t>
        </is>
      </c>
      <c r="C964" s="2" t="inlineStr">
        <is>
          <t>Other</t>
        </is>
      </c>
      <c r="D964" s="2" t="inlineStr">
        <is>
          <t>L9.DNZ.810.20975</t>
        </is>
      </c>
      <c r="E964" s="2" t="inlineStr">
        <is>
          <t>L9.DNZ.810.20975</t>
        </is>
      </c>
      <c r="M964" s="2" t="inlineStr">
        <is>
          <t>Auckland City</t>
        </is>
      </c>
      <c r="N964" s="2" t="inlineStr">
        <is>
          <t>New Zealand</t>
        </is>
      </c>
      <c r="P964" s="2" t="inlineStr">
        <is>
          <t>Operational Control</t>
        </is>
      </c>
      <c r="Q964" s="2" t="inlineStr">
        <is>
          <t>Operational Control</t>
        </is>
      </c>
      <c r="R964" s="2" t="inlineStr">
        <is>
          <t>Energy and Utilities (EU)</t>
        </is>
      </c>
      <c r="S964" s="2" t="inlineStr">
        <is>
          <t>Downer</t>
        </is>
      </c>
      <c r="T964" s="2" t="n">
        <v>100</v>
      </c>
      <c r="W964" s="2" t="inlineStr">
        <is>
          <t>Classification</t>
        </is>
      </c>
    </row>
    <row r="965">
      <c r="A965" s="2" t="inlineStr">
        <is>
          <t>Downer</t>
        </is>
      </c>
      <c r="B965" s="2" t="inlineStr">
        <is>
          <t>Culverden (26 Lyndon St)</t>
        </is>
      </c>
      <c r="C965" s="2" t="inlineStr">
        <is>
          <t>Other</t>
        </is>
      </c>
      <c r="D965" s="2" t="inlineStr">
        <is>
          <t>L9.DNZJ.91325</t>
        </is>
      </c>
      <c r="E965" s="2" t="n">
        <v>91325</v>
      </c>
      <c r="H965" s="2" t="inlineStr">
        <is>
          <t>26 Lyndon Street</t>
        </is>
      </c>
      <c r="I965" s="2" t="inlineStr">
        <is>
          <t>Culverden</t>
        </is>
      </c>
      <c r="J965" s="2" t="inlineStr">
        <is>
          <t>Culverden</t>
        </is>
      </c>
      <c r="K965" s="2" t="n">
        <v>7392</v>
      </c>
      <c r="L965" s="2" t="inlineStr">
        <is>
          <t>New Zealand</t>
        </is>
      </c>
      <c r="M965" s="2" t="inlineStr">
        <is>
          <t>Culverden</t>
        </is>
      </c>
      <c r="N965" s="2" t="inlineStr">
        <is>
          <t>New Zealand</t>
        </is>
      </c>
      <c r="P965" s="2" t="inlineStr">
        <is>
          <t>Operational Control</t>
        </is>
      </c>
      <c r="Q965" s="2" t="inlineStr">
        <is>
          <t>Operational Control</t>
        </is>
      </c>
      <c r="R965" s="2" t="inlineStr">
        <is>
          <t>Corporate</t>
        </is>
      </c>
      <c r="S965" s="2" t="inlineStr">
        <is>
          <t>Downer</t>
        </is>
      </c>
      <c r="T965" s="2" t="n">
        <v>100</v>
      </c>
      <c r="W965" s="2" t="inlineStr">
        <is>
          <t>Classification</t>
        </is>
      </c>
      <c r="X965" s="2" t="n">
        <v>-42.7724</v>
      </c>
      <c r="Y965" s="2" t="n">
        <v>172.8554</v>
      </c>
    </row>
    <row r="966">
      <c r="A966" s="2" t="inlineStr">
        <is>
          <t>Downer</t>
        </is>
      </c>
      <c r="B966" s="2" t="inlineStr">
        <is>
          <t>Culvert 49</t>
        </is>
      </c>
      <c r="C966" s="2" t="inlineStr">
        <is>
          <t>Other</t>
        </is>
      </c>
      <c r="D966" s="2" t="inlineStr">
        <is>
          <t>L9.DNZJ.552160</t>
        </is>
      </c>
      <c r="E966" s="2" t="n">
        <v>552160</v>
      </c>
      <c r="G966" s="2" t="inlineStr">
        <is>
          <t>TI-NZT-552160 - Culvert 49</t>
        </is>
      </c>
      <c r="M966" s="2" t="inlineStr">
        <is>
          <t>Whangarei</t>
        </is>
      </c>
      <c r="N966" s="2" t="inlineStr">
        <is>
          <t>New Zealand</t>
        </is>
      </c>
      <c r="P966" s="2" t="inlineStr">
        <is>
          <t>Operational Control</t>
        </is>
      </c>
      <c r="Q966" s="2" t="inlineStr">
        <is>
          <t>Operational Control</t>
        </is>
      </c>
      <c r="R966" s="2" t="inlineStr">
        <is>
          <t>Transport &amp; Infrastructure (T&amp;I)</t>
        </is>
      </c>
      <c r="S966" s="2" t="inlineStr">
        <is>
          <t>Downer</t>
        </is>
      </c>
      <c r="T966" s="2" t="n">
        <v>100</v>
      </c>
      <c r="W966" s="2" t="inlineStr">
        <is>
          <t>Classification</t>
        </is>
      </c>
    </row>
    <row r="967">
      <c r="A967" s="2" t="inlineStr">
        <is>
          <t>Downer</t>
        </is>
      </c>
      <c r="B967" s="2" t="inlineStr">
        <is>
          <t>CWA Alliance Holding</t>
        </is>
      </c>
      <c r="C967" s="2" t="inlineStr">
        <is>
          <t>Other</t>
        </is>
      </c>
      <c r="D967" s="2" t="inlineStr">
        <is>
          <t>L9.DNZJ.1515</t>
        </is>
      </c>
      <c r="E967" s="2" t="n">
        <v>1515</v>
      </c>
      <c r="H967" s="2" t="inlineStr">
        <is>
          <t>130 Kerrs Road</t>
        </is>
      </c>
      <c r="I967" s="2" t="inlineStr">
        <is>
          <t>Wiri</t>
        </is>
      </c>
      <c r="J967" s="2" t="inlineStr">
        <is>
          <t>Auckland</t>
        </is>
      </c>
      <c r="K967" s="2" t="n">
        <v>2104</v>
      </c>
      <c r="L967" s="2" t="inlineStr">
        <is>
          <t>New Zealand</t>
        </is>
      </c>
      <c r="M967" s="2" t="inlineStr">
        <is>
          <t>Manurewa</t>
        </is>
      </c>
      <c r="N967" s="2" t="inlineStr">
        <is>
          <t>New Zealand</t>
        </is>
      </c>
      <c r="P967" s="2" t="inlineStr">
        <is>
          <t>Operational Control</t>
        </is>
      </c>
      <c r="Q967" s="2" t="inlineStr">
        <is>
          <t>Operational Control</t>
        </is>
      </c>
      <c r="R967" s="2" t="inlineStr">
        <is>
          <t>Energy and Utilities (EU)</t>
        </is>
      </c>
      <c r="S967" s="2" t="inlineStr">
        <is>
          <t>Downer</t>
        </is>
      </c>
      <c r="T967" s="2" t="n">
        <v>100</v>
      </c>
      <c r="W967" s="2" t="inlineStr">
        <is>
          <t>Classification</t>
        </is>
      </c>
      <c r="X967" s="2" t="n">
        <v>-37.0083</v>
      </c>
      <c r="Y967" s="2" t="n">
        <v>174.8705</v>
      </c>
    </row>
    <row r="968">
      <c r="A968" s="2" t="inlineStr">
        <is>
          <t>Downer</t>
        </is>
      </c>
      <c r="B968" s="2" t="inlineStr">
        <is>
          <t>Dandenong - P&amp;E</t>
        </is>
      </c>
      <c r="C968" s="2" t="inlineStr">
        <is>
          <t>Depot</t>
        </is>
      </c>
      <c r="D968" s="2" t="inlineStr">
        <is>
          <t>L9.J.170334</t>
        </is>
      </c>
      <c r="E968" s="2" t="n">
        <v>170334</v>
      </c>
      <c r="M968" s="2" t="inlineStr">
        <is>
          <t>Victoria</t>
        </is>
      </c>
      <c r="N968" s="2" t="inlineStr">
        <is>
          <t>Australia</t>
        </is>
      </c>
      <c r="P968" s="2" t="inlineStr">
        <is>
          <t>Operational Control</t>
        </is>
      </c>
      <c r="Q968" s="2" t="inlineStr">
        <is>
          <t>Operational Control</t>
        </is>
      </c>
      <c r="R968" s="2" t="inlineStr">
        <is>
          <t>Transport &amp; Infrastructure (T&amp;I)</t>
        </is>
      </c>
      <c r="S968" s="2" t="inlineStr">
        <is>
          <t>Downer</t>
        </is>
      </c>
      <c r="T968" s="2" t="n">
        <v>100</v>
      </c>
      <c r="W968" s="2" t="inlineStr">
        <is>
          <t>Classification</t>
        </is>
      </c>
    </row>
    <row r="969">
      <c r="A969" s="2" t="inlineStr">
        <is>
          <t>Downer</t>
        </is>
      </c>
      <c r="B969" s="2" t="inlineStr">
        <is>
          <t>Dandenong - PAV</t>
        </is>
      </c>
      <c r="C969" s="2" t="inlineStr">
        <is>
          <t>Depot</t>
        </is>
      </c>
      <c r="D969" s="2" t="inlineStr">
        <is>
          <t>L9.J.17092061</t>
        </is>
      </c>
      <c r="E969" s="2" t="n">
        <v>517</v>
      </c>
      <c r="G969" s="2" t="inlineStr">
        <is>
          <t>Office moved from 1 Colemans Rd Dandenong (EDRS facility number 81)</t>
        </is>
      </c>
      <c r="H969" s="2" t="inlineStr">
        <is>
          <t>434-442 South Gippsland Highway</t>
        </is>
      </c>
      <c r="I969" s="2" t="inlineStr">
        <is>
          <t>Dandenong</t>
        </is>
      </c>
      <c r="J969" s="2" t="inlineStr">
        <is>
          <t>VIC</t>
        </is>
      </c>
      <c r="K969" s="2" t="n">
        <v>3175</v>
      </c>
      <c r="L969" s="2" t="inlineStr">
        <is>
          <t>Australia</t>
        </is>
      </c>
      <c r="M969" s="2" t="inlineStr">
        <is>
          <t>Victoria</t>
        </is>
      </c>
      <c r="N969" s="2" t="inlineStr">
        <is>
          <t>Australia</t>
        </is>
      </c>
      <c r="P969" s="2" t="inlineStr">
        <is>
          <t>Operational Control</t>
        </is>
      </c>
      <c r="Q969" s="2" t="inlineStr">
        <is>
          <t>Operational Control</t>
        </is>
      </c>
      <c r="R969" s="2" t="inlineStr">
        <is>
          <t>Transport &amp; Infrastructure (T&amp;I)</t>
        </is>
      </c>
      <c r="S969" s="2" t="inlineStr">
        <is>
          <t>Downer</t>
        </is>
      </c>
      <c r="T969" s="2" t="n">
        <v>100</v>
      </c>
      <c r="W969" s="2" t="inlineStr">
        <is>
          <t>Classification</t>
        </is>
      </c>
      <c r="X969" s="2" t="n">
        <v>-38.032994</v>
      </c>
      <c r="Y969" s="2" t="n">
        <v>145.243083</v>
      </c>
      <c r="Z969" s="2" t="n">
        <v>310</v>
      </c>
    </row>
    <row r="970">
      <c r="A970" s="2" t="inlineStr">
        <is>
          <t>Downer</t>
        </is>
      </c>
      <c r="B970" s="2" t="inlineStr">
        <is>
          <t>Dandenong Depot</t>
        </is>
      </c>
      <c r="C970" s="2" t="inlineStr">
        <is>
          <t>Depot</t>
        </is>
      </c>
      <c r="D970" s="2" t="inlineStr">
        <is>
          <t>L9.J.10920033</t>
        </is>
      </c>
      <c r="E970" s="2" t="inlineStr">
        <is>
          <t>L9.J.10920033</t>
        </is>
      </c>
      <c r="F970" s="2" t="inlineStr">
        <is>
          <t>L9.J.10920033</t>
        </is>
      </c>
      <c r="M970" s="2" t="inlineStr">
        <is>
          <t>Melbourne</t>
        </is>
      </c>
      <c r="N970" s="2" t="inlineStr">
        <is>
          <t>Australia</t>
        </is>
      </c>
      <c r="P970" s="2" t="inlineStr">
        <is>
          <t>Operational Control</t>
        </is>
      </c>
      <c r="Q970" s="2" t="inlineStr">
        <is>
          <t>Operational Control</t>
        </is>
      </c>
      <c r="R970" s="2" t="inlineStr">
        <is>
          <t>Corporate</t>
        </is>
      </c>
      <c r="S970" s="2" t="inlineStr">
        <is>
          <t>Downer</t>
        </is>
      </c>
      <c r="T970" s="2" t="n">
        <v>100</v>
      </c>
      <c r="W970" s="2" t="inlineStr">
        <is>
          <t>Classification</t>
        </is>
      </c>
    </row>
    <row r="971">
      <c r="A971" s="2" t="inlineStr">
        <is>
          <t>Downer</t>
        </is>
      </c>
      <c r="B971" s="2" t="inlineStr">
        <is>
          <t>Dannevirke (9 Oringi Road)</t>
        </is>
      </c>
      <c r="C971" s="2" t="inlineStr">
        <is>
          <t>Other</t>
        </is>
      </c>
      <c r="D971" s="2" t="inlineStr">
        <is>
          <t>L9.DNZJ.91267</t>
        </is>
      </c>
      <c r="E971" s="2" t="n">
        <v>91267</v>
      </c>
      <c r="H971" s="2" t="inlineStr">
        <is>
          <t>9 Oringi Road</t>
        </is>
      </c>
      <c r="I971" s="2" t="inlineStr">
        <is>
          <t>Dannevirke</t>
        </is>
      </c>
      <c r="J971" s="2" t="inlineStr">
        <is>
          <t>Dannevirke</t>
        </is>
      </c>
      <c r="K971" s="2" t="n">
        <v>4972</v>
      </c>
      <c r="L971" s="2" t="inlineStr">
        <is>
          <t>New Zealand</t>
        </is>
      </c>
      <c r="M971" s="2" t="inlineStr">
        <is>
          <t>Palmerston North</t>
        </is>
      </c>
      <c r="N971" s="2" t="inlineStr">
        <is>
          <t>New Zealand</t>
        </is>
      </c>
      <c r="P971" s="2" t="inlineStr">
        <is>
          <t>Operational Control</t>
        </is>
      </c>
      <c r="Q971" s="2" t="inlineStr">
        <is>
          <t>Operational Control</t>
        </is>
      </c>
      <c r="R971" s="2" t="inlineStr">
        <is>
          <t>Corporate</t>
        </is>
      </c>
      <c r="S971" s="2" t="inlineStr">
        <is>
          <t>Downer</t>
        </is>
      </c>
      <c r="T971" s="2" t="n">
        <v>100</v>
      </c>
      <c r="W971" s="2" t="inlineStr">
        <is>
          <t>Classification</t>
        </is>
      </c>
      <c r="X971" s="2" t="n">
        <v>-40.2642</v>
      </c>
      <c r="Y971" s="2" t="n">
        <v>176.0266</v>
      </c>
    </row>
    <row r="972">
      <c r="A972" s="2" t="inlineStr">
        <is>
          <t>Downer</t>
        </is>
      </c>
      <c r="B972" s="2" t="inlineStr">
        <is>
          <t>Dargaville Depot</t>
        </is>
      </c>
      <c r="C972" s="2" t="inlineStr">
        <is>
          <t>Other</t>
        </is>
      </c>
      <c r="D972" s="2" t="inlineStr">
        <is>
          <t>L9.DNZJ.55512</t>
        </is>
      </c>
      <c r="E972" s="2" t="n">
        <v>55512</v>
      </c>
      <c r="H972" s="2" t="inlineStr">
        <is>
          <t>6 Day Street</t>
        </is>
      </c>
      <c r="I972" s="2" t="inlineStr">
        <is>
          <t>Dargaville</t>
        </is>
      </c>
      <c r="J972" s="2" t="inlineStr">
        <is>
          <t>Dargaville</t>
        </is>
      </c>
      <c r="K972" s="2" t="n">
        <v>310</v>
      </c>
      <c r="L972" s="2" t="inlineStr">
        <is>
          <t>New Zealand</t>
        </is>
      </c>
      <c r="M972" s="2" t="inlineStr">
        <is>
          <t>Dargaville</t>
        </is>
      </c>
      <c r="N972" s="2" t="inlineStr">
        <is>
          <t>New Zealand</t>
        </is>
      </c>
      <c r="P972" s="2" t="inlineStr">
        <is>
          <t>Operational Control</t>
        </is>
      </c>
      <c r="Q972" s="2" t="inlineStr">
        <is>
          <t>Operational Control</t>
        </is>
      </c>
      <c r="R972" s="2" t="inlineStr">
        <is>
          <t>Transport &amp; Infrastructure (T&amp;I)</t>
        </is>
      </c>
      <c r="S972" s="2" t="inlineStr">
        <is>
          <t>Downer</t>
        </is>
      </c>
      <c r="T972" s="2" t="n">
        <v>100</v>
      </c>
      <c r="W972" s="2" t="inlineStr">
        <is>
          <t>Classification</t>
        </is>
      </c>
      <c r="X972" s="2" t="n">
        <v>-35.9433</v>
      </c>
      <c r="Y972" s="2" t="n">
        <v>173.8604</v>
      </c>
    </row>
    <row r="973">
      <c r="A973" s="2" t="inlineStr">
        <is>
          <t>Downer</t>
        </is>
      </c>
      <c r="B973" s="2" t="inlineStr">
        <is>
          <t>Darwin - BIT</t>
        </is>
      </c>
      <c r="C973" s="2" t="inlineStr">
        <is>
          <t>Storage / Warehouse</t>
        </is>
      </c>
      <c r="D973" s="2" t="inlineStr">
        <is>
          <t>L9.J.170529</t>
        </is>
      </c>
      <c r="E973" s="2" t="inlineStr">
        <is>
          <t>BBIT</t>
        </is>
      </c>
      <c r="G973" s="2" t="inlineStr">
        <is>
          <t>Storage Yard</t>
        </is>
      </c>
      <c r="M973" s="2" t="inlineStr">
        <is>
          <t>Northern Territory</t>
        </is>
      </c>
      <c r="N973" s="2" t="inlineStr">
        <is>
          <t>Australia</t>
        </is>
      </c>
      <c r="P973" s="2" t="inlineStr">
        <is>
          <t>Operational Control</t>
        </is>
      </c>
      <c r="Q973" s="2" t="inlineStr">
        <is>
          <t>Operational Control</t>
        </is>
      </c>
      <c r="R973" s="2" t="inlineStr">
        <is>
          <t>Transport &amp; Infrastructure (T&amp;I)</t>
        </is>
      </c>
      <c r="S973" s="2" t="inlineStr">
        <is>
          <t>Downer</t>
        </is>
      </c>
      <c r="T973" s="2" t="n">
        <v>100</v>
      </c>
      <c r="W973" s="2" t="inlineStr">
        <is>
          <t>Classification</t>
        </is>
      </c>
    </row>
    <row r="974">
      <c r="A974" s="2" t="inlineStr">
        <is>
          <t>Downer</t>
        </is>
      </c>
      <c r="B974" s="2" t="inlineStr">
        <is>
          <t>Darwin - P&amp;E</t>
        </is>
      </c>
      <c r="C974" s="2" t="inlineStr">
        <is>
          <t>Depot</t>
        </is>
      </c>
      <c r="D974" s="2" t="inlineStr">
        <is>
          <t>L9.J.170591</t>
        </is>
      </c>
      <c r="M974" s="2" t="inlineStr">
        <is>
          <t>Northern Territory</t>
        </is>
      </c>
      <c r="N974" s="2" t="inlineStr">
        <is>
          <t>Australia</t>
        </is>
      </c>
      <c r="P974" s="2" t="inlineStr">
        <is>
          <t>Operational Control</t>
        </is>
      </c>
      <c r="Q974" s="2" t="inlineStr">
        <is>
          <t>Operational Control</t>
        </is>
      </c>
      <c r="R974" s="2" t="inlineStr">
        <is>
          <t>Transport &amp; Infrastructure (T&amp;I)</t>
        </is>
      </c>
      <c r="S974" s="2" t="inlineStr">
        <is>
          <t>Downer</t>
        </is>
      </c>
      <c r="T974" s="2" t="n">
        <v>100</v>
      </c>
      <c r="W974" s="2" t="inlineStr">
        <is>
          <t>Classification</t>
        </is>
      </c>
    </row>
    <row r="975">
      <c r="A975" s="2" t="inlineStr">
        <is>
          <t>Downer</t>
        </is>
      </c>
      <c r="B975" s="2" t="inlineStr">
        <is>
          <t>DCC9776 Seacliff WWTP Upgrade EU Subcontractors</t>
        </is>
      </c>
      <c r="C975" s="2" t="inlineStr">
        <is>
          <t>Other</t>
        </is>
      </c>
      <c r="D975" s="2" t="inlineStr">
        <is>
          <t>L9.DNZJ.561469</t>
        </is>
      </c>
      <c r="E975" s="2" t="inlineStr">
        <is>
          <t>L9.DNZJ.561469</t>
        </is>
      </c>
      <c r="M975" s="2" t="inlineStr">
        <is>
          <t>Auckland City</t>
        </is>
      </c>
      <c r="N975" s="2" t="inlineStr">
        <is>
          <t>New Zealand</t>
        </is>
      </c>
      <c r="P975" s="2" t="inlineStr">
        <is>
          <t>Operational Control</t>
        </is>
      </c>
      <c r="Q975" s="2" t="inlineStr">
        <is>
          <t>Operational Control</t>
        </is>
      </c>
      <c r="R975" s="2" t="inlineStr">
        <is>
          <t>Energy and Utilities (EU)</t>
        </is>
      </c>
      <c r="S975" s="2" t="inlineStr">
        <is>
          <t>Downer</t>
        </is>
      </c>
      <c r="T975" s="2" t="n">
        <v>100</v>
      </c>
      <c r="W975" s="2" t="inlineStr">
        <is>
          <t>Classification</t>
        </is>
      </c>
    </row>
    <row r="976">
      <c r="A976" s="2" t="inlineStr">
        <is>
          <t>Downer</t>
        </is>
      </c>
      <c r="B976" s="2" t="inlineStr">
        <is>
          <t>Defence FSU &amp; Corp OHs</t>
        </is>
      </c>
      <c r="C976" s="2" t="inlineStr">
        <is>
          <t>Other</t>
        </is>
      </c>
      <c r="D976" s="2" t="inlineStr">
        <is>
          <t>L9.S.23000753</t>
        </is>
      </c>
      <c r="E976" s="2" t="n">
        <v>2000000916</v>
      </c>
      <c r="G976" s="2" t="inlineStr">
        <is>
          <t>Defence FSU &amp; Corp OHs</t>
        </is>
      </c>
      <c r="M976" s="2" t="inlineStr">
        <is>
          <t>Auckland</t>
        </is>
      </c>
      <c r="N976" s="2" t="inlineStr">
        <is>
          <t>New Zealand</t>
        </is>
      </c>
      <c r="P976" s="2" t="inlineStr">
        <is>
          <t>Operational Control</t>
        </is>
      </c>
      <c r="Q976" s="2" t="inlineStr">
        <is>
          <t>Operational Control</t>
        </is>
      </c>
      <c r="R976" s="2" t="inlineStr">
        <is>
          <t>Social Infra &amp; Citizen Serv (SICS)</t>
        </is>
      </c>
      <c r="S976" s="2" t="inlineStr">
        <is>
          <t>Downer</t>
        </is>
      </c>
      <c r="T976" s="2" t="n">
        <v>100</v>
      </c>
      <c r="W976" s="2" t="inlineStr">
        <is>
          <t>Classification</t>
        </is>
      </c>
    </row>
    <row r="977">
      <c r="A977" s="2" t="inlineStr">
        <is>
          <t>Downer</t>
        </is>
      </c>
      <c r="B977" s="2" t="inlineStr">
        <is>
          <t>Defence NZ Off Charge</t>
        </is>
      </c>
      <c r="C977" s="2" t="inlineStr">
        <is>
          <t>Other</t>
        </is>
      </c>
      <c r="D977" s="2" t="inlineStr">
        <is>
          <t>L9.S.23000753</t>
        </is>
      </c>
      <c r="E977" s="2" t="n">
        <v>2000004644</v>
      </c>
      <c r="M977" s="2" t="inlineStr">
        <is>
          <t>Manurewa</t>
        </is>
      </c>
      <c r="N977" s="2" t="inlineStr">
        <is>
          <t>New Zealand</t>
        </is>
      </c>
      <c r="P977" s="2" t="inlineStr">
        <is>
          <t>Operational Control</t>
        </is>
      </c>
      <c r="Q977" s="2" t="inlineStr">
        <is>
          <t>Operational Control</t>
        </is>
      </c>
      <c r="R977" s="2" t="inlineStr">
        <is>
          <t>Social Infra &amp; Citizen Serv (SICS)</t>
        </is>
      </c>
      <c r="S977" s="2" t="inlineStr">
        <is>
          <t>Downer</t>
        </is>
      </c>
      <c r="T977" s="2" t="n">
        <v>100</v>
      </c>
      <c r="W977" s="2" t="inlineStr">
        <is>
          <t>Classification</t>
        </is>
      </c>
    </row>
    <row r="978">
      <c r="A978" s="2" t="inlineStr">
        <is>
          <t>Downer</t>
        </is>
      </c>
      <c r="B978" s="2" t="inlineStr">
        <is>
          <t>Dep_Road_Science</t>
        </is>
      </c>
      <c r="C978" s="2" t="inlineStr">
        <is>
          <t>Depot</t>
        </is>
      </c>
      <c r="D978" s="2" t="inlineStr">
        <is>
          <t>L9.DNZJ.3000</t>
        </is>
      </c>
      <c r="F978" s="7" t="n">
        <v>900601900603</v>
      </c>
      <c r="M978" s="2" t="inlineStr">
        <is>
          <t>Auckland City</t>
        </is>
      </c>
      <c r="N978" s="2" t="inlineStr">
        <is>
          <t>New Zealand</t>
        </is>
      </c>
      <c r="P978" s="2" t="inlineStr">
        <is>
          <t>Operational Control</t>
        </is>
      </c>
      <c r="Q978" s="2" t="inlineStr">
        <is>
          <t>Operational Control</t>
        </is>
      </c>
      <c r="R978" s="2" t="inlineStr">
        <is>
          <t>Asset &amp; Development Services (Baseline)</t>
        </is>
      </c>
      <c r="S978" s="2" t="inlineStr">
        <is>
          <t>Downer</t>
        </is>
      </c>
      <c r="T978" s="2" t="n">
        <v>100</v>
      </c>
      <c r="W978" s="2" t="inlineStr">
        <is>
          <t>Classification</t>
        </is>
      </c>
    </row>
    <row r="979">
      <c r="A979" s="2" t="inlineStr">
        <is>
          <t>Downer</t>
        </is>
      </c>
      <c r="B979" s="2" t="inlineStr">
        <is>
          <t>Dep_SELWIN_STREET_Compound</t>
        </is>
      </c>
      <c r="C979" s="2" t="inlineStr">
        <is>
          <t>Depot</t>
        </is>
      </c>
      <c r="D979" s="2" t="inlineStr">
        <is>
          <t>L9.DNZJ.8100</t>
        </is>
      </c>
      <c r="F979" s="2" t="n">
        <v>898267</v>
      </c>
      <c r="M979" s="2" t="inlineStr">
        <is>
          <t>Auckland City</t>
        </is>
      </c>
      <c r="N979" s="2" t="inlineStr">
        <is>
          <t>New Zealand</t>
        </is>
      </c>
      <c r="P979" s="2" t="inlineStr">
        <is>
          <t>Operational Control</t>
        </is>
      </c>
      <c r="Q979" s="2" t="inlineStr">
        <is>
          <t>Operational Control</t>
        </is>
      </c>
      <c r="R979" s="2" t="inlineStr">
        <is>
          <t>Asset &amp; Development Services (Baseline)</t>
        </is>
      </c>
      <c r="S979" s="2" t="inlineStr">
        <is>
          <t>Downer</t>
        </is>
      </c>
      <c r="T979" s="2" t="n">
        <v>100</v>
      </c>
      <c r="W979" s="2" t="inlineStr">
        <is>
          <t>Classification</t>
        </is>
      </c>
    </row>
    <row r="980">
      <c r="A980" s="2" t="inlineStr">
        <is>
          <t>Downer</t>
        </is>
      </c>
      <c r="B980" s="2" t="inlineStr">
        <is>
          <t>Dep_Transmission Gully</t>
        </is>
      </c>
      <c r="C980" s="2" t="inlineStr">
        <is>
          <t>Depot</t>
        </is>
      </c>
      <c r="D980" s="2" t="inlineStr">
        <is>
          <t>L9.DNZJ.352402</t>
        </is>
      </c>
      <c r="F980" s="7" t="n">
        <v>10802311080284</v>
      </c>
      <c r="M980" s="2" t="inlineStr">
        <is>
          <t>Auckland City</t>
        </is>
      </c>
      <c r="N980" s="2" t="inlineStr">
        <is>
          <t>New Zealand</t>
        </is>
      </c>
      <c r="P980" s="2" t="inlineStr">
        <is>
          <t>Operational Control</t>
        </is>
      </c>
      <c r="Q980" s="2" t="inlineStr">
        <is>
          <t>Operational Control</t>
        </is>
      </c>
      <c r="R980" s="2" t="inlineStr">
        <is>
          <t>Asset &amp; Development Services (Baseline)</t>
        </is>
      </c>
      <c r="S980" s="2" t="inlineStr">
        <is>
          <t>Downer</t>
        </is>
      </c>
      <c r="T980" s="2" t="n">
        <v>100</v>
      </c>
      <c r="W980" s="2" t="inlineStr">
        <is>
          <t>Classification</t>
        </is>
      </c>
    </row>
    <row r="981">
      <c r="A981" s="2" t="inlineStr">
        <is>
          <t>Downer</t>
        </is>
      </c>
      <c r="B981" s="2" t="inlineStr">
        <is>
          <t>Design &amp; Planning Manager</t>
        </is>
      </c>
      <c r="C981" s="2" t="inlineStr">
        <is>
          <t>Other</t>
        </is>
      </c>
      <c r="D981" s="2" t="inlineStr">
        <is>
          <t>L9.DUN.60300</t>
        </is>
      </c>
      <c r="E981" s="2" t="inlineStr">
        <is>
          <t>PG60300</t>
        </is>
      </c>
      <c r="H981" s="2" t="inlineStr">
        <is>
          <t>130 Kerrs Road</t>
        </is>
      </c>
      <c r="I981" s="2" t="inlineStr">
        <is>
          <t>Wiri</t>
        </is>
      </c>
      <c r="J981" s="2" t="inlineStr">
        <is>
          <t>Auckland</t>
        </is>
      </c>
      <c r="K981" s="2" t="n">
        <v>2104</v>
      </c>
      <c r="L981" s="2" t="inlineStr">
        <is>
          <t>New Zealand</t>
        </is>
      </c>
      <c r="M981" s="2" t="inlineStr">
        <is>
          <t>Manurewa</t>
        </is>
      </c>
      <c r="N981" s="2" t="inlineStr">
        <is>
          <t>New Zealand</t>
        </is>
      </c>
      <c r="P981" s="2" t="inlineStr">
        <is>
          <t>Operational Control</t>
        </is>
      </c>
      <c r="Q981" s="2" t="inlineStr">
        <is>
          <t>Operational Control</t>
        </is>
      </c>
      <c r="R981" s="2" t="inlineStr">
        <is>
          <t>Energy and Utilities (EU)</t>
        </is>
      </c>
      <c r="S981" s="2" t="inlineStr">
        <is>
          <t>Downer</t>
        </is>
      </c>
      <c r="T981" s="2" t="n">
        <v>100</v>
      </c>
      <c r="W981" s="2" t="inlineStr">
        <is>
          <t>Classification</t>
        </is>
      </c>
      <c r="X981" s="2" t="n">
        <v>-37.0083</v>
      </c>
      <c r="Y981" s="2" t="n">
        <v>174.8705</v>
      </c>
    </row>
    <row r="982">
      <c r="A982" s="2" t="inlineStr">
        <is>
          <t>Downer</t>
        </is>
      </c>
      <c r="B982" s="2" t="inlineStr">
        <is>
          <t>Design Estimation North</t>
        </is>
      </c>
      <c r="C982" s="2" t="inlineStr">
        <is>
          <t>Other</t>
        </is>
      </c>
      <c r="D982" s="2" t="inlineStr">
        <is>
          <t>L9.DNZ.810.10.083</t>
        </is>
      </c>
      <c r="E982" s="2" t="inlineStr">
        <is>
          <t>PG32010</t>
        </is>
      </c>
      <c r="M982" s="2" t="inlineStr">
        <is>
          <t>Auckland</t>
        </is>
      </c>
      <c r="N982" s="2" t="inlineStr">
        <is>
          <t>New Zealand</t>
        </is>
      </c>
      <c r="P982" s="2" t="inlineStr">
        <is>
          <t>Operational Control</t>
        </is>
      </c>
      <c r="Q982" s="2" t="inlineStr">
        <is>
          <t>Operational Control</t>
        </is>
      </c>
      <c r="R982" s="2" t="inlineStr">
        <is>
          <t>Energy and Utilities (EU)</t>
        </is>
      </c>
      <c r="S982" s="2" t="inlineStr">
        <is>
          <t>Downer</t>
        </is>
      </c>
      <c r="T982" s="2" t="n">
        <v>100</v>
      </c>
      <c r="W982" s="2" t="inlineStr">
        <is>
          <t>Classification</t>
        </is>
      </c>
    </row>
    <row r="983">
      <c r="A983" s="2" t="inlineStr">
        <is>
          <t>Downer</t>
        </is>
      </c>
      <c r="B983" s="2" t="inlineStr">
        <is>
          <t>Design Estimation South</t>
        </is>
      </c>
      <c r="C983" s="2" t="inlineStr">
        <is>
          <t>Other</t>
        </is>
      </c>
      <c r="D983" s="2" t="inlineStr">
        <is>
          <t>L9.DUN.32020</t>
        </is>
      </c>
      <c r="E983" s="2" t="inlineStr">
        <is>
          <t>PG32020</t>
        </is>
      </c>
      <c r="F983" s="2" t="inlineStr">
        <is>
          <t>PG32020</t>
        </is>
      </c>
      <c r="M983" s="2" t="inlineStr">
        <is>
          <t>Auckland</t>
        </is>
      </c>
      <c r="N983" s="2" t="inlineStr">
        <is>
          <t>New Zealand</t>
        </is>
      </c>
      <c r="P983" s="2" t="inlineStr">
        <is>
          <t>Operational Control</t>
        </is>
      </c>
      <c r="Q983" s="2" t="inlineStr">
        <is>
          <t>Operational Control</t>
        </is>
      </c>
      <c r="R983" s="2" t="inlineStr">
        <is>
          <t>Energy and Utilities (EU)</t>
        </is>
      </c>
      <c r="S983" s="2" t="inlineStr">
        <is>
          <t>Downer</t>
        </is>
      </c>
      <c r="T983" s="2" t="n">
        <v>100</v>
      </c>
      <c r="W983" s="2" t="inlineStr">
        <is>
          <t>Classification</t>
        </is>
      </c>
    </row>
    <row r="984">
      <c r="A984" s="2" t="inlineStr">
        <is>
          <t>Downer</t>
        </is>
      </c>
      <c r="B984" s="2" t="inlineStr">
        <is>
          <t>DESIGN EU Subcontractors</t>
        </is>
      </c>
      <c r="C984" s="2" t="inlineStr">
        <is>
          <t>Other</t>
        </is>
      </c>
      <c r="D984" s="2" t="inlineStr">
        <is>
          <t>L9.DNZJ.10182</t>
        </is>
      </c>
      <c r="E984" s="2" t="inlineStr">
        <is>
          <t>L9.DNZJ.10182</t>
        </is>
      </c>
      <c r="F984" s="2" t="inlineStr">
        <is>
          <t>L9.DNZJ.10182</t>
        </is>
      </c>
      <c r="M984" s="2" t="inlineStr">
        <is>
          <t>Auckland</t>
        </is>
      </c>
      <c r="N984" s="2" t="inlineStr">
        <is>
          <t>New Zealand</t>
        </is>
      </c>
      <c r="P984" s="2" t="inlineStr">
        <is>
          <t>Operational Control</t>
        </is>
      </c>
      <c r="Q984" s="2" t="inlineStr">
        <is>
          <t>Operational Control</t>
        </is>
      </c>
      <c r="R984" s="2" t="inlineStr">
        <is>
          <t>Energy and Utilities (EU)</t>
        </is>
      </c>
      <c r="S984" s="2" t="inlineStr">
        <is>
          <t>Downer</t>
        </is>
      </c>
      <c r="T984" s="2" t="n">
        <v>100</v>
      </c>
      <c r="W984" s="2" t="inlineStr">
        <is>
          <t>Classification</t>
        </is>
      </c>
    </row>
    <row r="985">
      <c r="A985" s="2" t="inlineStr">
        <is>
          <t>Downer</t>
        </is>
      </c>
      <c r="B985" s="2" t="inlineStr">
        <is>
          <t>Design Upper North Island</t>
        </is>
      </c>
      <c r="C985" s="2" t="inlineStr">
        <is>
          <t>Other</t>
        </is>
      </c>
      <c r="D985" s="2" t="inlineStr">
        <is>
          <t>L9.DNZ.810.10.038</t>
        </is>
      </c>
      <c r="E985" s="2" t="n">
        <v>10038</v>
      </c>
      <c r="F985" s="2" t="n">
        <v>10038</v>
      </c>
      <c r="M985" s="2" t="inlineStr">
        <is>
          <t>Auckland</t>
        </is>
      </c>
      <c r="N985" s="2" t="inlineStr">
        <is>
          <t>New Zealand</t>
        </is>
      </c>
      <c r="P985" s="2" t="inlineStr">
        <is>
          <t>Operational Control</t>
        </is>
      </c>
      <c r="Q985" s="2" t="inlineStr">
        <is>
          <t>Operational Control</t>
        </is>
      </c>
      <c r="R985" s="2" t="inlineStr">
        <is>
          <t>Energy and Utilities (EU)</t>
        </is>
      </c>
      <c r="S985" s="2" t="inlineStr">
        <is>
          <t>Downer</t>
        </is>
      </c>
      <c r="T985" s="2" t="n">
        <v>100</v>
      </c>
      <c r="W985" s="2" t="inlineStr">
        <is>
          <t>Classification</t>
        </is>
      </c>
    </row>
    <row r="986">
      <c r="A986" s="2" t="inlineStr">
        <is>
          <t>Downer</t>
        </is>
      </c>
      <c r="B986" s="2" t="inlineStr">
        <is>
          <t>DETROIT APRTMNTS EARTHQUAKE RE</t>
        </is>
      </c>
      <c r="C986" s="2" t="inlineStr">
        <is>
          <t>Other</t>
        </is>
      </c>
      <c r="D986" s="2" t="inlineStr">
        <is>
          <t>L9.DNZ.HW0244</t>
        </is>
      </c>
      <c r="E986" s="2" t="inlineStr">
        <is>
          <t>JP_HW0244</t>
        </is>
      </c>
      <c r="F986" s="2" t="inlineStr">
        <is>
          <t>JP_HW0244</t>
        </is>
      </c>
      <c r="M986" s="2" t="inlineStr">
        <is>
          <t>Wellington</t>
        </is>
      </c>
      <c r="N986" s="2" t="inlineStr">
        <is>
          <t>New Zealand</t>
        </is>
      </c>
      <c r="P986" s="2" t="inlineStr">
        <is>
          <t>Operational Control</t>
        </is>
      </c>
      <c r="Q986" s="2" t="inlineStr">
        <is>
          <t>Operational Control</t>
        </is>
      </c>
      <c r="R986" s="2" t="inlineStr">
        <is>
          <t>Transport &amp; Infrastructure (T&amp;I)</t>
        </is>
      </c>
      <c r="S986" s="2" t="inlineStr">
        <is>
          <t>Downer</t>
        </is>
      </c>
      <c r="T986" s="2" t="n">
        <v>100</v>
      </c>
      <c r="W986" s="2" t="inlineStr">
        <is>
          <t>Classification</t>
        </is>
      </c>
    </row>
    <row r="987">
      <c r="A987" s="2" t="inlineStr">
        <is>
          <t>Downer</t>
        </is>
      </c>
      <c r="B987" s="2" t="inlineStr">
        <is>
          <t>DIA Wellington Cafe (Food)-45003741</t>
        </is>
      </c>
      <c r="C987" s="2" t="inlineStr">
        <is>
          <t>Other</t>
        </is>
      </c>
      <c r="D987" s="2" t="inlineStr">
        <is>
          <t>L9.S.26018074</t>
        </is>
      </c>
      <c r="E987" s="2" t="n">
        <v>2000004918</v>
      </c>
      <c r="H987" s="2" t="inlineStr">
        <is>
          <t>51 Pipitea Street</t>
        </is>
      </c>
      <c r="I987" s="2" t="inlineStr">
        <is>
          <t>Thorndon</t>
        </is>
      </c>
      <c r="J987" s="2" t="inlineStr">
        <is>
          <t>Wellington</t>
        </is>
      </c>
      <c r="K987" s="2" t="n">
        <v>6011</v>
      </c>
      <c r="L987" s="2" t="inlineStr">
        <is>
          <t>New Zealand</t>
        </is>
      </c>
      <c r="M987" s="2" t="inlineStr">
        <is>
          <t>Wellington</t>
        </is>
      </c>
      <c r="N987" s="2" t="inlineStr">
        <is>
          <t>New Zealand</t>
        </is>
      </c>
      <c r="P987" s="2" t="inlineStr">
        <is>
          <t>Operational Control</t>
        </is>
      </c>
      <c r="Q987" s="2" t="inlineStr">
        <is>
          <t>Operational Control</t>
        </is>
      </c>
      <c r="R987" s="2" t="inlineStr">
        <is>
          <t>Social Infra &amp; Citizen Serv (SICS)</t>
        </is>
      </c>
      <c r="S987" s="2" t="inlineStr">
        <is>
          <t>Downer</t>
        </is>
      </c>
      <c r="T987" s="2" t="n">
        <v>100</v>
      </c>
      <c r="W987" s="2" t="inlineStr">
        <is>
          <t>Classification</t>
        </is>
      </c>
      <c r="X987" s="2" t="n">
        <v>-41.276</v>
      </c>
      <c r="Y987" s="2" t="n">
        <v>174.7766</v>
      </c>
    </row>
    <row r="988">
      <c r="A988" s="2" t="inlineStr">
        <is>
          <t>Downer</t>
        </is>
      </c>
      <c r="B988" s="2" t="inlineStr">
        <is>
          <t>Digital Engineering</t>
        </is>
      </c>
      <c r="C988" s="2" t="inlineStr">
        <is>
          <t>Other</t>
        </is>
      </c>
      <c r="D988" s="2" t="inlineStr">
        <is>
          <t>L9.DNZJ.55974</t>
        </is>
      </c>
      <c r="E988" s="2" t="n">
        <v>55974</v>
      </c>
      <c r="M988" s="2" t="inlineStr">
        <is>
          <t>Manurewa</t>
        </is>
      </c>
      <c r="N988" s="2" t="inlineStr">
        <is>
          <t>New Zealand</t>
        </is>
      </c>
      <c r="P988" s="2" t="inlineStr">
        <is>
          <t>Operational Control</t>
        </is>
      </c>
      <c r="Q988" s="2" t="inlineStr">
        <is>
          <t>Operational Control</t>
        </is>
      </c>
      <c r="R988" s="2" t="inlineStr">
        <is>
          <t>Transport &amp; Infrastructure (T&amp;I)</t>
        </is>
      </c>
      <c r="S988" s="2" t="inlineStr">
        <is>
          <t>Downer</t>
        </is>
      </c>
      <c r="T988" s="2" t="n">
        <v>100</v>
      </c>
      <c r="W988" s="2" t="inlineStr">
        <is>
          <t>Classification</t>
        </is>
      </c>
    </row>
    <row r="989">
      <c r="A989" s="2" t="inlineStr">
        <is>
          <t>Downer</t>
        </is>
      </c>
      <c r="B989" s="2" t="inlineStr">
        <is>
          <t>Direct Overhead EU Subcontractors</t>
        </is>
      </c>
      <c r="C989" s="2" t="inlineStr">
        <is>
          <t>Other</t>
        </is>
      </c>
      <c r="D989" s="2" t="inlineStr">
        <is>
          <t>L9.J.240103</t>
        </is>
      </c>
      <c r="E989" s="2" t="inlineStr">
        <is>
          <t>L9.J.240103</t>
        </is>
      </c>
      <c r="F989" s="2" t="inlineStr">
        <is>
          <t>L9.J.240103</t>
        </is>
      </c>
      <c r="M989" s="2" t="inlineStr">
        <is>
          <t>Auckland</t>
        </is>
      </c>
      <c r="N989" s="2" t="inlineStr">
        <is>
          <t>New Zealand</t>
        </is>
      </c>
      <c r="P989" s="2" t="inlineStr">
        <is>
          <t>Operational Control</t>
        </is>
      </c>
      <c r="Q989" s="2" t="inlineStr">
        <is>
          <t>Operational Control</t>
        </is>
      </c>
      <c r="R989" s="2" t="inlineStr">
        <is>
          <t>Energy and Utilities (EU)</t>
        </is>
      </c>
      <c r="S989" s="2" t="inlineStr">
        <is>
          <t>Downer</t>
        </is>
      </c>
      <c r="T989" s="2" t="n">
        <v>100</v>
      </c>
      <c r="W989" s="2" t="inlineStr">
        <is>
          <t>Classification</t>
        </is>
      </c>
    </row>
    <row r="990">
      <c r="A990" s="2" t="inlineStr">
        <is>
          <t>Downer</t>
        </is>
      </c>
      <c r="B990" s="2" t="inlineStr">
        <is>
          <t>Director &amp; Operations Manager</t>
        </is>
      </c>
      <c r="C990" s="2" t="inlineStr">
        <is>
          <t>Other</t>
        </is>
      </c>
      <c r="D990" s="2" t="inlineStr">
        <is>
          <t>L9.DNZ.810.10.126</t>
        </is>
      </c>
      <c r="E990" s="2" t="n">
        <v>10126</v>
      </c>
      <c r="G990" s="2" t="n">
        <v>10.126</v>
      </c>
      <c r="H990" s="2" t="inlineStr">
        <is>
          <t>130 Kerrs Road</t>
        </is>
      </c>
      <c r="I990" s="2" t="inlineStr">
        <is>
          <t>Wiri</t>
        </is>
      </c>
      <c r="J990" s="2" t="inlineStr">
        <is>
          <t>Auckland</t>
        </is>
      </c>
      <c r="K990" s="2" t="n">
        <v>2104</v>
      </c>
      <c r="L990" s="2" t="inlineStr">
        <is>
          <t>New Zealand</t>
        </is>
      </c>
      <c r="M990" s="2" t="inlineStr">
        <is>
          <t>Manurewa</t>
        </is>
      </c>
      <c r="N990" s="2" t="inlineStr">
        <is>
          <t>New Zealand</t>
        </is>
      </c>
      <c r="P990" s="2" t="inlineStr">
        <is>
          <t>Operational Control</t>
        </is>
      </c>
      <c r="Q990" s="2" t="inlineStr">
        <is>
          <t>Operational Control</t>
        </is>
      </c>
      <c r="R990" s="2" t="inlineStr">
        <is>
          <t>Social Infra &amp; Citizen Serv (SICS)</t>
        </is>
      </c>
      <c r="S990" s="2" t="inlineStr">
        <is>
          <t>Downer</t>
        </is>
      </c>
      <c r="T990" s="2" t="n">
        <v>100</v>
      </c>
      <c r="W990" s="2" t="inlineStr">
        <is>
          <t>Classification</t>
        </is>
      </c>
      <c r="X990" s="2" t="n">
        <v>-37.0083</v>
      </c>
      <c r="Y990" s="2" t="n">
        <v>174.8705</v>
      </c>
    </row>
    <row r="991">
      <c r="A991" s="2" t="inlineStr">
        <is>
          <t>Downer</t>
        </is>
      </c>
      <c r="B991" s="2" t="inlineStr">
        <is>
          <t>DMH EU Subcontractors</t>
        </is>
      </c>
      <c r="C991" s="2" t="inlineStr">
        <is>
          <t>Other</t>
        </is>
      </c>
      <c r="D991" s="2" t="inlineStr">
        <is>
          <t>L9.J.38300006</t>
        </is>
      </c>
      <c r="E991" s="2" t="inlineStr">
        <is>
          <t>L9.J.38300006</t>
        </is>
      </c>
      <c r="M991" s="2" t="inlineStr">
        <is>
          <t>North Ryde</t>
        </is>
      </c>
      <c r="N991" s="2" t="inlineStr">
        <is>
          <t>Australia</t>
        </is>
      </c>
      <c r="P991" s="2" t="inlineStr">
        <is>
          <t>Operational Control</t>
        </is>
      </c>
      <c r="Q991" s="2" t="inlineStr">
        <is>
          <t>Operational Control</t>
        </is>
      </c>
      <c r="R991" s="2" t="inlineStr">
        <is>
          <t>Energy and Utilities (EU)</t>
        </is>
      </c>
      <c r="S991" s="2" t="inlineStr">
        <is>
          <t>Downer</t>
        </is>
      </c>
      <c r="T991" s="2" t="n">
        <v>100</v>
      </c>
      <c r="W991" s="2" t="inlineStr">
        <is>
          <t>Classification</t>
        </is>
      </c>
    </row>
    <row r="992">
      <c r="A992" s="2" t="inlineStr">
        <is>
          <t>Downer</t>
        </is>
      </c>
      <c r="B992" s="2" t="inlineStr">
        <is>
          <t>DNZ National Radio Comms</t>
        </is>
      </c>
      <c r="C992" s="2" t="inlineStr">
        <is>
          <t>Other</t>
        </is>
      </c>
      <c r="D992" s="2" t="inlineStr">
        <is>
          <t>L9.DNZJ.561544</t>
        </is>
      </c>
      <c r="E992" s="2" t="n">
        <v>561544</v>
      </c>
      <c r="H992" s="2" t="inlineStr">
        <is>
          <t>113 Halfway Bush Road</t>
        </is>
      </c>
      <c r="I992" s="2" t="inlineStr">
        <is>
          <t>Dunedin</t>
        </is>
      </c>
      <c r="J992" s="2" t="inlineStr">
        <is>
          <t>Dunedin</t>
        </is>
      </c>
      <c r="K992" s="2" t="n">
        <v>9076</v>
      </c>
      <c r="L992" s="2" t="inlineStr">
        <is>
          <t>New Zealand</t>
        </is>
      </c>
      <c r="M992" s="2" t="inlineStr">
        <is>
          <t>Dunedin</t>
        </is>
      </c>
      <c r="N992" s="2" t="inlineStr">
        <is>
          <t>New Zealand</t>
        </is>
      </c>
      <c r="P992" s="2" t="inlineStr">
        <is>
          <t>Operational Control</t>
        </is>
      </c>
      <c r="Q992" s="2" t="inlineStr">
        <is>
          <t>Operational Control</t>
        </is>
      </c>
      <c r="R992" s="2" t="inlineStr">
        <is>
          <t>Energy and Utilities (EU)</t>
        </is>
      </c>
      <c r="S992" s="2" t="inlineStr">
        <is>
          <t>Downer</t>
        </is>
      </c>
      <c r="T992" s="2" t="n">
        <v>100</v>
      </c>
      <c r="W992" s="2" t="inlineStr">
        <is>
          <t>Classification</t>
        </is>
      </c>
      <c r="X992" s="2" t="n">
        <v>-45.8624</v>
      </c>
      <c r="Y992" s="2" t="n">
        <v>170.4391</v>
      </c>
    </row>
    <row r="993">
      <c r="A993" s="2" t="inlineStr">
        <is>
          <t>Downer</t>
        </is>
      </c>
      <c r="B993" s="2" t="inlineStr">
        <is>
          <t>DoC/MoJ 3 Waters Work</t>
        </is>
      </c>
      <c r="C993" s="2" t="inlineStr">
        <is>
          <t>Other</t>
        </is>
      </c>
      <c r="D993" s="2" t="inlineStr">
        <is>
          <t>L9.DNZJ.561160</t>
        </is>
      </c>
      <c r="E993" s="2" t="n">
        <v>561160</v>
      </c>
      <c r="M993" s="2" t="inlineStr">
        <is>
          <t>Auckland</t>
        </is>
      </c>
      <c r="N993" s="2" t="inlineStr">
        <is>
          <t>New Zealand</t>
        </is>
      </c>
      <c r="P993" s="2" t="inlineStr">
        <is>
          <t>Operational Control</t>
        </is>
      </c>
      <c r="Q993" s="2" t="inlineStr">
        <is>
          <t>Operational Control</t>
        </is>
      </c>
      <c r="R993" s="2" t="inlineStr">
        <is>
          <t>Energy and Utilities (EU)</t>
        </is>
      </c>
      <c r="S993" s="2" t="inlineStr">
        <is>
          <t>Downer</t>
        </is>
      </c>
      <c r="T993" s="2" t="n">
        <v>100</v>
      </c>
      <c r="W993" s="2" t="inlineStr">
        <is>
          <t>Classification</t>
        </is>
      </c>
    </row>
    <row r="994">
      <c r="A994" s="2" t="inlineStr">
        <is>
          <t>Downer</t>
        </is>
      </c>
      <c r="B994" s="2" t="inlineStr">
        <is>
          <t>DOMESTIC JET TERMINAL (DJT)</t>
        </is>
      </c>
      <c r="C994" s="2" t="inlineStr">
        <is>
          <t>Airport</t>
        </is>
      </c>
      <c r="D994" s="2" t="inlineStr">
        <is>
          <t>L9.DNZ.HA0423</t>
        </is>
      </c>
      <c r="E994" s="2" t="inlineStr">
        <is>
          <t>JP_HA0423</t>
        </is>
      </c>
      <c r="G994" s="2" t="inlineStr">
        <is>
          <t>TI-NZT-BP.HA0423 - AIAL Domestic Jet Terminal</t>
        </is>
      </c>
      <c r="M994" s="2" t="inlineStr">
        <is>
          <t>Auckland</t>
        </is>
      </c>
      <c r="N994" s="2" t="inlineStr">
        <is>
          <t>New Zealand</t>
        </is>
      </c>
      <c r="P994" s="2" t="inlineStr">
        <is>
          <t>Operational Control</t>
        </is>
      </c>
      <c r="Q994" s="2" t="inlineStr">
        <is>
          <t>Operational Control</t>
        </is>
      </c>
      <c r="R994" s="2" t="inlineStr">
        <is>
          <t>Transport &amp; Infrastructure (T&amp;I)</t>
        </is>
      </c>
      <c r="S994" s="2" t="inlineStr">
        <is>
          <t>Downer</t>
        </is>
      </c>
      <c r="T994" s="2" t="n">
        <v>100</v>
      </c>
      <c r="W994" s="2" t="inlineStr">
        <is>
          <t>Classification</t>
        </is>
      </c>
    </row>
    <row r="995">
      <c r="A995" s="2" t="inlineStr">
        <is>
          <t>Downer</t>
        </is>
      </c>
      <c r="B995" s="2" t="inlineStr">
        <is>
          <t>Downer Cranes Auckland</t>
        </is>
      </c>
      <c r="C995" s="2" t="inlineStr">
        <is>
          <t>Other</t>
        </is>
      </c>
      <c r="D995" s="2" t="inlineStr">
        <is>
          <t>L9.DNZJ.1927</t>
        </is>
      </c>
      <c r="E995" s="2" t="n">
        <v>1927</v>
      </c>
      <c r="H995" s="2" t="inlineStr">
        <is>
          <t>130 Kerrs Road</t>
        </is>
      </c>
      <c r="I995" s="2" t="inlineStr">
        <is>
          <t>Wiri</t>
        </is>
      </c>
      <c r="J995" s="2" t="inlineStr">
        <is>
          <t>Auckland</t>
        </is>
      </c>
      <c r="K995" s="2" t="n">
        <v>2104</v>
      </c>
      <c r="L995" s="2" t="inlineStr">
        <is>
          <t>New Zealand</t>
        </is>
      </c>
      <c r="M995" s="2" t="inlineStr">
        <is>
          <t>Manurewa</t>
        </is>
      </c>
      <c r="N995" s="2" t="inlineStr">
        <is>
          <t>New Zealand</t>
        </is>
      </c>
      <c r="P995" s="2" t="inlineStr">
        <is>
          <t>Operational Control</t>
        </is>
      </c>
      <c r="Q995" s="2" t="inlineStr">
        <is>
          <t>Operational Control</t>
        </is>
      </c>
      <c r="R995" s="2" t="inlineStr">
        <is>
          <t>Transport &amp; Infrastructure (T&amp;I)</t>
        </is>
      </c>
      <c r="S995" s="2" t="inlineStr">
        <is>
          <t>Downer</t>
        </is>
      </c>
      <c r="T995" s="2" t="n">
        <v>100</v>
      </c>
      <c r="W995" s="2" t="inlineStr">
        <is>
          <t>Classification</t>
        </is>
      </c>
      <c r="X995" s="2" t="n">
        <v>-37.0083</v>
      </c>
      <c r="Y995" s="2" t="n">
        <v>174.8705</v>
      </c>
    </row>
    <row r="996">
      <c r="A996" s="2" t="inlineStr">
        <is>
          <t>Downer</t>
        </is>
      </c>
      <c r="B996" s="2" t="inlineStr">
        <is>
          <t>Downer Kwinana office &amp; workshop</t>
        </is>
      </c>
      <c r="C996" s="2" t="inlineStr">
        <is>
          <t>Offices</t>
        </is>
      </c>
      <c r="D996" s="2" t="inlineStr">
        <is>
          <t>L9.J.38170009</t>
        </is>
      </c>
      <c r="E996" s="2" t="n">
        <v>38170009</v>
      </c>
      <c r="H996" s="2" t="inlineStr">
        <is>
          <t>54 Burlington Street</t>
        </is>
      </c>
      <c r="I996" s="2" t="inlineStr">
        <is>
          <t>NAVAL BASE</t>
        </is>
      </c>
      <c r="M996" s="2" t="inlineStr">
        <is>
          <t>Western Australia</t>
        </is>
      </c>
      <c r="N996" s="2" t="inlineStr">
        <is>
          <t>Australia</t>
        </is>
      </c>
      <c r="P996" s="2" t="inlineStr">
        <is>
          <t>Operational Control</t>
        </is>
      </c>
      <c r="Q996" s="2" t="inlineStr">
        <is>
          <t>Operational Control</t>
        </is>
      </c>
      <c r="R996" s="2" t="inlineStr">
        <is>
          <t>Energy and Utilities (EU)</t>
        </is>
      </c>
      <c r="S996" s="2" t="inlineStr">
        <is>
          <t>Downer</t>
        </is>
      </c>
      <c r="T996" s="2" t="n">
        <v>100</v>
      </c>
      <c r="W996" s="2" t="inlineStr">
        <is>
          <t>Classification</t>
        </is>
      </c>
    </row>
    <row r="997">
      <c r="A997" s="2" t="inlineStr">
        <is>
          <t>Downer</t>
        </is>
      </c>
      <c r="B997" s="2" t="inlineStr">
        <is>
          <t>Downer Professional Services Office</t>
        </is>
      </c>
      <c r="C997" s="2" t="inlineStr">
        <is>
          <t>Office</t>
        </is>
      </c>
      <c r="D997" s="2" t="inlineStr">
        <is>
          <t>L9.J.500006</t>
        </is>
      </c>
      <c r="H997" s="2" t="inlineStr">
        <is>
          <t>Civic Quarter, Level 3/68 Northbourne Ave</t>
        </is>
      </c>
      <c r="I997" s="2" t="inlineStr">
        <is>
          <t>Canberra</t>
        </is>
      </c>
      <c r="J997" s="2" t="inlineStr">
        <is>
          <t>ACT</t>
        </is>
      </c>
      <c r="K997" s="2" t="n">
        <v>2601</v>
      </c>
      <c r="M997" s="2" t="inlineStr">
        <is>
          <t>Australian Capital Territory</t>
        </is>
      </c>
      <c r="N997" s="2" t="inlineStr">
        <is>
          <t>Australia</t>
        </is>
      </c>
      <c r="P997" s="2" t="inlineStr">
        <is>
          <t>Operational Control</t>
        </is>
      </c>
      <c r="Q997" s="2" t="inlineStr">
        <is>
          <t>Operational Control</t>
        </is>
      </c>
      <c r="R997" s="2" t="inlineStr">
        <is>
          <t>Social Infra &amp; Citizen Serv (SICS)</t>
        </is>
      </c>
      <c r="S997" s="2" t="inlineStr">
        <is>
          <t>Downer</t>
        </is>
      </c>
      <c r="T997" s="2" t="n">
        <v>100</v>
      </c>
      <c r="W997" s="2" t="inlineStr">
        <is>
          <t>Classification</t>
        </is>
      </c>
    </row>
    <row r="998">
      <c r="A998" s="2" t="inlineStr">
        <is>
          <t>Downer</t>
        </is>
      </c>
      <c r="B998" s="2" t="inlineStr">
        <is>
          <t>DOWSP Urban Utilities Program</t>
        </is>
      </c>
      <c r="C998" s="2" t="inlineStr">
        <is>
          <t>Infrastructure</t>
        </is>
      </c>
      <c r="D998" s="2" t="inlineStr">
        <is>
          <t>L9.J.24160100</t>
        </is>
      </c>
      <c r="E998" s="2" t="n">
        <v>24160100</v>
      </c>
      <c r="M998" s="2" t="inlineStr">
        <is>
          <t>Queensland</t>
        </is>
      </c>
      <c r="N998" s="2" t="inlineStr">
        <is>
          <t>Australia</t>
        </is>
      </c>
      <c r="P998" s="2" t="inlineStr">
        <is>
          <t>Operational Control</t>
        </is>
      </c>
      <c r="Q998" s="2" t="inlineStr">
        <is>
          <t>Operational Control</t>
        </is>
      </c>
      <c r="R998" s="2" t="inlineStr">
        <is>
          <t>Energy and Utilities (EU)</t>
        </is>
      </c>
      <c r="S998" s="2" t="inlineStr">
        <is>
          <t>Downer</t>
        </is>
      </c>
      <c r="T998" s="2" t="n">
        <v>100</v>
      </c>
      <c r="W998" s="2" t="inlineStr">
        <is>
          <t>Classification</t>
        </is>
      </c>
    </row>
    <row r="999">
      <c r="A999" s="2" t="inlineStr">
        <is>
          <t>Downer</t>
        </is>
      </c>
      <c r="B999" s="2" t="inlineStr">
        <is>
          <t>Dsgner One NZ Fxd Proj Man</t>
        </is>
      </c>
      <c r="C999" s="2" t="inlineStr">
        <is>
          <t>Other</t>
        </is>
      </c>
      <c r="D999" s="2" t="inlineStr">
        <is>
          <t>L9.DNZ.810.10.083</t>
        </is>
      </c>
      <c r="E999" s="2" t="n">
        <v>10.083</v>
      </c>
      <c r="M999" s="2" t="inlineStr">
        <is>
          <t>Manurewa</t>
        </is>
      </c>
      <c r="N999" s="2" t="inlineStr">
        <is>
          <t>New Zealand</t>
        </is>
      </c>
      <c r="P999" s="2" t="inlineStr">
        <is>
          <t>Operational Control</t>
        </is>
      </c>
      <c r="Q999" s="2" t="inlineStr">
        <is>
          <t>Operational Control</t>
        </is>
      </c>
      <c r="R999" s="2" t="inlineStr">
        <is>
          <t>Energy and Utilities (EU)</t>
        </is>
      </c>
      <c r="S999" s="2" t="inlineStr">
        <is>
          <t>Downer</t>
        </is>
      </c>
      <c r="T999" s="2" t="n">
        <v>100</v>
      </c>
      <c r="W999" s="2" t="inlineStr">
        <is>
          <t>Classification</t>
        </is>
      </c>
    </row>
    <row r="1000">
      <c r="A1000" s="2" t="inlineStr">
        <is>
          <t>Downer</t>
        </is>
      </c>
      <c r="B1000" s="2" t="inlineStr">
        <is>
          <t>Dunedin (195a Cumberland St)</t>
        </is>
      </c>
      <c r="C1000" s="2" t="inlineStr">
        <is>
          <t>Other</t>
        </is>
      </c>
      <c r="D1000" s="2" t="inlineStr">
        <is>
          <t>L9.DNZJ.91374</t>
        </is>
      </c>
      <c r="E1000" s="2" t="n">
        <v>91374</v>
      </c>
      <c r="H1000" s="2" t="inlineStr">
        <is>
          <t>195A Cumberland Street</t>
        </is>
      </c>
      <c r="I1000" s="2" t="inlineStr">
        <is>
          <t>Central Dunedin</t>
        </is>
      </c>
      <c r="J1000" s="2" t="inlineStr">
        <is>
          <t>Dunedin</t>
        </is>
      </c>
      <c r="K1000" s="2" t="n">
        <v>9016</v>
      </c>
      <c r="L1000" s="2" t="inlineStr">
        <is>
          <t>New Zealand</t>
        </is>
      </c>
      <c r="M1000" s="2" t="inlineStr">
        <is>
          <t>Dunedin</t>
        </is>
      </c>
      <c r="N1000" s="2" t="inlineStr">
        <is>
          <t>New Zealand</t>
        </is>
      </c>
      <c r="P1000" s="2" t="inlineStr">
        <is>
          <t>Operational Control</t>
        </is>
      </c>
      <c r="Q1000" s="2" t="inlineStr">
        <is>
          <t>Operational Control</t>
        </is>
      </c>
      <c r="R1000" s="2" t="inlineStr">
        <is>
          <t>Corporate</t>
        </is>
      </c>
      <c r="S1000" s="2" t="inlineStr">
        <is>
          <t>Downer</t>
        </is>
      </c>
      <c r="T1000" s="2" t="n">
        <v>100</v>
      </c>
      <c r="W1000" s="2" t="inlineStr">
        <is>
          <t>Classification</t>
        </is>
      </c>
      <c r="X1000" s="2" t="n">
        <v>-45.8787</v>
      </c>
      <c r="Y1000" s="2" t="n">
        <v>170.5041</v>
      </c>
      <c r="AB1000" s="11" t="n">
        <v>45473</v>
      </c>
    </row>
    <row r="1001">
      <c r="A1001" s="2" t="inlineStr">
        <is>
          <t>Downer</t>
        </is>
      </c>
      <c r="B1001" s="2" t="inlineStr">
        <is>
          <t>Dunedin (31 Morrison Street)</t>
        </is>
      </c>
      <c r="C1001" s="2" t="inlineStr">
        <is>
          <t>Other</t>
        </is>
      </c>
      <c r="D1001" s="2" t="inlineStr">
        <is>
          <t>L9.DNZJ.91356</t>
        </is>
      </c>
      <c r="E1001" s="2" t="n">
        <v>91356</v>
      </c>
      <c r="M1001" s="2" t="inlineStr">
        <is>
          <t>Manurewa</t>
        </is>
      </c>
      <c r="N1001" s="2" t="inlineStr">
        <is>
          <t>New Zealand</t>
        </is>
      </c>
      <c r="P1001" s="2" t="inlineStr">
        <is>
          <t>Operational Control</t>
        </is>
      </c>
      <c r="Q1001" s="2" t="inlineStr">
        <is>
          <t>Operational Control</t>
        </is>
      </c>
      <c r="R1001" s="2" t="inlineStr">
        <is>
          <t>Corporate</t>
        </is>
      </c>
      <c r="S1001" s="2" t="inlineStr">
        <is>
          <t>Downer</t>
        </is>
      </c>
      <c r="T1001" s="2" t="n">
        <v>100</v>
      </c>
      <c r="W1001" s="2" t="inlineStr">
        <is>
          <t>Classification</t>
        </is>
      </c>
    </row>
    <row r="1002">
      <c r="A1002" s="2" t="inlineStr">
        <is>
          <t>Downer</t>
        </is>
      </c>
      <c r="B1002" s="2" t="inlineStr">
        <is>
          <t>Dunedin (3-53 Albert St)</t>
        </is>
      </c>
      <c r="C1002" s="2" t="inlineStr">
        <is>
          <t>Residential</t>
        </is>
      </c>
      <c r="D1002" s="2" t="inlineStr">
        <is>
          <t>L9.DNZJ.91421</t>
        </is>
      </c>
      <c r="E1002" s="2" t="n">
        <v>91421</v>
      </c>
      <c r="G1002" s="2" t="inlineStr">
        <is>
          <t>Not in INX. Temporarily allocated to corporate.</t>
        </is>
      </c>
      <c r="M1002" s="2" t="inlineStr">
        <is>
          <t>Dunedin</t>
        </is>
      </c>
      <c r="N1002" s="2" t="inlineStr">
        <is>
          <t>New Zealand</t>
        </is>
      </c>
      <c r="P1002" s="2" t="inlineStr">
        <is>
          <t>Operational Control</t>
        </is>
      </c>
      <c r="Q1002" s="2" t="inlineStr">
        <is>
          <t>Operational Control</t>
        </is>
      </c>
      <c r="R1002" s="2" t="inlineStr">
        <is>
          <t>Corporate</t>
        </is>
      </c>
      <c r="S1002" s="2" t="inlineStr">
        <is>
          <t>Downer</t>
        </is>
      </c>
      <c r="T1002" s="2" t="n">
        <v>100</v>
      </c>
      <c r="W1002" s="2" t="inlineStr">
        <is>
          <t>Classification</t>
        </is>
      </c>
    </row>
    <row r="1003">
      <c r="A1003" s="2" t="inlineStr">
        <is>
          <t>Downer</t>
        </is>
      </c>
      <c r="B1003" s="2" t="inlineStr">
        <is>
          <t>Dunedin Depot (Green Island )</t>
        </is>
      </c>
      <c r="C1003" s="2" t="inlineStr">
        <is>
          <t>Other</t>
        </is>
      </c>
      <c r="D1003" s="2" t="inlineStr">
        <is>
          <t>L9.DNZJ.55660</t>
        </is>
      </c>
      <c r="E1003" s="2" t="n">
        <v>55660</v>
      </c>
      <c r="H1003" s="2" t="inlineStr">
        <is>
          <t>135 Main South Road</t>
        </is>
      </c>
      <c r="I1003" s="2" t="inlineStr">
        <is>
          <t>Green Island</t>
        </is>
      </c>
      <c r="J1003" s="2" t="inlineStr">
        <is>
          <t>Dunedin</t>
        </is>
      </c>
      <c r="K1003" s="2" t="n">
        <v>9018</v>
      </c>
      <c r="L1003" s="2" t="inlineStr">
        <is>
          <t>New Zealand</t>
        </is>
      </c>
      <c r="M1003" s="2" t="inlineStr">
        <is>
          <t>Musselburgh</t>
        </is>
      </c>
      <c r="N1003" s="2" t="inlineStr">
        <is>
          <t>New Zealand</t>
        </is>
      </c>
      <c r="P1003" s="2" t="inlineStr">
        <is>
          <t>Operational Control</t>
        </is>
      </c>
      <c r="Q1003" s="2" t="inlineStr">
        <is>
          <t>Operational Control</t>
        </is>
      </c>
      <c r="R1003" s="2" t="inlineStr">
        <is>
          <t>Transport &amp; Infrastructure (T&amp;I)</t>
        </is>
      </c>
      <c r="S1003" s="2" t="inlineStr">
        <is>
          <t>Downer</t>
        </is>
      </c>
      <c r="T1003" s="2" t="n">
        <v>100</v>
      </c>
      <c r="W1003" s="2" t="inlineStr">
        <is>
          <t>Classification</t>
        </is>
      </c>
      <c r="X1003" s="2" t="n">
        <v>-45.9016</v>
      </c>
      <c r="Y1003" s="2" t="n">
        <v>170.4407</v>
      </c>
    </row>
    <row r="1004">
      <c r="A1004" s="2" t="inlineStr">
        <is>
          <t>Downer</t>
        </is>
      </c>
      <c r="B1004" s="2" t="inlineStr">
        <is>
          <t>E&amp;U Unallocated fuel expenses</t>
        </is>
      </c>
      <c r="C1004" s="2" t="inlineStr">
        <is>
          <t>Site</t>
        </is>
      </c>
      <c r="D1004" s="2" t="inlineStr">
        <is>
          <t>L9.J.241107</t>
        </is>
      </c>
      <c r="E1004" s="2" t="inlineStr">
        <is>
          <t>L9.J.241107</t>
        </is>
      </c>
      <c r="M1004" s="2" t="inlineStr">
        <is>
          <t>Victoria</t>
        </is>
      </c>
      <c r="N1004" s="2" t="inlineStr">
        <is>
          <t>Australia</t>
        </is>
      </c>
      <c r="P1004" s="2" t="inlineStr">
        <is>
          <t>Operational Control</t>
        </is>
      </c>
      <c r="Q1004" s="2" t="inlineStr">
        <is>
          <t>Operational Control</t>
        </is>
      </c>
      <c r="R1004" s="2" t="inlineStr">
        <is>
          <t>Energy and Utilities (EU)</t>
        </is>
      </c>
      <c r="S1004" s="2" t="inlineStr">
        <is>
          <t>Downer</t>
        </is>
      </c>
      <c r="T1004" s="2" t="n">
        <v>100</v>
      </c>
      <c r="W1004" s="2" t="inlineStr">
        <is>
          <t>Classification</t>
        </is>
      </c>
    </row>
    <row r="1005">
      <c r="A1005" s="2" t="inlineStr">
        <is>
          <t>Downer</t>
        </is>
      </c>
      <c r="B1005" s="2" t="inlineStr">
        <is>
          <t>East Design Estimating</t>
        </is>
      </c>
      <c r="C1005" s="2" t="inlineStr">
        <is>
          <t>Other</t>
        </is>
      </c>
      <c r="D1005" s="2" t="inlineStr">
        <is>
          <t>L9.DUN.60311</t>
        </is>
      </c>
      <c r="E1005" s="2" t="inlineStr">
        <is>
          <t>PG60311</t>
        </is>
      </c>
      <c r="H1005" s="2" t="inlineStr">
        <is>
          <t>130 Kerrs Road</t>
        </is>
      </c>
      <c r="I1005" s="2" t="inlineStr">
        <is>
          <t>Wiri</t>
        </is>
      </c>
      <c r="J1005" s="2" t="inlineStr">
        <is>
          <t>Auckland</t>
        </is>
      </c>
      <c r="K1005" s="2" t="n">
        <v>2104</v>
      </c>
      <c r="L1005" s="2" t="inlineStr">
        <is>
          <t>New Zealand</t>
        </is>
      </c>
      <c r="M1005" s="2" t="inlineStr">
        <is>
          <t>Manurewa</t>
        </is>
      </c>
      <c r="N1005" s="2" t="inlineStr">
        <is>
          <t>New Zealand</t>
        </is>
      </c>
      <c r="P1005" s="2" t="inlineStr">
        <is>
          <t>Operational Control</t>
        </is>
      </c>
      <c r="Q1005" s="2" t="inlineStr">
        <is>
          <t>Operational Control</t>
        </is>
      </c>
      <c r="R1005" s="2" t="inlineStr">
        <is>
          <t>Energy and Utilities (EU)</t>
        </is>
      </c>
      <c r="S1005" s="2" t="inlineStr">
        <is>
          <t>Downer</t>
        </is>
      </c>
      <c r="T1005" s="2" t="n">
        <v>100</v>
      </c>
      <c r="W1005" s="2" t="inlineStr">
        <is>
          <t>Classification</t>
        </is>
      </c>
      <c r="X1005" s="2" t="n">
        <v>-37.0083</v>
      </c>
      <c r="Y1005" s="2" t="n">
        <v>174.8705</v>
      </c>
    </row>
    <row r="1006">
      <c r="A1006" s="2" t="inlineStr">
        <is>
          <t>Downer</t>
        </is>
      </c>
      <c r="B1006" s="2" t="inlineStr">
        <is>
          <t>East Preston - Rail (Tram Maintenance Depot)</t>
        </is>
      </c>
      <c r="C1006" s="2" t="inlineStr">
        <is>
          <t>Facility</t>
        </is>
      </c>
      <c r="D1006" s="2" t="inlineStr">
        <is>
          <t>L9.J.709100</t>
        </is>
      </c>
      <c r="E1006" s="2" t="n">
        <v>3023</v>
      </c>
      <c r="F1006" s="2" t="n">
        <v>3023</v>
      </c>
      <c r="G1006" s="2" t="inlineStr">
        <is>
          <t>Construction from Dec-17Part-Operation from May-18</t>
        </is>
      </c>
      <c r="H1006" s="2" t="inlineStr">
        <is>
          <t>211 Plenty Road</t>
        </is>
      </c>
      <c r="I1006" s="2" t="inlineStr">
        <is>
          <t>Preston</t>
        </is>
      </c>
      <c r="J1006" s="2" t="inlineStr">
        <is>
          <t>VIC</t>
        </is>
      </c>
      <c r="K1006" s="2" t="n">
        <v>3072</v>
      </c>
      <c r="M1006" s="2" t="inlineStr">
        <is>
          <t>Victoria</t>
        </is>
      </c>
      <c r="N1006" s="2" t="inlineStr">
        <is>
          <t>Australia</t>
        </is>
      </c>
      <c r="P1006" s="2" t="inlineStr">
        <is>
          <t>Operational Control</t>
        </is>
      </c>
      <c r="Q1006" s="2" t="inlineStr">
        <is>
          <t>Operational Control</t>
        </is>
      </c>
      <c r="R1006" s="2" t="inlineStr">
        <is>
          <t>Rail &amp; Transit Systems (RTS)</t>
        </is>
      </c>
      <c r="S1006" s="2" t="inlineStr">
        <is>
          <t>Downer</t>
        </is>
      </c>
      <c r="T1006" s="2" t="n">
        <v>100</v>
      </c>
      <c r="V1006" s="11" t="n">
        <v>45626</v>
      </c>
      <c r="W1006" s="2" t="inlineStr">
        <is>
          <t>Classification</t>
        </is>
      </c>
      <c r="X1006" s="2" t="n">
        <v>-37.54</v>
      </c>
      <c r="Y1006" s="2" t="n">
        <v>145.17</v>
      </c>
      <c r="Z1006" s="2" t="n">
        <v>239</v>
      </c>
      <c r="AA1006" s="11" t="n">
        <v>43160</v>
      </c>
    </row>
    <row r="1007">
      <c r="A1007" s="2" t="inlineStr">
        <is>
          <t>Downer</t>
        </is>
      </c>
      <c r="B1007" s="2" t="inlineStr">
        <is>
          <t>Eastern Creek</t>
        </is>
      </c>
      <c r="C1007" s="2" t="inlineStr">
        <is>
          <t>Office</t>
        </is>
      </c>
      <c r="D1007" s="2" t="inlineStr">
        <is>
          <t>L9.J.170160</t>
        </is>
      </c>
      <c r="E1007" s="2" t="inlineStr">
        <is>
          <t>L9.J.170160</t>
        </is>
      </c>
      <c r="H1007" s="2" t="inlineStr">
        <is>
          <t>50 Eastern Creek Drive</t>
        </is>
      </c>
      <c r="I1007" s="2" t="inlineStr">
        <is>
          <t>Eastern Creek</t>
        </is>
      </c>
      <c r="J1007" s="2" t="inlineStr">
        <is>
          <t>NSW</t>
        </is>
      </c>
      <c r="K1007" s="2" t="n">
        <v>2766</v>
      </c>
      <c r="L1007" s="2" t="inlineStr">
        <is>
          <t>Australia</t>
        </is>
      </c>
      <c r="M1007" s="2" t="inlineStr">
        <is>
          <t>New South Wales</t>
        </is>
      </c>
      <c r="N1007" s="2" t="inlineStr">
        <is>
          <t>Australia</t>
        </is>
      </c>
      <c r="P1007" s="2" t="inlineStr">
        <is>
          <t>Operational Control</t>
        </is>
      </c>
      <c r="Q1007" s="2" t="inlineStr">
        <is>
          <t>Operational Control</t>
        </is>
      </c>
      <c r="R1007" s="2" t="inlineStr">
        <is>
          <t>Transport &amp; Infrastructure (T&amp;I)</t>
        </is>
      </c>
      <c r="S1007" s="2" t="inlineStr">
        <is>
          <t>Downer</t>
        </is>
      </c>
      <c r="T1007" s="2" t="n">
        <v>100</v>
      </c>
      <c r="W1007" s="2" t="inlineStr">
        <is>
          <t>Classification</t>
        </is>
      </c>
    </row>
    <row r="1008">
      <c r="A1008" s="2" t="inlineStr">
        <is>
          <t>Downer</t>
        </is>
      </c>
      <c r="B1008" s="2" t="inlineStr">
        <is>
          <t>Eastern Creek - P&amp;E</t>
        </is>
      </c>
      <c r="C1008" s="2" t="inlineStr">
        <is>
          <t>Fleet Fuel</t>
        </is>
      </c>
      <c r="D1008" s="2" t="inlineStr">
        <is>
          <t>L9.J.170145</t>
        </is>
      </c>
      <c r="E1008" s="2" t="inlineStr">
        <is>
          <t>EP&amp;E</t>
        </is>
      </c>
      <c r="M1008" s="2" t="inlineStr">
        <is>
          <t>New South Wales</t>
        </is>
      </c>
      <c r="N1008" s="2" t="inlineStr">
        <is>
          <t>Australia</t>
        </is>
      </c>
      <c r="P1008" s="2" t="inlineStr">
        <is>
          <t>Operational Control</t>
        </is>
      </c>
      <c r="Q1008" s="2" t="inlineStr">
        <is>
          <t>Operational Control</t>
        </is>
      </c>
      <c r="R1008" s="2" t="inlineStr">
        <is>
          <t>Transport &amp; Infrastructure (T&amp;I)</t>
        </is>
      </c>
      <c r="S1008" s="2" t="inlineStr">
        <is>
          <t>Downer</t>
        </is>
      </c>
      <c r="T1008" s="2" t="n">
        <v>100</v>
      </c>
      <c r="W1008" s="2" t="inlineStr">
        <is>
          <t>Classification</t>
        </is>
      </c>
    </row>
    <row r="1009">
      <c r="A1009" s="2" t="inlineStr">
        <is>
          <t>Downer</t>
        </is>
      </c>
      <c r="B1009" s="2" t="inlineStr">
        <is>
          <t>Eastern Electricity Services</t>
        </is>
      </c>
      <c r="C1009" s="2" t="inlineStr">
        <is>
          <t>Other</t>
        </is>
      </c>
      <c r="D1009" s="2" t="inlineStr">
        <is>
          <t>L9.DUN.60100</t>
        </is>
      </c>
      <c r="E1009" s="2" t="inlineStr">
        <is>
          <t>PG60100</t>
        </is>
      </c>
      <c r="H1009" s="2" t="inlineStr">
        <is>
          <t>130 Kerrs Road</t>
        </is>
      </c>
      <c r="I1009" s="2" t="inlineStr">
        <is>
          <t>Wiri</t>
        </is>
      </c>
      <c r="J1009" s="2" t="inlineStr">
        <is>
          <t>Auckland</t>
        </is>
      </c>
      <c r="K1009" s="2" t="n">
        <v>2104</v>
      </c>
      <c r="L1009" s="2" t="inlineStr">
        <is>
          <t>New Zealand</t>
        </is>
      </c>
      <c r="M1009" s="2" t="inlineStr">
        <is>
          <t>Manurewa</t>
        </is>
      </c>
      <c r="N1009" s="2" t="inlineStr">
        <is>
          <t>New Zealand</t>
        </is>
      </c>
      <c r="P1009" s="2" t="inlineStr">
        <is>
          <t>Operational Control</t>
        </is>
      </c>
      <c r="Q1009" s="2" t="inlineStr">
        <is>
          <t>Operational Control</t>
        </is>
      </c>
      <c r="R1009" s="2" t="inlineStr">
        <is>
          <t>Energy and Utilities (EU)</t>
        </is>
      </c>
      <c r="S1009" s="2" t="inlineStr">
        <is>
          <t>Downer</t>
        </is>
      </c>
      <c r="T1009" s="2" t="n">
        <v>100</v>
      </c>
      <c r="W1009" s="2" t="inlineStr">
        <is>
          <t>Classification</t>
        </is>
      </c>
      <c r="X1009" s="2" t="n">
        <v>-37.0083</v>
      </c>
      <c r="Y1009" s="2" t="n">
        <v>174.8705</v>
      </c>
    </row>
    <row r="1010">
      <c r="A1010" s="2" t="inlineStr">
        <is>
          <t>Downer</t>
        </is>
      </c>
      <c r="B1010" s="2" t="inlineStr">
        <is>
          <t>EASTERN TERMINAL INTEGRATION</t>
        </is>
      </c>
      <c r="C1010" s="2" t="inlineStr">
        <is>
          <t>Other</t>
        </is>
      </c>
      <c r="D1010" s="2" t="inlineStr">
        <is>
          <t>L9.DNZ.HA0409</t>
        </is>
      </c>
      <c r="E1010" s="2" t="inlineStr">
        <is>
          <t>JP_HA0409</t>
        </is>
      </c>
      <c r="M1010" s="2" t="inlineStr">
        <is>
          <t>Manurewa</t>
        </is>
      </c>
      <c r="N1010" s="2" t="inlineStr">
        <is>
          <t>New Zealand</t>
        </is>
      </c>
      <c r="P1010" s="2" t="inlineStr">
        <is>
          <t>Operational Control</t>
        </is>
      </c>
      <c r="Q1010" s="2" t="inlineStr">
        <is>
          <t>Operational Control</t>
        </is>
      </c>
      <c r="R1010" s="2" t="inlineStr">
        <is>
          <t>Transport &amp; Infrastructure (T&amp;I)</t>
        </is>
      </c>
      <c r="S1010" s="2" t="inlineStr">
        <is>
          <t>Downer</t>
        </is>
      </c>
      <c r="T1010" s="2" t="n">
        <v>100</v>
      </c>
      <c r="W1010" s="2" t="inlineStr">
        <is>
          <t>Classification</t>
        </is>
      </c>
    </row>
    <row r="1011">
      <c r="A1011" s="2" t="inlineStr">
        <is>
          <t>Downer</t>
        </is>
      </c>
      <c r="B1011" s="2" t="inlineStr">
        <is>
          <t>Eastown Rd - Sewer Replacement</t>
        </is>
      </c>
      <c r="C1011" s="2" t="inlineStr">
        <is>
          <t>Project</t>
        </is>
      </c>
      <c r="D1011" s="2" t="inlineStr">
        <is>
          <t>L9.DNZJ.552414</t>
        </is>
      </c>
      <c r="E1011" s="2" t="n">
        <v>552414</v>
      </c>
      <c r="G1011" s="2" t="inlineStr">
        <is>
          <t>TI-NZT-552414 - Eastown Rd - Sewer Replacement</t>
        </is>
      </c>
      <c r="M1011" s="2" t="inlineStr">
        <is>
          <t>Wellington</t>
        </is>
      </c>
      <c r="N1011" s="2" t="inlineStr">
        <is>
          <t>New Zealand</t>
        </is>
      </c>
      <c r="P1011" s="2" t="inlineStr">
        <is>
          <t>Operational Control</t>
        </is>
      </c>
      <c r="Q1011" s="2" t="inlineStr">
        <is>
          <t>Operational Control</t>
        </is>
      </c>
      <c r="R1011" s="2" t="inlineStr">
        <is>
          <t>Transport &amp; Infrastructure (T&amp;I)</t>
        </is>
      </c>
      <c r="S1011" s="2" t="inlineStr">
        <is>
          <t>Downer</t>
        </is>
      </c>
      <c r="T1011" s="2" t="n">
        <v>100</v>
      </c>
      <c r="W1011" s="2" t="inlineStr">
        <is>
          <t>Classification</t>
        </is>
      </c>
    </row>
    <row r="1012">
      <c r="A1012" s="2" t="inlineStr">
        <is>
          <t>Downer</t>
        </is>
      </c>
      <c r="B1012" s="2" t="inlineStr">
        <is>
          <t>Elbow Boat Ramp Upgrade</t>
        </is>
      </c>
      <c r="C1012" s="2" t="inlineStr">
        <is>
          <t>Other</t>
        </is>
      </c>
      <c r="D1012" s="2" t="inlineStr">
        <is>
          <t>L9.DNZJ.550717</t>
        </is>
      </c>
      <c r="E1012" s="2" t="n">
        <v>550717</v>
      </c>
      <c r="H1012" s="2" t="inlineStr">
        <is>
          <t>130 Kerrs Road</t>
        </is>
      </c>
      <c r="I1012" s="2" t="inlineStr">
        <is>
          <t>Wiri</t>
        </is>
      </c>
      <c r="J1012" s="2" t="inlineStr">
        <is>
          <t>Auckland</t>
        </is>
      </c>
      <c r="K1012" s="2" t="n">
        <v>2104</v>
      </c>
      <c r="L1012" s="2" t="inlineStr">
        <is>
          <t>New Zealand</t>
        </is>
      </c>
      <c r="M1012" s="2" t="inlineStr">
        <is>
          <t>Manurewa</t>
        </is>
      </c>
      <c r="N1012" s="2" t="inlineStr">
        <is>
          <t>New Zealand</t>
        </is>
      </c>
      <c r="P1012" s="2" t="inlineStr">
        <is>
          <t>Operational Control</t>
        </is>
      </c>
      <c r="Q1012" s="2" t="inlineStr">
        <is>
          <t>Operational Control</t>
        </is>
      </c>
      <c r="R1012" s="2" t="inlineStr">
        <is>
          <t>Transport &amp; Infrastructure (T&amp;I)</t>
        </is>
      </c>
      <c r="S1012" s="2" t="inlineStr">
        <is>
          <t>Downer</t>
        </is>
      </c>
      <c r="T1012" s="2" t="n">
        <v>100</v>
      </c>
      <c r="W1012" s="2" t="inlineStr">
        <is>
          <t>Classification</t>
        </is>
      </c>
      <c r="X1012" s="2" t="n">
        <v>-37.0083</v>
      </c>
      <c r="Y1012" s="2" t="n">
        <v>174.8705</v>
      </c>
    </row>
    <row r="1013">
      <c r="A1013" s="2" t="inlineStr">
        <is>
          <t>Downer</t>
        </is>
      </c>
      <c r="B1013" s="2" t="inlineStr">
        <is>
          <t>ELIZABETH STREET CIVILS</t>
        </is>
      </c>
      <c r="C1013" s="2" t="inlineStr">
        <is>
          <t>Other</t>
        </is>
      </c>
      <c r="D1013" s="2" t="inlineStr">
        <is>
          <t>L9.DNZ.HC0347</t>
        </is>
      </c>
      <c r="E1013" s="2" t="inlineStr">
        <is>
          <t>JP_HC0347</t>
        </is>
      </c>
      <c r="H1013" s="2" t="inlineStr">
        <is>
          <t>130 Kerrs Road</t>
        </is>
      </c>
      <c r="I1013" s="2" t="inlineStr">
        <is>
          <t>Wiri</t>
        </is>
      </c>
      <c r="J1013" s="2" t="inlineStr">
        <is>
          <t>Auckland</t>
        </is>
      </c>
      <c r="K1013" s="2" t="n">
        <v>2104</v>
      </c>
      <c r="L1013" s="2" t="inlineStr">
        <is>
          <t>New Zealand</t>
        </is>
      </c>
      <c r="M1013" s="2" t="inlineStr">
        <is>
          <t>Manurewa</t>
        </is>
      </c>
      <c r="N1013" s="2" t="inlineStr">
        <is>
          <t>New Zealand</t>
        </is>
      </c>
      <c r="P1013" s="2" t="inlineStr">
        <is>
          <t>Operational Control</t>
        </is>
      </c>
      <c r="Q1013" s="2" t="inlineStr">
        <is>
          <t>Operational Control</t>
        </is>
      </c>
      <c r="R1013" s="2" t="inlineStr">
        <is>
          <t>Transport &amp; Infrastructure (T&amp;I)</t>
        </is>
      </c>
      <c r="S1013" s="2" t="inlineStr">
        <is>
          <t>Downer</t>
        </is>
      </c>
      <c r="T1013" s="2" t="n">
        <v>100</v>
      </c>
      <c r="W1013" s="2" t="inlineStr">
        <is>
          <t>Classification</t>
        </is>
      </c>
      <c r="X1013" s="2" t="n">
        <v>-37.0083</v>
      </c>
      <c r="Y1013" s="2" t="n">
        <v>174.8705</v>
      </c>
    </row>
    <row r="1014">
      <c r="A1014" s="2" t="inlineStr">
        <is>
          <t>Downer</t>
        </is>
      </c>
      <c r="B1014" s="2" t="inlineStr">
        <is>
          <t>Ellerslie (600 GSR)</t>
        </is>
      </c>
      <c r="C1014" s="2" t="inlineStr">
        <is>
          <t>Other</t>
        </is>
      </c>
      <c r="D1014" s="2" t="inlineStr">
        <is>
          <t>L9.DNZJ.91138</t>
        </is>
      </c>
      <c r="E1014" s="2" t="n">
        <v>91138</v>
      </c>
      <c r="M1014" s="2" t="inlineStr">
        <is>
          <t>Manurewa</t>
        </is>
      </c>
      <c r="N1014" s="2" t="inlineStr">
        <is>
          <t>New Zealand</t>
        </is>
      </c>
      <c r="P1014" s="2" t="inlineStr">
        <is>
          <t>Operational Control</t>
        </is>
      </c>
      <c r="Q1014" s="2" t="inlineStr">
        <is>
          <t>Operational Control</t>
        </is>
      </c>
      <c r="R1014" s="2" t="inlineStr">
        <is>
          <t>Corporate</t>
        </is>
      </c>
      <c r="S1014" s="2" t="inlineStr">
        <is>
          <t>Downer</t>
        </is>
      </c>
      <c r="T1014" s="2" t="n">
        <v>100</v>
      </c>
      <c r="W1014" s="2" t="inlineStr">
        <is>
          <t>Classification</t>
        </is>
      </c>
    </row>
    <row r="1015">
      <c r="A1015" s="2" t="inlineStr">
        <is>
          <t>Downer</t>
        </is>
      </c>
      <c r="B1015" s="2" t="inlineStr">
        <is>
          <t>Emergency Services Build EU Subcontractors</t>
        </is>
      </c>
      <c r="C1015" s="2" t="inlineStr">
        <is>
          <t>Other</t>
        </is>
      </c>
      <c r="D1015" s="2" t="inlineStr">
        <is>
          <t>L9.DNZ.810.20781</t>
        </is>
      </c>
      <c r="E1015" s="2" t="inlineStr">
        <is>
          <t>L9.DNZ.810.20781</t>
        </is>
      </c>
      <c r="F1015" s="2" t="inlineStr">
        <is>
          <t>L9.DNZ.810.20781</t>
        </is>
      </c>
      <c r="M1015" s="2" t="inlineStr">
        <is>
          <t>North Ryde</t>
        </is>
      </c>
      <c r="N1015" s="2" t="inlineStr">
        <is>
          <t>Australia</t>
        </is>
      </c>
      <c r="P1015" s="2" t="inlineStr">
        <is>
          <t>Operational Control</t>
        </is>
      </c>
      <c r="Q1015" s="2" t="inlineStr">
        <is>
          <t>Operational Control</t>
        </is>
      </c>
      <c r="R1015" s="2" t="inlineStr">
        <is>
          <t>Energy and Utilities (EU)</t>
        </is>
      </c>
      <c r="S1015" s="2" t="inlineStr">
        <is>
          <t>Downer</t>
        </is>
      </c>
      <c r="T1015" s="2" t="n">
        <v>100</v>
      </c>
      <c r="W1015" s="2" t="inlineStr">
        <is>
          <t>Classification</t>
        </is>
      </c>
    </row>
    <row r="1016">
      <c r="A1016" s="2" t="inlineStr">
        <is>
          <t>Downer</t>
        </is>
      </c>
      <c r="B1016" s="2" t="inlineStr">
        <is>
          <t>Emulsion - Bluff</t>
        </is>
      </c>
      <c r="C1016" s="2" t="inlineStr">
        <is>
          <t>Other</t>
        </is>
      </c>
      <c r="D1016" s="2" t="inlineStr">
        <is>
          <t>L9.DNZJ.3051</t>
        </is>
      </c>
      <c r="E1016" s="2" t="n">
        <v>3051</v>
      </c>
      <c r="M1016" s="2" t="inlineStr">
        <is>
          <t>Manurewa</t>
        </is>
      </c>
      <c r="N1016" s="2" t="inlineStr">
        <is>
          <t>New Zealand</t>
        </is>
      </c>
      <c r="P1016" s="2" t="inlineStr">
        <is>
          <t>Operational Control</t>
        </is>
      </c>
      <c r="Q1016" s="2" t="inlineStr">
        <is>
          <t>Operational Control</t>
        </is>
      </c>
      <c r="R1016" s="2" t="inlineStr">
        <is>
          <t>Transport &amp; Infrastructure (T&amp;I)</t>
        </is>
      </c>
      <c r="S1016" s="2" t="inlineStr">
        <is>
          <t>Downer</t>
        </is>
      </c>
      <c r="T1016" s="2" t="n">
        <v>100</v>
      </c>
      <c r="W1016" s="2" t="inlineStr">
        <is>
          <t>Classification</t>
        </is>
      </c>
    </row>
    <row r="1017">
      <c r="A1017" s="2" t="inlineStr">
        <is>
          <t>Downer</t>
        </is>
      </c>
      <c r="B1017" s="2" t="inlineStr">
        <is>
          <t>Engineering</t>
        </is>
      </c>
      <c r="C1017" s="2" t="inlineStr">
        <is>
          <t>Other</t>
        </is>
      </c>
      <c r="D1017" s="2" t="inlineStr">
        <is>
          <t>L9.DNZJ.55970</t>
        </is>
      </c>
      <c r="E1017" s="2" t="n">
        <v>55970</v>
      </c>
      <c r="M1017" s="2" t="inlineStr">
        <is>
          <t>Manurewa</t>
        </is>
      </c>
      <c r="N1017" s="2" t="inlineStr">
        <is>
          <t>New Zealand</t>
        </is>
      </c>
      <c r="P1017" s="2" t="inlineStr">
        <is>
          <t>Operational Control</t>
        </is>
      </c>
      <c r="Q1017" s="2" t="inlineStr">
        <is>
          <t>Operational Control</t>
        </is>
      </c>
      <c r="R1017" s="2" t="inlineStr">
        <is>
          <t>Transport &amp; Infrastructure (T&amp;I)</t>
        </is>
      </c>
      <c r="S1017" s="2" t="inlineStr">
        <is>
          <t>Downer</t>
        </is>
      </c>
      <c r="T1017" s="2" t="n">
        <v>100</v>
      </c>
      <c r="W1017" s="2" t="inlineStr">
        <is>
          <t>Classification</t>
        </is>
      </c>
    </row>
    <row r="1018">
      <c r="A1018" s="2" t="inlineStr">
        <is>
          <t>Downer</t>
        </is>
      </c>
      <c r="B1018" s="2" t="inlineStr">
        <is>
          <t>Engineering &amp; Optimisation Prj</t>
        </is>
      </c>
      <c r="C1018" s="2" t="inlineStr">
        <is>
          <t>Other</t>
        </is>
      </c>
      <c r="D1018" s="2" t="inlineStr">
        <is>
          <t>L9.DNZJ.55975</t>
        </is>
      </c>
      <c r="E1018" s="2" t="n">
        <v>55975</v>
      </c>
      <c r="M1018" s="2" t="inlineStr">
        <is>
          <t>Auckland</t>
        </is>
      </c>
      <c r="N1018" s="2" t="inlineStr">
        <is>
          <t>New Zealand</t>
        </is>
      </c>
      <c r="P1018" s="2" t="inlineStr">
        <is>
          <t>Operational Control</t>
        </is>
      </c>
      <c r="Q1018" s="2" t="inlineStr">
        <is>
          <t>Operational Control</t>
        </is>
      </c>
      <c r="R1018" s="2" t="inlineStr">
        <is>
          <t>Transport &amp; Infrastructure (T&amp;I)</t>
        </is>
      </c>
      <c r="S1018" s="2" t="inlineStr">
        <is>
          <t>Downer</t>
        </is>
      </c>
      <c r="T1018" s="2" t="n">
        <v>100</v>
      </c>
      <c r="W1018" s="2" t="inlineStr">
        <is>
          <t>Classification</t>
        </is>
      </c>
    </row>
    <row r="1019">
      <c r="A1019" s="2" t="inlineStr">
        <is>
          <t>Downer</t>
        </is>
      </c>
      <c r="B1019" s="2" t="inlineStr">
        <is>
          <t>Engineering Services EU Subcontractors</t>
        </is>
      </c>
      <c r="C1019" s="2" t="inlineStr">
        <is>
          <t>Other</t>
        </is>
      </c>
      <c r="D1019" s="2" t="inlineStr">
        <is>
          <t>L9.DNZJ.56141</t>
        </is>
      </c>
      <c r="E1019" s="2" t="inlineStr">
        <is>
          <t>L9.DNZJ.56141</t>
        </is>
      </c>
      <c r="M1019" s="2" t="inlineStr">
        <is>
          <t>Auckland City</t>
        </is>
      </c>
      <c r="N1019" s="2" t="inlineStr">
        <is>
          <t>New Zealand</t>
        </is>
      </c>
      <c r="P1019" s="2" t="inlineStr">
        <is>
          <t>Operational Control</t>
        </is>
      </c>
      <c r="Q1019" s="2" t="inlineStr">
        <is>
          <t>Operational Control</t>
        </is>
      </c>
      <c r="R1019" s="2" t="inlineStr">
        <is>
          <t>Energy and Utilities (EU)</t>
        </is>
      </c>
      <c r="S1019" s="2" t="inlineStr">
        <is>
          <t>Downer</t>
        </is>
      </c>
      <c r="T1019" s="2" t="n">
        <v>100</v>
      </c>
      <c r="W1019" s="2" t="inlineStr">
        <is>
          <t>Classification</t>
        </is>
      </c>
    </row>
    <row r="1020">
      <c r="A1020" s="2" t="inlineStr">
        <is>
          <t>Downer</t>
        </is>
      </c>
      <c r="B1020" s="2" t="inlineStr">
        <is>
          <t>Engineers Camp (Lewis Pass)</t>
        </is>
      </c>
      <c r="C1020" s="2" t="inlineStr">
        <is>
          <t>Other</t>
        </is>
      </c>
      <c r="D1020" s="2" t="inlineStr">
        <is>
          <t>L9.DNZJ.55614</t>
        </is>
      </c>
      <c r="E1020" s="2" t="n">
        <v>55614</v>
      </c>
      <c r="H1020" s="2" t="inlineStr">
        <is>
          <t>Engineers Camp, State Highway 7</t>
        </is>
      </c>
      <c r="I1020" s="2" t="inlineStr">
        <is>
          <t>Lewis Pass</t>
        </is>
      </c>
      <c r="J1020" s="2" t="inlineStr">
        <is>
          <t>West Coast</t>
        </is>
      </c>
      <c r="K1020" s="2" t="n">
        <v>7925</v>
      </c>
      <c r="L1020" s="2" t="inlineStr">
        <is>
          <t>New Zealand</t>
        </is>
      </c>
      <c r="M1020" s="2" t="inlineStr">
        <is>
          <t>Hanmer Springs</t>
        </is>
      </c>
      <c r="N1020" s="2" t="inlineStr">
        <is>
          <t>New Zealand</t>
        </is>
      </c>
      <c r="P1020" s="2" t="inlineStr">
        <is>
          <t>Operational Control</t>
        </is>
      </c>
      <c r="Q1020" s="2" t="inlineStr">
        <is>
          <t>Operational Control</t>
        </is>
      </c>
      <c r="R1020" s="2" t="inlineStr">
        <is>
          <t>Transport &amp; Infrastructure (T&amp;I)</t>
        </is>
      </c>
      <c r="S1020" s="2" t="inlineStr">
        <is>
          <t>Downer</t>
        </is>
      </c>
      <c r="T1020" s="2" t="n">
        <v>100</v>
      </c>
      <c r="W1020" s="2" t="inlineStr">
        <is>
          <t>Classification</t>
        </is>
      </c>
      <c r="X1020" s="2" t="n">
        <v>-42.4756</v>
      </c>
      <c r="Y1020" s="2" t="n">
        <v>172.3937</v>
      </c>
    </row>
    <row r="1021">
      <c r="A1021" s="2" t="inlineStr">
        <is>
          <t>Downer</t>
        </is>
      </c>
      <c r="B1021" s="2" t="inlineStr">
        <is>
          <t>Enterprise NZ Trust 45000647</t>
        </is>
      </c>
      <c r="C1021" s="2" t="inlineStr">
        <is>
          <t>Other</t>
        </is>
      </c>
      <c r="D1021" s="2" t="inlineStr">
        <is>
          <t>L9.S.26014870</t>
        </is>
      </c>
      <c r="E1021" s="2" t="n">
        <v>2000003134</v>
      </c>
      <c r="G1021" s="2" t="inlineStr">
        <is>
          <t>SI-NZF-26014870 - Enterprise NZ Trust (SI-NZ Spotless - Cleaning)</t>
        </is>
      </c>
      <c r="M1021" s="2" t="inlineStr">
        <is>
          <t>Auckland</t>
        </is>
      </c>
      <c r="N1021" s="2" t="inlineStr">
        <is>
          <t>New Zealand</t>
        </is>
      </c>
      <c r="P1021" s="2" t="inlineStr">
        <is>
          <t>Operational Control</t>
        </is>
      </c>
      <c r="Q1021" s="2" t="inlineStr">
        <is>
          <t>Operational Control</t>
        </is>
      </c>
      <c r="R1021" s="2" t="inlineStr">
        <is>
          <t>Social Infra &amp; Citizen Serv (SICS)</t>
        </is>
      </c>
      <c r="S1021" s="2" t="inlineStr">
        <is>
          <t>Downer</t>
        </is>
      </c>
      <c r="T1021" s="2" t="n">
        <v>100</v>
      </c>
      <c r="W1021" s="2" t="inlineStr">
        <is>
          <t>Classification</t>
        </is>
      </c>
    </row>
    <row r="1022">
      <c r="A1022" s="2" t="inlineStr">
        <is>
          <t>Downer</t>
        </is>
      </c>
      <c r="B1022" s="2" t="inlineStr">
        <is>
          <t>Epping</t>
        </is>
      </c>
      <c r="C1022" s="2" t="inlineStr">
        <is>
          <t>Depot</t>
        </is>
      </c>
      <c r="D1022" s="2" t="inlineStr">
        <is>
          <t>L9.J.17011631</t>
        </is>
      </c>
      <c r="E1022" s="2" t="n">
        <v>8022</v>
      </c>
      <c r="F1022" s="2" t="n">
        <v>8022</v>
      </c>
      <c r="G1022" s="2" t="inlineStr">
        <is>
          <t>New Somerton depot for North West Metro contract.</t>
        </is>
      </c>
      <c r="H1022" s="2" t="inlineStr">
        <is>
          <t>65 Willandra Drive</t>
        </is>
      </c>
      <c r="I1022" s="2" t="inlineStr">
        <is>
          <t>Epping</t>
        </is>
      </c>
      <c r="J1022" s="2" t="inlineStr">
        <is>
          <t>VIC</t>
        </is>
      </c>
      <c r="K1022" s="2" t="n">
        <v>3076</v>
      </c>
      <c r="L1022" s="2" t="inlineStr">
        <is>
          <t>Australia</t>
        </is>
      </c>
      <c r="M1022" s="2" t="inlineStr">
        <is>
          <t>Epping</t>
        </is>
      </c>
      <c r="N1022" s="2" t="inlineStr">
        <is>
          <t>Australia</t>
        </is>
      </c>
      <c r="P1022" s="2" t="inlineStr">
        <is>
          <t>Operational Control</t>
        </is>
      </c>
      <c r="Q1022" s="2" t="inlineStr">
        <is>
          <t>Operational Control</t>
        </is>
      </c>
      <c r="R1022" s="2" t="inlineStr">
        <is>
          <t>Transport &amp; Infrastructure (T&amp;I)</t>
        </is>
      </c>
      <c r="S1022" s="2" t="inlineStr">
        <is>
          <t>Downer</t>
        </is>
      </c>
      <c r="T1022" s="2" t="n">
        <v>100</v>
      </c>
      <c r="W1022" s="2" t="inlineStr">
        <is>
          <t>Classification</t>
        </is>
      </c>
      <c r="X1022" s="2" t="n">
        <v>-37.644511</v>
      </c>
      <c r="Y1022" s="2" t="n">
        <v>145.009627</v>
      </c>
      <c r="Z1022" s="2" t="n">
        <v>310</v>
      </c>
      <c r="AB1022" s="11" t="n">
        <v>45504</v>
      </c>
    </row>
    <row r="1023">
      <c r="A1023" s="2" t="inlineStr">
        <is>
          <t>Downer</t>
        </is>
      </c>
      <c r="B1023" s="2" t="inlineStr">
        <is>
          <t>ES - Downer FM All Sites EU Subcontractors</t>
        </is>
      </c>
      <c r="C1023" s="2" t="inlineStr">
        <is>
          <t>Other</t>
        </is>
      </c>
      <c r="D1023" s="2" t="inlineStr">
        <is>
          <t>L9.DNZ.810.20996</t>
        </is>
      </c>
      <c r="E1023" s="2" t="inlineStr">
        <is>
          <t>L9.DNZ.810.20996</t>
        </is>
      </c>
      <c r="M1023" s="2" t="inlineStr">
        <is>
          <t>Auckland City</t>
        </is>
      </c>
      <c r="N1023" s="2" t="inlineStr">
        <is>
          <t>New Zealand</t>
        </is>
      </c>
      <c r="P1023" s="2" t="inlineStr">
        <is>
          <t>Operational Control</t>
        </is>
      </c>
      <c r="Q1023" s="2" t="inlineStr">
        <is>
          <t>Operational Control</t>
        </is>
      </c>
      <c r="R1023" s="2" t="inlineStr">
        <is>
          <t>Energy and Utilities (EU)</t>
        </is>
      </c>
      <c r="S1023" s="2" t="inlineStr">
        <is>
          <t>Downer</t>
        </is>
      </c>
      <c r="T1023" s="2" t="n">
        <v>100</v>
      </c>
      <c r="W1023" s="2" t="inlineStr">
        <is>
          <t>Classification</t>
        </is>
      </c>
    </row>
    <row r="1024">
      <c r="A1024" s="2" t="inlineStr">
        <is>
          <t>Downer</t>
        </is>
      </c>
      <c r="B1024" s="2" t="inlineStr">
        <is>
          <t>ES CCL Build All Sites EU Subcontractors</t>
        </is>
      </c>
      <c r="C1024" s="2" t="inlineStr">
        <is>
          <t>Other</t>
        </is>
      </c>
      <c r="D1024" s="2" t="inlineStr">
        <is>
          <t>L9.DNZJ.563210</t>
        </is>
      </c>
      <c r="E1024" s="2" t="inlineStr">
        <is>
          <t>L9.DNZJ.563210</t>
        </is>
      </c>
      <c r="F1024" s="2" t="inlineStr">
        <is>
          <t>L9.DNZJ.563210</t>
        </is>
      </c>
      <c r="M1024" s="2" t="inlineStr">
        <is>
          <t>Auckland</t>
        </is>
      </c>
      <c r="N1024" s="2" t="inlineStr">
        <is>
          <t>New Zealand</t>
        </is>
      </c>
      <c r="P1024" s="2" t="inlineStr">
        <is>
          <t>Operational Control</t>
        </is>
      </c>
      <c r="Q1024" s="2" t="inlineStr">
        <is>
          <t>Operational Control</t>
        </is>
      </c>
      <c r="R1024" s="2" t="inlineStr">
        <is>
          <t>Energy and Utilities (EU)</t>
        </is>
      </c>
      <c r="S1024" s="2" t="inlineStr">
        <is>
          <t>Downer</t>
        </is>
      </c>
      <c r="T1024" s="2" t="n">
        <v>100</v>
      </c>
      <c r="W1024" s="2" t="inlineStr">
        <is>
          <t>Classification</t>
        </is>
      </c>
    </row>
    <row r="1025">
      <c r="A1025" s="2" t="inlineStr">
        <is>
          <t>Downer</t>
        </is>
      </c>
      <c r="B1025" s="2" t="inlineStr">
        <is>
          <t>ES ELEC AKL/Northland</t>
        </is>
      </c>
      <c r="C1025" s="2" t="inlineStr">
        <is>
          <t>Other</t>
        </is>
      </c>
      <c r="D1025" s="2" t="inlineStr">
        <is>
          <t>L9.DNZ.810.10.105</t>
        </is>
      </c>
      <c r="E1025" s="2" t="n">
        <v>10105</v>
      </c>
      <c r="G1025" s="2" t="n">
        <v>10.105</v>
      </c>
      <c r="H1025" s="2" t="inlineStr">
        <is>
          <t>130 Kerrs Road</t>
        </is>
      </c>
      <c r="I1025" s="2" t="inlineStr">
        <is>
          <t>Wiri</t>
        </is>
      </c>
      <c r="J1025" s="2" t="inlineStr">
        <is>
          <t>Auckland</t>
        </is>
      </c>
      <c r="K1025" s="2" t="n">
        <v>2104</v>
      </c>
      <c r="L1025" s="2" t="inlineStr">
        <is>
          <t>New Zealand</t>
        </is>
      </c>
      <c r="M1025" s="2" t="inlineStr">
        <is>
          <t>Manurewa</t>
        </is>
      </c>
      <c r="N1025" s="2" t="inlineStr">
        <is>
          <t>New Zealand</t>
        </is>
      </c>
      <c r="P1025" s="2" t="inlineStr">
        <is>
          <t>Operational Control</t>
        </is>
      </c>
      <c r="Q1025" s="2" t="inlineStr">
        <is>
          <t>Operational Control</t>
        </is>
      </c>
      <c r="R1025" s="2" t="inlineStr">
        <is>
          <t>Energy and Utilities (EU)</t>
        </is>
      </c>
      <c r="S1025" s="2" t="inlineStr">
        <is>
          <t>Downer</t>
        </is>
      </c>
      <c r="T1025" s="2" t="n">
        <v>100</v>
      </c>
      <c r="W1025" s="2" t="inlineStr">
        <is>
          <t>Classification</t>
        </is>
      </c>
      <c r="X1025" s="2" t="n">
        <v>-37.0083</v>
      </c>
      <c r="Y1025" s="2" t="n">
        <v>174.8705</v>
      </c>
    </row>
    <row r="1026">
      <c r="A1026" s="2" t="inlineStr">
        <is>
          <t>Downer</t>
        </is>
      </c>
      <c r="B1026" s="2" t="inlineStr">
        <is>
          <t>ES Other Build Projects EU Subcontractors</t>
        </is>
      </c>
      <c r="C1026" s="2" t="inlineStr">
        <is>
          <t>Other</t>
        </is>
      </c>
      <c r="D1026" s="2" t="inlineStr">
        <is>
          <t>L9.DNZ.810.20771</t>
        </is>
      </c>
      <c r="E1026" s="2" t="inlineStr">
        <is>
          <t>L9.DNZ.810.20771</t>
        </is>
      </c>
      <c r="M1026" s="2" t="inlineStr">
        <is>
          <t>Auckland City</t>
        </is>
      </c>
      <c r="N1026" s="2" t="inlineStr">
        <is>
          <t>New Zealand</t>
        </is>
      </c>
      <c r="P1026" s="2" t="inlineStr">
        <is>
          <t>Operational Control</t>
        </is>
      </c>
      <c r="Q1026" s="2" t="inlineStr">
        <is>
          <t>Operational Control</t>
        </is>
      </c>
      <c r="R1026" s="2" t="inlineStr">
        <is>
          <t>Energy and Utilities (EU)</t>
        </is>
      </c>
      <c r="S1026" s="2" t="inlineStr">
        <is>
          <t>Downer</t>
        </is>
      </c>
      <c r="T1026" s="2" t="n">
        <v>100</v>
      </c>
      <c r="W1026" s="2" t="inlineStr">
        <is>
          <t>Classification</t>
        </is>
      </c>
    </row>
    <row r="1027">
      <c r="A1027" s="2" t="inlineStr">
        <is>
          <t>Downer</t>
        </is>
      </c>
      <c r="B1027" s="2" t="inlineStr">
        <is>
          <t>ES Project Managers</t>
        </is>
      </c>
      <c r="C1027" s="2" t="inlineStr">
        <is>
          <t>Other</t>
        </is>
      </c>
      <c r="D1027" s="2" t="inlineStr">
        <is>
          <t>L9.DNZ.810.10.198</t>
        </is>
      </c>
      <c r="E1027" s="2" t="n">
        <v>10198</v>
      </c>
      <c r="G1027" s="2" t="n">
        <v>10.198</v>
      </c>
      <c r="H1027" s="2" t="inlineStr">
        <is>
          <t>130 Kerrs Road</t>
        </is>
      </c>
      <c r="I1027" s="2" t="inlineStr">
        <is>
          <t>Wiri</t>
        </is>
      </c>
      <c r="J1027" s="2" t="inlineStr">
        <is>
          <t>Auckland</t>
        </is>
      </c>
      <c r="K1027" s="2" t="n">
        <v>2104</v>
      </c>
      <c r="L1027" s="2" t="inlineStr">
        <is>
          <t>New Zealand</t>
        </is>
      </c>
      <c r="M1027" s="2" t="inlineStr">
        <is>
          <t>Manurewa</t>
        </is>
      </c>
      <c r="N1027" s="2" t="inlineStr">
        <is>
          <t>New Zealand</t>
        </is>
      </c>
      <c r="P1027" s="2" t="inlineStr">
        <is>
          <t>Operational Control</t>
        </is>
      </c>
      <c r="Q1027" s="2" t="inlineStr">
        <is>
          <t>Operational Control</t>
        </is>
      </c>
      <c r="R1027" s="2" t="inlineStr">
        <is>
          <t>Energy and Utilities (EU)</t>
        </is>
      </c>
      <c r="S1027" s="2" t="inlineStr">
        <is>
          <t>Downer</t>
        </is>
      </c>
      <c r="T1027" s="2" t="n">
        <v>100</v>
      </c>
      <c r="W1027" s="2" t="inlineStr">
        <is>
          <t>Classification</t>
        </is>
      </c>
      <c r="X1027" s="2" t="n">
        <v>-37.0083</v>
      </c>
      <c r="Y1027" s="2" t="n">
        <v>174.8705</v>
      </c>
    </row>
    <row r="1028">
      <c r="A1028" s="2" t="inlineStr">
        <is>
          <t>Downer</t>
        </is>
      </c>
      <c r="B1028" s="2" t="inlineStr">
        <is>
          <t>ES SNZ Build Auckland EU Subcontractors</t>
        </is>
      </c>
      <c r="C1028" s="2" t="inlineStr">
        <is>
          <t>Other</t>
        </is>
      </c>
      <c r="D1028" s="2" t="inlineStr">
        <is>
          <t>L9.DNZ.810.20705</t>
        </is>
      </c>
      <c r="E1028" s="2" t="inlineStr">
        <is>
          <t>L9.DNZ.810.20705</t>
        </is>
      </c>
      <c r="M1028" s="2" t="inlineStr">
        <is>
          <t>Auckland City</t>
        </is>
      </c>
      <c r="N1028" s="2" t="inlineStr">
        <is>
          <t>New Zealand</t>
        </is>
      </c>
      <c r="P1028" s="2" t="inlineStr">
        <is>
          <t>Operational Control</t>
        </is>
      </c>
      <c r="Q1028" s="2" t="inlineStr">
        <is>
          <t>Operational Control</t>
        </is>
      </c>
      <c r="R1028" s="2" t="inlineStr">
        <is>
          <t>Energy and Utilities (EU)</t>
        </is>
      </c>
      <c r="S1028" s="2" t="inlineStr">
        <is>
          <t>Downer</t>
        </is>
      </c>
      <c r="T1028" s="2" t="n">
        <v>100</v>
      </c>
      <c r="W1028" s="2" t="inlineStr">
        <is>
          <t>Classification</t>
        </is>
      </c>
    </row>
    <row r="1029">
      <c r="A1029" s="2" t="inlineStr">
        <is>
          <t>Downer</t>
        </is>
      </c>
      <c r="B1029" s="2" t="inlineStr">
        <is>
          <t>ES SNZ Build Palmerston Nth EU Subcontractors</t>
        </is>
      </c>
      <c r="C1029" s="2" t="inlineStr">
        <is>
          <t>Other</t>
        </is>
      </c>
      <c r="D1029" s="2" t="inlineStr">
        <is>
          <t>L9.DNZ.810.20707</t>
        </is>
      </c>
      <c r="E1029" s="2" t="inlineStr">
        <is>
          <t>L9.DNZ.810.20707</t>
        </is>
      </c>
      <c r="F1029" s="2" t="inlineStr">
        <is>
          <t>L9.DNZ.810.20707</t>
        </is>
      </c>
      <c r="M1029" s="2" t="inlineStr">
        <is>
          <t>Auckland</t>
        </is>
      </c>
      <c r="N1029" s="2" t="inlineStr">
        <is>
          <t>New Zealand</t>
        </is>
      </c>
      <c r="P1029" s="2" t="inlineStr">
        <is>
          <t>Operational Control</t>
        </is>
      </c>
      <c r="Q1029" s="2" t="inlineStr">
        <is>
          <t>Operational Control</t>
        </is>
      </c>
      <c r="R1029" s="2" t="inlineStr">
        <is>
          <t>Energy and Utilities (EU)</t>
        </is>
      </c>
      <c r="S1029" s="2" t="inlineStr">
        <is>
          <t>Downer</t>
        </is>
      </c>
      <c r="T1029" s="2" t="n">
        <v>100</v>
      </c>
      <c r="W1029" s="2" t="inlineStr">
        <is>
          <t>Classification</t>
        </is>
      </c>
    </row>
    <row r="1030">
      <c r="A1030" s="2" t="inlineStr">
        <is>
          <t>Downer</t>
        </is>
      </c>
      <c r="B1030" s="2" t="inlineStr">
        <is>
          <t>ES SNZ Build South Is EU Subcontractors</t>
        </is>
      </c>
      <c r="C1030" s="2" t="inlineStr">
        <is>
          <t>Other</t>
        </is>
      </c>
      <c r="D1030" s="2" t="inlineStr">
        <is>
          <t>L9.DNZ.810.20709</t>
        </is>
      </c>
      <c r="E1030" s="2" t="inlineStr">
        <is>
          <t>L9.DNZ.810.20709</t>
        </is>
      </c>
      <c r="M1030" s="2" t="inlineStr">
        <is>
          <t>Auckland City</t>
        </is>
      </c>
      <c r="N1030" s="2" t="inlineStr">
        <is>
          <t>New Zealand</t>
        </is>
      </c>
      <c r="P1030" s="2" t="inlineStr">
        <is>
          <t>Operational Control</t>
        </is>
      </c>
      <c r="Q1030" s="2" t="inlineStr">
        <is>
          <t>Operational Control</t>
        </is>
      </c>
      <c r="R1030" s="2" t="inlineStr">
        <is>
          <t>Energy and Utilities (EU)</t>
        </is>
      </c>
      <c r="S1030" s="2" t="inlineStr">
        <is>
          <t>Downer</t>
        </is>
      </c>
      <c r="T1030" s="2" t="n">
        <v>100</v>
      </c>
      <c r="W1030" s="2" t="inlineStr">
        <is>
          <t>Classification</t>
        </is>
      </c>
    </row>
    <row r="1031">
      <c r="A1031" s="2" t="inlineStr">
        <is>
          <t>Downer</t>
        </is>
      </c>
      <c r="B1031" s="2" t="inlineStr">
        <is>
          <t>ES SNZ Build Waikato EU Subcontractors</t>
        </is>
      </c>
      <c r="C1031" s="2" t="inlineStr">
        <is>
          <t>Other</t>
        </is>
      </c>
      <c r="D1031" s="2" t="inlineStr">
        <is>
          <t>L9.DNZ.810.20706</t>
        </is>
      </c>
      <c r="E1031" s="2" t="inlineStr">
        <is>
          <t>L9.DNZ.810.20706</t>
        </is>
      </c>
      <c r="M1031" s="2" t="inlineStr">
        <is>
          <t>Auckland City</t>
        </is>
      </c>
      <c r="N1031" s="2" t="inlineStr">
        <is>
          <t>New Zealand</t>
        </is>
      </c>
      <c r="P1031" s="2" t="inlineStr">
        <is>
          <t>Operational Control</t>
        </is>
      </c>
      <c r="Q1031" s="2" t="inlineStr">
        <is>
          <t>Operational Control</t>
        </is>
      </c>
      <c r="R1031" s="2" t="inlineStr">
        <is>
          <t>Energy and Utilities (EU)</t>
        </is>
      </c>
      <c r="S1031" s="2" t="inlineStr">
        <is>
          <t>Downer</t>
        </is>
      </c>
      <c r="T1031" s="2" t="n">
        <v>100</v>
      </c>
      <c r="W1031" s="2" t="inlineStr">
        <is>
          <t>Classification</t>
        </is>
      </c>
    </row>
    <row r="1032">
      <c r="A1032" s="2" t="inlineStr">
        <is>
          <t>Downer</t>
        </is>
      </c>
      <c r="B1032" s="2" t="inlineStr">
        <is>
          <t>ES SNZ Build Wellington EU Subcontractors</t>
        </is>
      </c>
      <c r="C1032" s="2" t="inlineStr">
        <is>
          <t>Other</t>
        </is>
      </c>
      <c r="D1032" s="2" t="inlineStr">
        <is>
          <t>L9.DNZ.810.20708</t>
        </is>
      </c>
      <c r="E1032" s="2" t="inlineStr">
        <is>
          <t>L9.DNZ.810.20708</t>
        </is>
      </c>
      <c r="M1032" s="2" t="inlineStr">
        <is>
          <t>Auckland City</t>
        </is>
      </c>
      <c r="N1032" s="2" t="inlineStr">
        <is>
          <t>New Zealand</t>
        </is>
      </c>
      <c r="P1032" s="2" t="inlineStr">
        <is>
          <t>Operational Control</t>
        </is>
      </c>
      <c r="Q1032" s="2" t="inlineStr">
        <is>
          <t>Operational Control</t>
        </is>
      </c>
      <c r="R1032" s="2" t="inlineStr">
        <is>
          <t>Energy and Utilities (EU)</t>
        </is>
      </c>
      <c r="S1032" s="2" t="inlineStr">
        <is>
          <t>Downer</t>
        </is>
      </c>
      <c r="T1032" s="2" t="n">
        <v>100</v>
      </c>
      <c r="W1032" s="2" t="inlineStr">
        <is>
          <t>Classification</t>
        </is>
      </c>
    </row>
    <row r="1033">
      <c r="A1033" s="2" t="inlineStr">
        <is>
          <t>Downer</t>
        </is>
      </c>
      <c r="B1033" s="2" t="inlineStr">
        <is>
          <t>ES SNZ Operate National EU Subcontractors</t>
        </is>
      </c>
      <c r="C1033" s="2" t="inlineStr">
        <is>
          <t>Other</t>
        </is>
      </c>
      <c r="D1033" s="2" t="inlineStr">
        <is>
          <t>L9.DNZ.810.20608</t>
        </is>
      </c>
      <c r="E1033" s="2" t="inlineStr">
        <is>
          <t>L9.DNZ.810.20608</t>
        </is>
      </c>
      <c r="F1033" s="2" t="inlineStr">
        <is>
          <t>L9.DNZ.810.20608</t>
        </is>
      </c>
      <c r="M1033" s="2" t="inlineStr">
        <is>
          <t>Auckland</t>
        </is>
      </c>
      <c r="N1033" s="2" t="inlineStr">
        <is>
          <t>New Zealand</t>
        </is>
      </c>
      <c r="P1033" s="2" t="inlineStr">
        <is>
          <t>Operational Control</t>
        </is>
      </c>
      <c r="Q1033" s="2" t="inlineStr">
        <is>
          <t>Operational Control</t>
        </is>
      </c>
      <c r="R1033" s="2" t="inlineStr">
        <is>
          <t>Energy and Utilities (EU)</t>
        </is>
      </c>
      <c r="S1033" s="2" t="inlineStr">
        <is>
          <t>Downer</t>
        </is>
      </c>
      <c r="T1033" s="2" t="n">
        <v>100</v>
      </c>
      <c r="W1033" s="2" t="inlineStr">
        <is>
          <t>Classification</t>
        </is>
      </c>
    </row>
    <row r="1034">
      <c r="A1034" s="2" t="inlineStr">
        <is>
          <t>Downer</t>
        </is>
      </c>
      <c r="B1034" s="2" t="inlineStr">
        <is>
          <t>ES SNZ Property - National EU Subcontractors</t>
        </is>
      </c>
      <c r="C1034" s="2" t="inlineStr">
        <is>
          <t>Other</t>
        </is>
      </c>
      <c r="D1034" s="2" t="inlineStr">
        <is>
          <t>L9.DNZ.810.20689</t>
        </is>
      </c>
      <c r="E1034" s="2" t="inlineStr">
        <is>
          <t>L9.DNZ.810.20689</t>
        </is>
      </c>
      <c r="M1034" s="2" t="inlineStr">
        <is>
          <t>Auckland City</t>
        </is>
      </c>
      <c r="N1034" s="2" t="inlineStr">
        <is>
          <t>New Zealand</t>
        </is>
      </c>
      <c r="P1034" s="2" t="inlineStr">
        <is>
          <t>Operational Control</t>
        </is>
      </c>
      <c r="Q1034" s="2" t="inlineStr">
        <is>
          <t>Operational Control</t>
        </is>
      </c>
      <c r="R1034" s="2" t="inlineStr">
        <is>
          <t>Energy and Utilities (EU)</t>
        </is>
      </c>
      <c r="S1034" s="2" t="inlineStr">
        <is>
          <t>Downer</t>
        </is>
      </c>
      <c r="T1034" s="2" t="n">
        <v>100</v>
      </c>
      <c r="W1034" s="2" t="inlineStr">
        <is>
          <t>Classification</t>
        </is>
      </c>
    </row>
    <row r="1035">
      <c r="A1035" s="2" t="inlineStr">
        <is>
          <t>Downer</t>
        </is>
      </c>
      <c r="B1035" s="2" t="inlineStr">
        <is>
          <t>ES SNZ Reactive Auckland EU Subcontractors</t>
        </is>
      </c>
      <c r="C1035" s="2" t="inlineStr">
        <is>
          <t>Other</t>
        </is>
      </c>
      <c r="D1035" s="2" t="inlineStr">
        <is>
          <t>L9.DNZ.810.20985</t>
        </is>
      </c>
      <c r="E1035" s="2" t="inlineStr">
        <is>
          <t>L9.DNZ.810.20985</t>
        </is>
      </c>
      <c r="M1035" s="2" t="inlineStr">
        <is>
          <t>Auckland City</t>
        </is>
      </c>
      <c r="N1035" s="2" t="inlineStr">
        <is>
          <t>New Zealand</t>
        </is>
      </c>
      <c r="P1035" s="2" t="inlineStr">
        <is>
          <t>Operational Control</t>
        </is>
      </c>
      <c r="Q1035" s="2" t="inlineStr">
        <is>
          <t>Operational Control</t>
        </is>
      </c>
      <c r="R1035" s="2" t="inlineStr">
        <is>
          <t>Energy and Utilities (EU)</t>
        </is>
      </c>
      <c r="S1035" s="2" t="inlineStr">
        <is>
          <t>Downer</t>
        </is>
      </c>
      <c r="T1035" s="2" t="n">
        <v>100</v>
      </c>
      <c r="W1035" s="2" t="inlineStr">
        <is>
          <t>Classification</t>
        </is>
      </c>
    </row>
    <row r="1036">
      <c r="A1036" s="2" t="inlineStr">
        <is>
          <t>Downer</t>
        </is>
      </c>
      <c r="B1036" s="2" t="inlineStr">
        <is>
          <t>ES SNZ Reactive Palmerston Nth EU Subcontractors</t>
        </is>
      </c>
      <c r="C1036" s="2" t="inlineStr">
        <is>
          <t>Other</t>
        </is>
      </c>
      <c r="D1036" s="2" t="inlineStr">
        <is>
          <t>L9.DNZ.810.20697</t>
        </is>
      </c>
      <c r="E1036" s="2" t="inlineStr">
        <is>
          <t>L9.DNZ.810.20697</t>
        </is>
      </c>
      <c r="M1036" s="2" t="inlineStr">
        <is>
          <t>Auckland City</t>
        </is>
      </c>
      <c r="N1036" s="2" t="inlineStr">
        <is>
          <t>New Zealand</t>
        </is>
      </c>
      <c r="P1036" s="2" t="inlineStr">
        <is>
          <t>Operational Control</t>
        </is>
      </c>
      <c r="Q1036" s="2" t="inlineStr">
        <is>
          <t>Operational Control</t>
        </is>
      </c>
      <c r="R1036" s="2" t="inlineStr">
        <is>
          <t>Energy and Utilities (EU)</t>
        </is>
      </c>
      <c r="S1036" s="2" t="inlineStr">
        <is>
          <t>Downer</t>
        </is>
      </c>
      <c r="T1036" s="2" t="n">
        <v>100</v>
      </c>
      <c r="W1036" s="2" t="inlineStr">
        <is>
          <t>Classification</t>
        </is>
      </c>
    </row>
    <row r="1037">
      <c r="A1037" s="2" t="inlineStr">
        <is>
          <t>Downer</t>
        </is>
      </c>
      <c r="B1037" s="2" t="inlineStr">
        <is>
          <t>ES SNZ Reactive South Is EU Subcontractors</t>
        </is>
      </c>
      <c r="C1037" s="2" t="inlineStr">
        <is>
          <t>Other</t>
        </is>
      </c>
      <c r="D1037" s="2" t="inlineStr">
        <is>
          <t>L9.DNZ.810.20970</t>
        </is>
      </c>
      <c r="E1037" s="2" t="inlineStr">
        <is>
          <t>L9.DNZ.810.20970</t>
        </is>
      </c>
      <c r="M1037" s="2" t="inlineStr">
        <is>
          <t>Auckland City</t>
        </is>
      </c>
      <c r="N1037" s="2" t="inlineStr">
        <is>
          <t>New Zealand</t>
        </is>
      </c>
      <c r="P1037" s="2" t="inlineStr">
        <is>
          <t>Operational Control</t>
        </is>
      </c>
      <c r="Q1037" s="2" t="inlineStr">
        <is>
          <t>Operational Control</t>
        </is>
      </c>
      <c r="R1037" s="2" t="inlineStr">
        <is>
          <t>Energy and Utilities (EU)</t>
        </is>
      </c>
      <c r="S1037" s="2" t="inlineStr">
        <is>
          <t>Downer</t>
        </is>
      </c>
      <c r="T1037" s="2" t="n">
        <v>100</v>
      </c>
      <c r="W1037" s="2" t="inlineStr">
        <is>
          <t>Classification</t>
        </is>
      </c>
    </row>
    <row r="1038">
      <c r="A1038" s="2" t="inlineStr">
        <is>
          <t>Downer</t>
        </is>
      </c>
      <c r="B1038" s="2" t="inlineStr">
        <is>
          <t>ES SNZ Reactive Waikato EU Subcontractors</t>
        </is>
      </c>
      <c r="C1038" s="2" t="inlineStr">
        <is>
          <t>Other</t>
        </is>
      </c>
      <c r="D1038" s="2" t="inlineStr">
        <is>
          <t>L9.DNZ.810.20706</t>
        </is>
      </c>
      <c r="E1038" s="2" t="inlineStr">
        <is>
          <t>L9.DNZ.810.20706</t>
        </is>
      </c>
      <c r="F1038" s="2" t="inlineStr">
        <is>
          <t>L9.DNZ.810.20706</t>
        </is>
      </c>
      <c r="M1038" s="2" t="inlineStr">
        <is>
          <t>Auckland</t>
        </is>
      </c>
      <c r="N1038" s="2" t="inlineStr">
        <is>
          <t>New Zealand</t>
        </is>
      </c>
      <c r="P1038" s="2" t="inlineStr">
        <is>
          <t>Operational Control</t>
        </is>
      </c>
      <c r="Q1038" s="2" t="inlineStr">
        <is>
          <t>Operational Control</t>
        </is>
      </c>
      <c r="R1038" s="2" t="inlineStr">
        <is>
          <t>Energy and Utilities (EU)</t>
        </is>
      </c>
      <c r="S1038" s="2" t="inlineStr">
        <is>
          <t>Downer</t>
        </is>
      </c>
      <c r="T1038" s="2" t="n">
        <v>100</v>
      </c>
      <c r="W1038" s="2" t="inlineStr">
        <is>
          <t>Classification</t>
        </is>
      </c>
    </row>
    <row r="1039">
      <c r="A1039" s="2" t="inlineStr">
        <is>
          <t>Downer</t>
        </is>
      </c>
      <c r="B1039" s="2" t="inlineStr">
        <is>
          <t>ES SNZ Reactive Wellington EU Subcontractors</t>
        </is>
      </c>
      <c r="C1039" s="2" t="inlineStr">
        <is>
          <t>Other</t>
        </is>
      </c>
      <c r="D1039" s="2" t="inlineStr">
        <is>
          <t>L9.DNZ.810.20698</t>
        </is>
      </c>
      <c r="E1039" s="2" t="inlineStr">
        <is>
          <t>L9.DNZ.810.20698</t>
        </is>
      </c>
      <c r="M1039" s="2" t="inlineStr">
        <is>
          <t>Auckland City</t>
        </is>
      </c>
      <c r="N1039" s="2" t="inlineStr">
        <is>
          <t>New Zealand</t>
        </is>
      </c>
      <c r="P1039" s="2" t="inlineStr">
        <is>
          <t>Operational Control</t>
        </is>
      </c>
      <c r="Q1039" s="2" t="inlineStr">
        <is>
          <t>Operational Control</t>
        </is>
      </c>
      <c r="R1039" s="2" t="inlineStr">
        <is>
          <t>Energy and Utilities (EU)</t>
        </is>
      </c>
      <c r="S1039" s="2" t="inlineStr">
        <is>
          <t>Downer</t>
        </is>
      </c>
      <c r="T1039" s="2" t="n">
        <v>100</v>
      </c>
      <c r="W1039" s="2" t="inlineStr">
        <is>
          <t>Classification</t>
        </is>
      </c>
    </row>
    <row r="1040">
      <c r="A1040" s="2" t="inlineStr">
        <is>
          <t>Downer</t>
        </is>
      </c>
      <c r="B1040" s="2" t="inlineStr">
        <is>
          <t>ES SNZ Routine Auckland EU Subcontractors</t>
        </is>
      </c>
      <c r="C1040" s="2" t="inlineStr">
        <is>
          <t>Other</t>
        </is>
      </c>
      <c r="D1040" s="2" t="inlineStr">
        <is>
          <t>L9.DNZ.810.20705</t>
        </is>
      </c>
      <c r="E1040" s="2" t="inlineStr">
        <is>
          <t>L9.DNZ.810.20705</t>
        </is>
      </c>
      <c r="F1040" s="2" t="inlineStr">
        <is>
          <t>L9.DNZ.810.20705</t>
        </is>
      </c>
      <c r="M1040" s="2" t="inlineStr">
        <is>
          <t>Auckland</t>
        </is>
      </c>
      <c r="N1040" s="2" t="inlineStr">
        <is>
          <t>New Zealand</t>
        </is>
      </c>
      <c r="P1040" s="2" t="inlineStr">
        <is>
          <t>Operational Control</t>
        </is>
      </c>
      <c r="Q1040" s="2" t="inlineStr">
        <is>
          <t>Operational Control</t>
        </is>
      </c>
      <c r="R1040" s="2" t="inlineStr">
        <is>
          <t>Energy and Utilities (EU)</t>
        </is>
      </c>
      <c r="S1040" s="2" t="inlineStr">
        <is>
          <t>Downer</t>
        </is>
      </c>
      <c r="T1040" s="2" t="n">
        <v>100</v>
      </c>
      <c r="W1040" s="2" t="inlineStr">
        <is>
          <t>Classification</t>
        </is>
      </c>
    </row>
    <row r="1041">
      <c r="A1041" s="2" t="inlineStr">
        <is>
          <t>Downer</t>
        </is>
      </c>
      <c r="B1041" s="2" t="inlineStr">
        <is>
          <t>ES SNZ Routine Palmerston Nth EU Subcontractors</t>
        </is>
      </c>
      <c r="C1041" s="2" t="inlineStr">
        <is>
          <t>Other</t>
        </is>
      </c>
      <c r="D1041" s="2" t="inlineStr">
        <is>
          <t>L9.DNZ.810.20702</t>
        </is>
      </c>
      <c r="E1041" s="2" t="inlineStr">
        <is>
          <t>L9.DNZ.810.20702</t>
        </is>
      </c>
      <c r="F1041" s="2" t="inlineStr">
        <is>
          <t>L9.DNZ.810.20702</t>
        </is>
      </c>
      <c r="M1041" s="2" t="inlineStr">
        <is>
          <t>Auckland</t>
        </is>
      </c>
      <c r="N1041" s="2" t="inlineStr">
        <is>
          <t>New Zealand</t>
        </is>
      </c>
      <c r="P1041" s="2" t="inlineStr">
        <is>
          <t>Operational Control</t>
        </is>
      </c>
      <c r="Q1041" s="2" t="inlineStr">
        <is>
          <t>Operational Control</t>
        </is>
      </c>
      <c r="R1041" s="2" t="inlineStr">
        <is>
          <t>Energy and Utilities (EU)</t>
        </is>
      </c>
      <c r="S1041" s="2" t="inlineStr">
        <is>
          <t>Downer</t>
        </is>
      </c>
      <c r="T1041" s="2" t="n">
        <v>100</v>
      </c>
      <c r="W1041" s="2" t="inlineStr">
        <is>
          <t>Classification</t>
        </is>
      </c>
    </row>
    <row r="1042">
      <c r="A1042" s="2" t="inlineStr">
        <is>
          <t>Downer</t>
        </is>
      </c>
      <c r="B1042" s="2" t="inlineStr">
        <is>
          <t>ES SNZ Routine South Is EU Subcontractors</t>
        </is>
      </c>
      <c r="C1042" s="2" t="inlineStr">
        <is>
          <t>Other</t>
        </is>
      </c>
      <c r="D1042" s="2" t="inlineStr">
        <is>
          <t>L9.DNZ.810.20704</t>
        </is>
      </c>
      <c r="E1042" s="2" t="inlineStr">
        <is>
          <t>L9.DNZ.810.20704</t>
        </is>
      </c>
      <c r="F1042" s="2" t="inlineStr">
        <is>
          <t>L9.DNZ.810.20704</t>
        </is>
      </c>
      <c r="M1042" s="2" t="inlineStr">
        <is>
          <t>Auckland</t>
        </is>
      </c>
      <c r="N1042" s="2" t="inlineStr">
        <is>
          <t>New Zealand</t>
        </is>
      </c>
      <c r="P1042" s="2" t="inlineStr">
        <is>
          <t>Operational Control</t>
        </is>
      </c>
      <c r="Q1042" s="2" t="inlineStr">
        <is>
          <t>Operational Control</t>
        </is>
      </c>
      <c r="R1042" s="2" t="inlineStr">
        <is>
          <t>Energy and Utilities (EU)</t>
        </is>
      </c>
      <c r="S1042" s="2" t="inlineStr">
        <is>
          <t>Downer</t>
        </is>
      </c>
      <c r="T1042" s="2" t="n">
        <v>100</v>
      </c>
      <c r="W1042" s="2" t="inlineStr">
        <is>
          <t>Classification</t>
        </is>
      </c>
    </row>
    <row r="1043">
      <c r="A1043" s="2" t="inlineStr">
        <is>
          <t>Downer</t>
        </is>
      </c>
      <c r="B1043" s="2" t="inlineStr">
        <is>
          <t>ES SNZ Routine Waikato EU Subcontractors</t>
        </is>
      </c>
      <c r="C1043" s="2" t="inlineStr">
        <is>
          <t>Other</t>
        </is>
      </c>
      <c r="D1043" s="2" t="inlineStr">
        <is>
          <t>L9.DNZ.810.20701</t>
        </is>
      </c>
      <c r="E1043" s="2" t="inlineStr">
        <is>
          <t>L9.DNZ.810.20701</t>
        </is>
      </c>
      <c r="F1043" s="2" t="inlineStr">
        <is>
          <t>L9.DNZ.810.20701</t>
        </is>
      </c>
      <c r="M1043" s="2" t="inlineStr">
        <is>
          <t>Auckland</t>
        </is>
      </c>
      <c r="N1043" s="2" t="inlineStr">
        <is>
          <t>New Zealand</t>
        </is>
      </c>
      <c r="P1043" s="2" t="inlineStr">
        <is>
          <t>Operational Control</t>
        </is>
      </c>
      <c r="Q1043" s="2" t="inlineStr">
        <is>
          <t>Operational Control</t>
        </is>
      </c>
      <c r="R1043" s="2" t="inlineStr">
        <is>
          <t>Energy and Utilities (EU)</t>
        </is>
      </c>
      <c r="S1043" s="2" t="inlineStr">
        <is>
          <t>Downer</t>
        </is>
      </c>
      <c r="T1043" s="2" t="n">
        <v>100</v>
      </c>
      <c r="W1043" s="2" t="inlineStr">
        <is>
          <t>Classification</t>
        </is>
      </c>
    </row>
    <row r="1044">
      <c r="A1044" s="2" t="inlineStr">
        <is>
          <t>Downer</t>
        </is>
      </c>
      <c r="B1044" s="2" t="inlineStr">
        <is>
          <t>ES SNZ Routine Wellington EU Subcontractors</t>
        </is>
      </c>
      <c r="C1044" s="2" t="inlineStr">
        <is>
          <t>Other</t>
        </is>
      </c>
      <c r="D1044" s="2" t="inlineStr">
        <is>
          <t>L9.DNZ.810.20698</t>
        </is>
      </c>
      <c r="E1044" s="2" t="inlineStr">
        <is>
          <t>L9.DNZ.810.20698</t>
        </is>
      </c>
      <c r="F1044" s="2" t="inlineStr">
        <is>
          <t>L9.DNZ.810.20698</t>
        </is>
      </c>
      <c r="M1044" s="2" t="inlineStr">
        <is>
          <t>Auckland</t>
        </is>
      </c>
      <c r="N1044" s="2" t="inlineStr">
        <is>
          <t>New Zealand</t>
        </is>
      </c>
      <c r="P1044" s="2" t="inlineStr">
        <is>
          <t>Operational Control</t>
        </is>
      </c>
      <c r="Q1044" s="2" t="inlineStr">
        <is>
          <t>Operational Control</t>
        </is>
      </c>
      <c r="R1044" s="2" t="inlineStr">
        <is>
          <t>Energy and Utilities (EU)</t>
        </is>
      </c>
      <c r="S1044" s="2" t="inlineStr">
        <is>
          <t>Downer</t>
        </is>
      </c>
      <c r="T1044" s="2" t="n">
        <v>100</v>
      </c>
      <c r="W1044" s="2" t="inlineStr">
        <is>
          <t>Classification</t>
        </is>
      </c>
    </row>
    <row r="1045">
      <c r="A1045" s="2" t="inlineStr">
        <is>
          <t>Downer</t>
        </is>
      </c>
      <c r="B1045" s="2" t="inlineStr">
        <is>
          <t>ES Spark National Projects EU Subcontractors</t>
        </is>
      </c>
      <c r="C1045" s="2" t="inlineStr">
        <is>
          <t>Other</t>
        </is>
      </c>
      <c r="D1045" s="2" t="inlineStr">
        <is>
          <t>L9.DNZ.810.20216</t>
        </is>
      </c>
      <c r="E1045" s="2" t="inlineStr">
        <is>
          <t>L9.DNZ.810.20216</t>
        </is>
      </c>
      <c r="M1045" s="2" t="inlineStr">
        <is>
          <t>Auckland City</t>
        </is>
      </c>
      <c r="N1045" s="2" t="inlineStr">
        <is>
          <t>New Zealand</t>
        </is>
      </c>
      <c r="P1045" s="2" t="inlineStr">
        <is>
          <t>Operational Control</t>
        </is>
      </c>
      <c r="Q1045" s="2" t="inlineStr">
        <is>
          <t>Operational Control</t>
        </is>
      </c>
      <c r="R1045" s="2" t="inlineStr">
        <is>
          <t>Energy and Utilities (EU)</t>
        </is>
      </c>
      <c r="S1045" s="2" t="inlineStr">
        <is>
          <t>Downer</t>
        </is>
      </c>
      <c r="T1045" s="2" t="n">
        <v>100</v>
      </c>
      <c r="W1045" s="2" t="inlineStr">
        <is>
          <t>Classification</t>
        </is>
      </c>
    </row>
    <row r="1046">
      <c r="A1046" s="2" t="inlineStr">
        <is>
          <t>Downer</t>
        </is>
      </c>
      <c r="B1046" s="2" t="inlineStr">
        <is>
          <t>ESC - Overhead EU Subcontractors</t>
        </is>
      </c>
      <c r="C1046" s="2" t="inlineStr">
        <is>
          <t>Other</t>
        </is>
      </c>
      <c r="D1046" s="2" t="inlineStr">
        <is>
          <t>L9.J.24189971</t>
        </is>
      </c>
      <c r="E1046" s="2" t="inlineStr">
        <is>
          <t>L9.J.24189971</t>
        </is>
      </c>
      <c r="F1046" s="2" t="inlineStr">
        <is>
          <t>L9.J.24189971</t>
        </is>
      </c>
      <c r="M1046" s="2" t="inlineStr">
        <is>
          <t>Auckland</t>
        </is>
      </c>
      <c r="N1046" s="2" t="inlineStr">
        <is>
          <t>New Zealand</t>
        </is>
      </c>
      <c r="P1046" s="2" t="inlineStr">
        <is>
          <t>Operational Control</t>
        </is>
      </c>
      <c r="Q1046" s="2" t="inlineStr">
        <is>
          <t>Operational Control</t>
        </is>
      </c>
      <c r="R1046" s="2" t="inlineStr">
        <is>
          <t>Energy and Utilities (EU)</t>
        </is>
      </c>
      <c r="S1046" s="2" t="inlineStr">
        <is>
          <t>Downer</t>
        </is>
      </c>
      <c r="T1046" s="2" t="n">
        <v>100</v>
      </c>
      <c r="W1046" s="2" t="inlineStr">
        <is>
          <t>Classification</t>
        </is>
      </c>
    </row>
    <row r="1047">
      <c r="A1047" s="2" t="inlineStr">
        <is>
          <t>Downer</t>
        </is>
      </c>
      <c r="B1047" s="2" t="inlineStr">
        <is>
          <t>Estimating EU Subcontractors</t>
        </is>
      </c>
      <c r="C1047" s="2" t="inlineStr">
        <is>
          <t>Other</t>
        </is>
      </c>
      <c r="D1047" s="2" t="inlineStr">
        <is>
          <t>L9.J.38275057</t>
        </is>
      </c>
      <c r="E1047" s="2" t="inlineStr">
        <is>
          <t>L9.J.38275057</t>
        </is>
      </c>
      <c r="M1047" s="2" t="inlineStr">
        <is>
          <t>North Ryde</t>
        </is>
      </c>
      <c r="N1047" s="2" t="inlineStr">
        <is>
          <t>Australia</t>
        </is>
      </c>
      <c r="P1047" s="2" t="inlineStr">
        <is>
          <t>Operational Control</t>
        </is>
      </c>
      <c r="Q1047" s="2" t="inlineStr">
        <is>
          <t>Operational Control</t>
        </is>
      </c>
      <c r="R1047" s="2" t="inlineStr">
        <is>
          <t>Energy and Utilities (EU)</t>
        </is>
      </c>
      <c r="S1047" s="2" t="inlineStr">
        <is>
          <t>Downer</t>
        </is>
      </c>
      <c r="T1047" s="2" t="n">
        <v>100</v>
      </c>
      <c r="W1047" s="2" t="inlineStr">
        <is>
          <t>Classification</t>
        </is>
      </c>
    </row>
    <row r="1048">
      <c r="A1048" s="2" t="inlineStr">
        <is>
          <t>Downer</t>
        </is>
      </c>
      <c r="B1048" s="2" t="inlineStr">
        <is>
          <t>EU-24190263 - FSD Data Centre</t>
        </is>
      </c>
      <c r="C1048" s="2" t="inlineStr">
        <is>
          <t>Site</t>
        </is>
      </c>
      <c r="D1048" s="2" t="inlineStr">
        <is>
          <t>L9.J.24190263</t>
        </is>
      </c>
      <c r="M1048" s="2" t="inlineStr">
        <is>
          <t>Melbourne</t>
        </is>
      </c>
      <c r="N1048" s="2" t="inlineStr">
        <is>
          <t>Australia</t>
        </is>
      </c>
      <c r="P1048" s="2" t="inlineStr">
        <is>
          <t>Operational Control</t>
        </is>
      </c>
      <c r="Q1048" s="2" t="inlineStr">
        <is>
          <t>Operational Control</t>
        </is>
      </c>
      <c r="R1048" s="2" t="inlineStr">
        <is>
          <t>Energy and Utilities (EU)</t>
        </is>
      </c>
      <c r="S1048" s="2" t="inlineStr">
        <is>
          <t>Downer</t>
        </is>
      </c>
      <c r="T1048" s="2" t="n">
        <v>100</v>
      </c>
      <c r="U1048" s="11" t="n">
        <v>45474</v>
      </c>
      <c r="W1048" s="2" t="inlineStr">
        <is>
          <t>Classification</t>
        </is>
      </c>
    </row>
    <row r="1049">
      <c r="A1049" s="2" t="inlineStr">
        <is>
          <t>Downer</t>
        </is>
      </c>
      <c r="B1049" s="2" t="inlineStr">
        <is>
          <t>EU-24190272 - BLTS  66kV CB Replacement</t>
        </is>
      </c>
      <c r="C1049" s="2" t="inlineStr">
        <is>
          <t>Site</t>
        </is>
      </c>
      <c r="D1049" s="2" t="inlineStr">
        <is>
          <t>L9.J.24190272</t>
        </is>
      </c>
      <c r="M1049" s="2" t="inlineStr">
        <is>
          <t>Altona North</t>
        </is>
      </c>
      <c r="N1049" s="2" t="inlineStr">
        <is>
          <t>Australia</t>
        </is>
      </c>
      <c r="P1049" s="2" t="inlineStr">
        <is>
          <t>Operational Control</t>
        </is>
      </c>
      <c r="Q1049" s="2" t="inlineStr">
        <is>
          <t>Operational Control</t>
        </is>
      </c>
      <c r="R1049" s="2" t="inlineStr">
        <is>
          <t>Energy and Utilities (EU)</t>
        </is>
      </c>
      <c r="S1049" s="2" t="inlineStr">
        <is>
          <t>Downer</t>
        </is>
      </c>
      <c r="T1049" s="2" t="n">
        <v>100</v>
      </c>
      <c r="U1049" s="11" t="n">
        <v>45474</v>
      </c>
      <c r="W1049" s="2" t="inlineStr">
        <is>
          <t>Classification</t>
        </is>
      </c>
    </row>
    <row r="1050">
      <c r="A1050" s="2" t="inlineStr">
        <is>
          <t>Downer</t>
        </is>
      </c>
      <c r="B1050" s="2" t="inlineStr">
        <is>
          <t>External IT &amp; T Projects</t>
        </is>
      </c>
      <c r="C1050" s="2" t="inlineStr">
        <is>
          <t>Other</t>
        </is>
      </c>
      <c r="D1050" s="2" t="inlineStr">
        <is>
          <t>L9.DNZJ.561529</t>
        </is>
      </c>
      <c r="E1050" s="2" t="n">
        <v>561529</v>
      </c>
      <c r="M1050" s="2" t="inlineStr">
        <is>
          <t>Auckland</t>
        </is>
      </c>
      <c r="N1050" s="2" t="inlineStr">
        <is>
          <t>New Zealand</t>
        </is>
      </c>
      <c r="P1050" s="2" t="inlineStr">
        <is>
          <t>Operational Control</t>
        </is>
      </c>
      <c r="Q1050" s="2" t="inlineStr">
        <is>
          <t>Operational Control</t>
        </is>
      </c>
      <c r="R1050" s="2" t="inlineStr">
        <is>
          <t>Energy and Utilities (EU)</t>
        </is>
      </c>
      <c r="S1050" s="2" t="inlineStr">
        <is>
          <t>Downer</t>
        </is>
      </c>
      <c r="T1050" s="2" t="n">
        <v>100</v>
      </c>
      <c r="W1050" s="2" t="inlineStr">
        <is>
          <t>Classification</t>
        </is>
      </c>
    </row>
    <row r="1051">
      <c r="A1051" s="2" t="inlineStr">
        <is>
          <t>Downer</t>
        </is>
      </c>
      <c r="B1051" s="2" t="inlineStr">
        <is>
          <t>F_SubContractors (BP)</t>
        </is>
      </c>
      <c r="C1051" s="2" t="inlineStr">
        <is>
          <t>Other</t>
        </is>
      </c>
      <c r="D1051" s="2" t="inlineStr">
        <is>
          <t>L9.DNZ.COR</t>
        </is>
      </c>
      <c r="E1051" s="2" t="n">
        <v>4004</v>
      </c>
      <c r="M1051" s="2" t="inlineStr">
        <is>
          <t>Auckland</t>
        </is>
      </c>
      <c r="N1051" s="2" t="inlineStr">
        <is>
          <t>New Zealand</t>
        </is>
      </c>
      <c r="P1051" s="2" t="inlineStr">
        <is>
          <t>Operational Control</t>
        </is>
      </c>
      <c r="Q1051" s="2" t="inlineStr">
        <is>
          <t>Operational Control</t>
        </is>
      </c>
      <c r="R1051" s="2" t="inlineStr">
        <is>
          <t>Transport &amp; Infrastructure (T&amp;I)</t>
        </is>
      </c>
      <c r="S1051" s="2" t="inlineStr">
        <is>
          <t>Downer</t>
        </is>
      </c>
      <c r="T1051" s="2" t="n">
        <v>100</v>
      </c>
      <c r="W1051" s="2" t="inlineStr">
        <is>
          <t>Classification</t>
        </is>
      </c>
      <c r="AB1051" s="11" t="n">
        <v>45107</v>
      </c>
    </row>
    <row r="1052">
      <c r="A1052" s="2" t="inlineStr">
        <is>
          <t>Downer</t>
        </is>
      </c>
      <c r="B1052" s="2" t="inlineStr">
        <is>
          <t>F10427 - WTP 55E Pond 1 MLC Renewal</t>
        </is>
      </c>
      <c r="C1052" s="2" t="inlineStr">
        <is>
          <t>Site</t>
        </is>
      </c>
      <c r="D1052" s="2" t="inlineStr">
        <is>
          <t>L9.J.24160432</t>
        </is>
      </c>
      <c r="E1052" s="2" t="inlineStr">
        <is>
          <t>L9.J.24160432</t>
        </is>
      </c>
      <c r="M1052" s="2" t="inlineStr">
        <is>
          <t>Victoria</t>
        </is>
      </c>
      <c r="N1052" s="2" t="inlineStr">
        <is>
          <t>Australia</t>
        </is>
      </c>
      <c r="P1052" s="2" t="inlineStr">
        <is>
          <t>Operational Control</t>
        </is>
      </c>
      <c r="Q1052" s="2" t="inlineStr">
        <is>
          <t>Operational Control</t>
        </is>
      </c>
      <c r="R1052" s="2" t="inlineStr">
        <is>
          <t>Energy and Utilities (EU)</t>
        </is>
      </c>
      <c r="S1052" s="2" t="inlineStr">
        <is>
          <t>Downer</t>
        </is>
      </c>
      <c r="T1052" s="2" t="n">
        <v>100</v>
      </c>
      <c r="W1052" s="2" t="inlineStr">
        <is>
          <t>Classification</t>
        </is>
      </c>
    </row>
    <row r="1053">
      <c r="A1053" s="2" t="inlineStr">
        <is>
          <t>Downer</t>
        </is>
      </c>
      <c r="B1053" s="2" t="inlineStr">
        <is>
          <t>F10730 - ETP Area 15 - 26</t>
        </is>
      </c>
      <c r="C1053" s="2" t="inlineStr">
        <is>
          <t>Site</t>
        </is>
      </c>
      <c r="D1053" s="2" t="inlineStr">
        <is>
          <t>L9.J.24160332</t>
        </is>
      </c>
      <c r="E1053" s="2" t="inlineStr">
        <is>
          <t>L9.J.24160332</t>
        </is>
      </c>
      <c r="M1053" s="2" t="inlineStr">
        <is>
          <t>Victoria</t>
        </is>
      </c>
      <c r="N1053" s="2" t="inlineStr">
        <is>
          <t>Australia</t>
        </is>
      </c>
      <c r="P1053" s="2" t="inlineStr">
        <is>
          <t>Operational Control</t>
        </is>
      </c>
      <c r="Q1053" s="2" t="inlineStr">
        <is>
          <t>Operational Control</t>
        </is>
      </c>
      <c r="R1053" s="2" t="inlineStr">
        <is>
          <t>Energy and Utilities (EU)</t>
        </is>
      </c>
      <c r="S1053" s="2" t="inlineStr">
        <is>
          <t>Downer</t>
        </is>
      </c>
      <c r="T1053" s="2" t="n">
        <v>100</v>
      </c>
      <c r="W1053" s="2" t="inlineStr">
        <is>
          <t>Classification</t>
        </is>
      </c>
      <c r="AA1053" s="11" t="n">
        <v>45394</v>
      </c>
    </row>
    <row r="1054">
      <c r="A1054" s="2" t="inlineStr">
        <is>
          <t>Downer</t>
        </is>
      </c>
      <c r="B1054" s="2" t="inlineStr">
        <is>
          <t>FAC HSE (Zero Harm)</t>
        </is>
      </c>
      <c r="C1054" s="2" t="inlineStr">
        <is>
          <t>Other</t>
        </is>
      </c>
      <c r="D1054" s="2" t="inlineStr">
        <is>
          <t>L9.DNZJ.65960</t>
        </is>
      </c>
      <c r="E1054" s="2" t="n">
        <v>65960</v>
      </c>
      <c r="H1054" s="2" t="inlineStr">
        <is>
          <t>130 Kerrs Road</t>
        </is>
      </c>
      <c r="I1054" s="2" t="inlineStr">
        <is>
          <t>Wiri</t>
        </is>
      </c>
      <c r="J1054" s="2" t="inlineStr">
        <is>
          <t>Auckland</t>
        </is>
      </c>
      <c r="K1054" s="2" t="n">
        <v>2104</v>
      </c>
      <c r="L1054" s="2" t="inlineStr">
        <is>
          <t>New Zealand</t>
        </is>
      </c>
      <c r="M1054" s="2" t="inlineStr">
        <is>
          <t>Manurewa</t>
        </is>
      </c>
      <c r="N1054" s="2" t="inlineStr">
        <is>
          <t>New Zealand</t>
        </is>
      </c>
      <c r="P1054" s="2" t="inlineStr">
        <is>
          <t>Operational Control</t>
        </is>
      </c>
      <c r="Q1054" s="2" t="inlineStr">
        <is>
          <t>Operational Control</t>
        </is>
      </c>
      <c r="R1054" s="2" t="inlineStr">
        <is>
          <t>Social Infra &amp; Citizen Serv (SICS)</t>
        </is>
      </c>
      <c r="S1054" s="2" t="inlineStr">
        <is>
          <t>Downer</t>
        </is>
      </c>
      <c r="T1054" s="2" t="n">
        <v>100</v>
      </c>
      <c r="W1054" s="2" t="inlineStr">
        <is>
          <t>Classification</t>
        </is>
      </c>
      <c r="X1054" s="2" t="n">
        <v>-37.0083</v>
      </c>
      <c r="Y1054" s="2" t="n">
        <v>174.8705</v>
      </c>
    </row>
    <row r="1055">
      <c r="A1055" s="2" t="inlineStr">
        <is>
          <t>Downer</t>
        </is>
      </c>
      <c r="B1055" s="2" t="inlineStr">
        <is>
          <t>FAC New Business</t>
        </is>
      </c>
      <c r="C1055" s="2" t="inlineStr">
        <is>
          <t>Other</t>
        </is>
      </c>
      <c r="D1055" s="2" t="inlineStr">
        <is>
          <t>L9.DNZJ.65930</t>
        </is>
      </c>
      <c r="E1055" s="2" t="n">
        <v>65930</v>
      </c>
      <c r="H1055" s="2" t="inlineStr">
        <is>
          <t>130 Kerrs Road</t>
        </is>
      </c>
      <c r="I1055" s="2" t="inlineStr">
        <is>
          <t>Wiri</t>
        </is>
      </c>
      <c r="J1055" s="2" t="inlineStr">
        <is>
          <t>Auckland</t>
        </is>
      </c>
      <c r="K1055" s="2" t="n">
        <v>2104</v>
      </c>
      <c r="L1055" s="2" t="inlineStr">
        <is>
          <t>New Zealand</t>
        </is>
      </c>
      <c r="M1055" s="2" t="inlineStr">
        <is>
          <t>Manurewa</t>
        </is>
      </c>
      <c r="N1055" s="2" t="inlineStr">
        <is>
          <t>New Zealand</t>
        </is>
      </c>
      <c r="P1055" s="2" t="inlineStr">
        <is>
          <t>Operational Control</t>
        </is>
      </c>
      <c r="Q1055" s="2" t="inlineStr">
        <is>
          <t>Operational Control</t>
        </is>
      </c>
      <c r="R1055" s="2" t="inlineStr">
        <is>
          <t>Social Infra &amp; Citizen Serv (SICS)</t>
        </is>
      </c>
      <c r="S1055" s="2" t="inlineStr">
        <is>
          <t>Downer</t>
        </is>
      </c>
      <c r="T1055" s="2" t="n">
        <v>100</v>
      </c>
      <c r="W1055" s="2" t="inlineStr">
        <is>
          <t>Classification</t>
        </is>
      </c>
      <c r="X1055" s="2" t="n">
        <v>-37.0083</v>
      </c>
      <c r="Y1055" s="2" t="n">
        <v>174.8705</v>
      </c>
    </row>
    <row r="1056">
      <c r="A1056" s="2" t="inlineStr">
        <is>
          <t>Downer</t>
        </is>
      </c>
      <c r="B1056" s="2" t="inlineStr">
        <is>
          <t>FAC People &amp; Culture (HR)</t>
        </is>
      </c>
      <c r="C1056" s="2" t="inlineStr">
        <is>
          <t>Other</t>
        </is>
      </c>
      <c r="D1056" s="2" t="inlineStr">
        <is>
          <t>L9.DNZJ.65950</t>
        </is>
      </c>
      <c r="E1056" s="2" t="n">
        <v>65950</v>
      </c>
      <c r="M1056" s="2" t="inlineStr">
        <is>
          <t>Manurewa</t>
        </is>
      </c>
      <c r="N1056" s="2" t="inlineStr">
        <is>
          <t>New Zealand</t>
        </is>
      </c>
      <c r="P1056" s="2" t="inlineStr">
        <is>
          <t>Operational Control</t>
        </is>
      </c>
      <c r="Q1056" s="2" t="inlineStr">
        <is>
          <t>Operational Control</t>
        </is>
      </c>
      <c r="R1056" s="2" t="inlineStr">
        <is>
          <t>Social Infra &amp; Citizen Serv (SICS)</t>
        </is>
      </c>
      <c r="S1056" s="2" t="inlineStr">
        <is>
          <t>Downer</t>
        </is>
      </c>
      <c r="T1056" s="2" t="n">
        <v>100</v>
      </c>
      <c r="W1056" s="2" t="inlineStr">
        <is>
          <t>Classification</t>
        </is>
      </c>
    </row>
    <row r="1057">
      <c r="A1057" s="2" t="inlineStr">
        <is>
          <t>Downer</t>
        </is>
      </c>
      <c r="B1057" s="2" t="inlineStr">
        <is>
          <t>Fairlight</t>
        </is>
      </c>
      <c r="C1057" s="2" t="inlineStr">
        <is>
          <t>Other</t>
        </is>
      </c>
      <c r="D1057" s="2" t="inlineStr">
        <is>
          <t>L9.DNZJ.313150</t>
        </is>
      </c>
      <c r="E1057" s="2" t="n">
        <v>313150</v>
      </c>
      <c r="H1057" s="2" t="inlineStr">
        <is>
          <t>130 Kerrs Road</t>
        </is>
      </c>
      <c r="I1057" s="2" t="inlineStr">
        <is>
          <t>Wiri</t>
        </is>
      </c>
      <c r="J1057" s="2" t="inlineStr">
        <is>
          <t>Auckland</t>
        </is>
      </c>
      <c r="K1057" s="2" t="n">
        <v>2104</v>
      </c>
      <c r="L1057" s="2" t="inlineStr">
        <is>
          <t>New Zealand</t>
        </is>
      </c>
      <c r="M1057" s="2" t="inlineStr">
        <is>
          <t>Manurewa</t>
        </is>
      </c>
      <c r="N1057" s="2" t="inlineStr">
        <is>
          <t>New Zealand</t>
        </is>
      </c>
      <c r="P1057" s="2" t="inlineStr">
        <is>
          <t>Operational Control</t>
        </is>
      </c>
      <c r="Q1057" s="2" t="inlineStr">
        <is>
          <t>Operational Control</t>
        </is>
      </c>
      <c r="R1057" s="2" t="inlineStr">
        <is>
          <t>Transport &amp; Infrastructure (T&amp;I)</t>
        </is>
      </c>
      <c r="S1057" s="2" t="inlineStr">
        <is>
          <t>Downer</t>
        </is>
      </c>
      <c r="T1057" s="2" t="n">
        <v>100</v>
      </c>
      <c r="W1057" s="2" t="inlineStr">
        <is>
          <t>Classification</t>
        </is>
      </c>
      <c r="X1057" s="2" t="n">
        <v>-37.0083</v>
      </c>
      <c r="Y1057" s="2" t="n">
        <v>174.8705</v>
      </c>
    </row>
    <row r="1058">
      <c r="A1058" s="2" t="inlineStr">
        <is>
          <t>Downer</t>
        </is>
      </c>
      <c r="B1058" s="2" t="inlineStr">
        <is>
          <t>Farmers Corner RTB</t>
        </is>
      </c>
      <c r="C1058" s="2" t="inlineStr">
        <is>
          <t>Infrastructure</t>
        </is>
      </c>
      <c r="D1058" s="2" t="inlineStr">
        <is>
          <t>L9.DNZJ.554565</t>
        </is>
      </c>
      <c r="E1058" s="2" t="n">
        <v>554565</v>
      </c>
      <c r="G1058" s="2" t="inlineStr">
        <is>
          <t>TI-NZT-554565 - Farmers Corner RTB</t>
        </is>
      </c>
      <c r="M1058" s="2" t="inlineStr">
        <is>
          <t>Canterbury</t>
        </is>
      </c>
      <c r="N1058" s="2" t="inlineStr">
        <is>
          <t>New Zealand</t>
        </is>
      </c>
      <c r="P1058" s="2" t="inlineStr">
        <is>
          <t>Operational Control</t>
        </is>
      </c>
      <c r="Q1058" s="2" t="inlineStr">
        <is>
          <t>Operational Control</t>
        </is>
      </c>
      <c r="R1058" s="2" t="inlineStr">
        <is>
          <t>Transport &amp; Infrastructure (T&amp;I)</t>
        </is>
      </c>
      <c r="S1058" s="2" t="inlineStr">
        <is>
          <t>Downer</t>
        </is>
      </c>
      <c r="T1058" s="2" t="n">
        <v>100</v>
      </c>
      <c r="W1058" s="2" t="inlineStr">
        <is>
          <t>Classification</t>
        </is>
      </c>
    </row>
    <row r="1059">
      <c r="A1059" s="2" t="inlineStr">
        <is>
          <t>Downer</t>
        </is>
      </c>
      <c r="B1059" s="2" t="inlineStr">
        <is>
          <t>FARMERS DEVELOPMENT TAURANGA</t>
        </is>
      </c>
      <c r="C1059" s="2" t="inlineStr">
        <is>
          <t>Other</t>
        </is>
      </c>
      <c r="D1059" s="2" t="inlineStr">
        <is>
          <t>L9.DNZ.HC0331</t>
        </is>
      </c>
      <c r="E1059" s="2" t="inlineStr">
        <is>
          <t>JP_HC0331</t>
        </is>
      </c>
      <c r="H1059" s="2" t="inlineStr">
        <is>
          <t>3/31 Taurikura Drive</t>
        </is>
      </c>
      <c r="I1059" s="2" t="inlineStr">
        <is>
          <t>Tauriko</t>
        </is>
      </c>
      <c r="J1059" s="2" t="inlineStr">
        <is>
          <t>Tauranga</t>
        </is>
      </c>
      <c r="K1059" s="2" t="n">
        <v>3110</v>
      </c>
      <c r="L1059" s="2" t="inlineStr">
        <is>
          <t>New Zealand</t>
        </is>
      </c>
      <c r="M1059" s="2" t="inlineStr">
        <is>
          <t>Tauranga</t>
        </is>
      </c>
      <c r="N1059" s="2" t="inlineStr">
        <is>
          <t>New Zealand</t>
        </is>
      </c>
      <c r="P1059" s="2" t="inlineStr">
        <is>
          <t>Operational Control</t>
        </is>
      </c>
      <c r="Q1059" s="2" t="inlineStr">
        <is>
          <t>Operational Control</t>
        </is>
      </c>
      <c r="R1059" s="2" t="inlineStr">
        <is>
          <t>Transport &amp; Infrastructure (T&amp;I)</t>
        </is>
      </c>
      <c r="S1059" s="2" t="inlineStr">
        <is>
          <t>Downer</t>
        </is>
      </c>
      <c r="T1059" s="2" t="n">
        <v>100</v>
      </c>
      <c r="W1059" s="2" t="inlineStr">
        <is>
          <t>Classification</t>
        </is>
      </c>
      <c r="X1059" s="2" t="n">
        <v>-37.7405</v>
      </c>
      <c r="Y1059" s="2" t="n">
        <v>176.1037</v>
      </c>
    </row>
    <row r="1060">
      <c r="A1060" s="2" t="inlineStr">
        <is>
          <t>Downer</t>
        </is>
      </c>
      <c r="B1060" s="2" t="inlineStr">
        <is>
          <t>FD to FX POLT POW EU Subcontractors</t>
        </is>
      </c>
      <c r="C1060" s="2" t="inlineStr">
        <is>
          <t>Other</t>
        </is>
      </c>
      <c r="D1060" s="2" t="inlineStr">
        <is>
          <t>L9.DNZ.810.20972</t>
        </is>
      </c>
      <c r="E1060" s="2" t="inlineStr">
        <is>
          <t>L9.DNZ.810.20972</t>
        </is>
      </c>
      <c r="F1060" s="2" t="inlineStr">
        <is>
          <t>L9.DNZ.810.20972</t>
        </is>
      </c>
      <c r="M1060" s="2" t="inlineStr">
        <is>
          <t>North Ryde</t>
        </is>
      </c>
      <c r="N1060" s="2" t="inlineStr">
        <is>
          <t>Australia</t>
        </is>
      </c>
      <c r="P1060" s="2" t="inlineStr">
        <is>
          <t>Operational Control</t>
        </is>
      </c>
      <c r="Q1060" s="2" t="inlineStr">
        <is>
          <t>Operational Control</t>
        </is>
      </c>
      <c r="R1060" s="2" t="inlineStr">
        <is>
          <t>Energy and Utilities (EU)</t>
        </is>
      </c>
      <c r="S1060" s="2" t="inlineStr">
        <is>
          <t>Downer</t>
        </is>
      </c>
      <c r="T1060" s="2" t="n">
        <v>100</v>
      </c>
      <c r="W1060" s="2" t="inlineStr">
        <is>
          <t>Classification</t>
        </is>
      </c>
    </row>
    <row r="1061">
      <c r="A1061" s="2" t="inlineStr">
        <is>
          <t>Downer</t>
        </is>
      </c>
      <c r="B1061" s="2" t="inlineStr">
        <is>
          <t>FH - Speed Signs</t>
        </is>
      </c>
      <c r="C1061" s="2" t="inlineStr">
        <is>
          <t>Other</t>
        </is>
      </c>
      <c r="D1061" s="2" t="inlineStr">
        <is>
          <t>L9.DNZJ.553187</t>
        </is>
      </c>
      <c r="E1061" s="2" t="n">
        <v>553187</v>
      </c>
      <c r="H1061" s="2" t="inlineStr">
        <is>
          <t>130 Kerrs Road</t>
        </is>
      </c>
      <c r="I1061" s="2" t="inlineStr">
        <is>
          <t>Wiri</t>
        </is>
      </c>
      <c r="J1061" s="2" t="inlineStr">
        <is>
          <t>Auckland</t>
        </is>
      </c>
      <c r="K1061" s="2" t="n">
        <v>2104</v>
      </c>
      <c r="L1061" s="2" t="inlineStr">
        <is>
          <t>New Zealand</t>
        </is>
      </c>
      <c r="M1061" s="2" t="inlineStr">
        <is>
          <t>Manurewa</t>
        </is>
      </c>
      <c r="N1061" s="2" t="inlineStr">
        <is>
          <t>New Zealand</t>
        </is>
      </c>
      <c r="P1061" s="2" t="inlineStr">
        <is>
          <t>Operational Control</t>
        </is>
      </c>
      <c r="Q1061" s="2" t="inlineStr">
        <is>
          <t>Operational Control</t>
        </is>
      </c>
      <c r="R1061" s="2" t="inlineStr">
        <is>
          <t>Transport &amp; Infrastructure (T&amp;I)</t>
        </is>
      </c>
      <c r="S1061" s="2" t="inlineStr">
        <is>
          <t>Downer</t>
        </is>
      </c>
      <c r="T1061" s="2" t="n">
        <v>100</v>
      </c>
      <c r="W1061" s="2" t="inlineStr">
        <is>
          <t>Classification</t>
        </is>
      </c>
      <c r="X1061" s="2" t="n">
        <v>-37.0083</v>
      </c>
      <c r="Y1061" s="2" t="n">
        <v>174.8705</v>
      </c>
    </row>
    <row r="1062">
      <c r="A1062" s="2" t="inlineStr">
        <is>
          <t>Downer</t>
        </is>
      </c>
      <c r="B1062" s="2" t="inlineStr">
        <is>
          <t>Fibre Conn Lake District C Ota</t>
        </is>
      </c>
      <c r="C1062" s="2" t="inlineStr">
        <is>
          <t>Other</t>
        </is>
      </c>
      <c r="D1062" s="2" t="inlineStr">
        <is>
          <t>L9.DNZ.810.10.075</t>
        </is>
      </c>
      <c r="E1062" s="2" t="n">
        <v>10075</v>
      </c>
      <c r="G1062" s="2" t="n">
        <v>10.075</v>
      </c>
      <c r="H1062" s="2" t="inlineStr">
        <is>
          <t>130 Kerrs Road</t>
        </is>
      </c>
      <c r="I1062" s="2" t="inlineStr">
        <is>
          <t>Wiri</t>
        </is>
      </c>
      <c r="J1062" s="2" t="inlineStr">
        <is>
          <t>Auckland</t>
        </is>
      </c>
      <c r="K1062" s="2" t="n">
        <v>2104</v>
      </c>
      <c r="L1062" s="2" t="inlineStr">
        <is>
          <t>New Zealand</t>
        </is>
      </c>
      <c r="M1062" s="2" t="inlineStr">
        <is>
          <t>Manurewa</t>
        </is>
      </c>
      <c r="N1062" s="2" t="inlineStr">
        <is>
          <t>New Zealand</t>
        </is>
      </c>
      <c r="P1062" s="2" t="inlineStr">
        <is>
          <t>Operational Control</t>
        </is>
      </c>
      <c r="Q1062" s="2" t="inlineStr">
        <is>
          <t>Operational Control</t>
        </is>
      </c>
      <c r="R1062" s="2" t="inlineStr">
        <is>
          <t>Energy and Utilities (EU)</t>
        </is>
      </c>
      <c r="S1062" s="2" t="inlineStr">
        <is>
          <t>Downer</t>
        </is>
      </c>
      <c r="T1062" s="2" t="n">
        <v>100</v>
      </c>
      <c r="W1062" s="2" t="inlineStr">
        <is>
          <t>Classification</t>
        </is>
      </c>
      <c r="X1062" s="2" t="n">
        <v>-37.0083</v>
      </c>
      <c r="Y1062" s="2" t="n">
        <v>174.8705</v>
      </c>
    </row>
    <row r="1063">
      <c r="A1063" s="2" t="inlineStr">
        <is>
          <t>Downer</t>
        </is>
      </c>
      <c r="B1063" s="2" t="inlineStr">
        <is>
          <t>Fibre Connect Blenheim</t>
        </is>
      </c>
      <c r="C1063" s="2" t="inlineStr">
        <is>
          <t>Other</t>
        </is>
      </c>
      <c r="D1063" s="2" t="inlineStr">
        <is>
          <t>L9.DNZ.810.10.077</t>
        </is>
      </c>
      <c r="E1063" s="2" t="n">
        <v>10077</v>
      </c>
      <c r="M1063" s="2" t="inlineStr">
        <is>
          <t>Manurewa</t>
        </is>
      </c>
      <c r="N1063" s="2" t="inlineStr">
        <is>
          <t>New Zealand</t>
        </is>
      </c>
      <c r="P1063" s="2" t="inlineStr">
        <is>
          <t>Operational Control</t>
        </is>
      </c>
      <c r="Q1063" s="2" t="inlineStr">
        <is>
          <t>Operational Control</t>
        </is>
      </c>
      <c r="R1063" s="2" t="inlineStr">
        <is>
          <t>Energy and Utilities (EU)</t>
        </is>
      </c>
      <c r="S1063" s="2" t="inlineStr">
        <is>
          <t>Downer</t>
        </is>
      </c>
      <c r="T1063" s="2" t="n">
        <v>100</v>
      </c>
      <c r="W1063" s="2" t="inlineStr">
        <is>
          <t>Classification</t>
        </is>
      </c>
    </row>
    <row r="1064">
      <c r="A1064" s="2" t="inlineStr">
        <is>
          <t>Downer</t>
        </is>
      </c>
      <c r="B1064" s="2" t="inlineStr">
        <is>
          <t>Fibre Connect Canterbury</t>
        </is>
      </c>
      <c r="C1064" s="2" t="inlineStr">
        <is>
          <t>Other</t>
        </is>
      </c>
      <c r="D1064" s="2" t="inlineStr">
        <is>
          <t>L9.DNZ.810.10.074</t>
        </is>
      </c>
      <c r="E1064" s="2" t="n">
        <v>10074</v>
      </c>
      <c r="M1064" s="2" t="inlineStr">
        <is>
          <t>Manurewa</t>
        </is>
      </c>
      <c r="N1064" s="2" t="inlineStr">
        <is>
          <t>New Zealand</t>
        </is>
      </c>
      <c r="P1064" s="2" t="inlineStr">
        <is>
          <t>Operational Control</t>
        </is>
      </c>
      <c r="Q1064" s="2" t="inlineStr">
        <is>
          <t>Operational Control</t>
        </is>
      </c>
      <c r="R1064" s="2" t="inlineStr">
        <is>
          <t>Energy and Utilities (EU)</t>
        </is>
      </c>
      <c r="S1064" s="2" t="inlineStr">
        <is>
          <t>Downer</t>
        </is>
      </c>
      <c r="T1064" s="2" t="n">
        <v>100</v>
      </c>
      <c r="W1064" s="2" t="inlineStr">
        <is>
          <t>Classification</t>
        </is>
      </c>
    </row>
    <row r="1065">
      <c r="A1065" s="2" t="inlineStr">
        <is>
          <t>Downer</t>
        </is>
      </c>
      <c r="B1065" s="2" t="inlineStr">
        <is>
          <t>Fibre Connect Central Otago</t>
        </is>
      </c>
      <c r="C1065" s="2" t="inlineStr">
        <is>
          <t>Other</t>
        </is>
      </c>
      <c r="D1065" s="2" t="inlineStr">
        <is>
          <t>L9.DNZ.810.10.071</t>
        </is>
      </c>
      <c r="E1065" s="2" t="n">
        <v>10071</v>
      </c>
      <c r="G1065" s="2" t="n">
        <v>10.071</v>
      </c>
      <c r="H1065" s="2" t="inlineStr">
        <is>
          <t>130 Kerrs Road</t>
        </is>
      </c>
      <c r="I1065" s="2" t="inlineStr">
        <is>
          <t>Wiri</t>
        </is>
      </c>
      <c r="J1065" s="2" t="inlineStr">
        <is>
          <t>Auckland</t>
        </is>
      </c>
      <c r="K1065" s="2" t="n">
        <v>2104</v>
      </c>
      <c r="L1065" s="2" t="inlineStr">
        <is>
          <t>New Zealand</t>
        </is>
      </c>
      <c r="M1065" s="2" t="inlineStr">
        <is>
          <t>Manurewa</t>
        </is>
      </c>
      <c r="N1065" s="2" t="inlineStr">
        <is>
          <t>New Zealand</t>
        </is>
      </c>
      <c r="P1065" s="2" t="inlineStr">
        <is>
          <t>Operational Control</t>
        </is>
      </c>
      <c r="Q1065" s="2" t="inlineStr">
        <is>
          <t>Operational Control</t>
        </is>
      </c>
      <c r="R1065" s="2" t="inlineStr">
        <is>
          <t>Energy and Utilities (EU)</t>
        </is>
      </c>
      <c r="S1065" s="2" t="inlineStr">
        <is>
          <t>Downer</t>
        </is>
      </c>
      <c r="T1065" s="2" t="n">
        <v>100</v>
      </c>
      <c r="W1065" s="2" t="inlineStr">
        <is>
          <t>Classification</t>
        </is>
      </c>
      <c r="X1065" s="2" t="n">
        <v>-37.0083</v>
      </c>
      <c r="Y1065" s="2" t="n">
        <v>174.8705</v>
      </c>
    </row>
    <row r="1066">
      <c r="A1066" s="2" t="inlineStr">
        <is>
          <t>Downer</t>
        </is>
      </c>
      <c r="B1066" s="2" t="inlineStr">
        <is>
          <t>Fibre Connect Invercargill</t>
        </is>
      </c>
      <c r="C1066" s="2" t="inlineStr">
        <is>
          <t>Other</t>
        </is>
      </c>
      <c r="D1066" s="2" t="inlineStr">
        <is>
          <t>L9.DNZ.810.10.070</t>
        </is>
      </c>
      <c r="E1066" s="2" t="n">
        <v>10070</v>
      </c>
      <c r="M1066" s="2" t="inlineStr">
        <is>
          <t>Manurewa</t>
        </is>
      </c>
      <c r="N1066" s="2" t="inlineStr">
        <is>
          <t>New Zealand</t>
        </is>
      </c>
      <c r="P1066" s="2" t="inlineStr">
        <is>
          <t>Operational Control</t>
        </is>
      </c>
      <c r="Q1066" s="2" t="inlineStr">
        <is>
          <t>Operational Control</t>
        </is>
      </c>
      <c r="R1066" s="2" t="inlineStr">
        <is>
          <t>Energy and Utilities (EU)</t>
        </is>
      </c>
      <c r="S1066" s="2" t="inlineStr">
        <is>
          <t>Downer</t>
        </is>
      </c>
      <c r="T1066" s="2" t="n">
        <v>100</v>
      </c>
      <c r="W1066" s="2" t="inlineStr">
        <is>
          <t>Classification</t>
        </is>
      </c>
    </row>
    <row r="1067">
      <c r="A1067" s="2" t="inlineStr">
        <is>
          <t>Downer</t>
        </is>
      </c>
      <c r="B1067" s="2" t="inlineStr">
        <is>
          <t>Fibre Connect Nelson</t>
        </is>
      </c>
      <c r="C1067" s="2" t="inlineStr">
        <is>
          <t>Other</t>
        </is>
      </c>
      <c r="D1067" s="2" t="inlineStr">
        <is>
          <t>L9.DNZ.810.10.076</t>
        </is>
      </c>
      <c r="E1067" s="2" t="n">
        <v>10076</v>
      </c>
      <c r="G1067" s="2" t="n">
        <v>10.076</v>
      </c>
      <c r="H1067" s="2" t="inlineStr">
        <is>
          <t>130 Kerrs Road</t>
        </is>
      </c>
      <c r="I1067" s="2" t="inlineStr">
        <is>
          <t>Wiri</t>
        </is>
      </c>
      <c r="J1067" s="2" t="inlineStr">
        <is>
          <t>Auckland</t>
        </is>
      </c>
      <c r="K1067" s="2" t="n">
        <v>2104</v>
      </c>
      <c r="L1067" s="2" t="inlineStr">
        <is>
          <t>New Zealand</t>
        </is>
      </c>
      <c r="M1067" s="2" t="inlineStr">
        <is>
          <t>Manurewa</t>
        </is>
      </c>
      <c r="N1067" s="2" t="inlineStr">
        <is>
          <t>New Zealand</t>
        </is>
      </c>
      <c r="P1067" s="2" t="inlineStr">
        <is>
          <t>Operational Control</t>
        </is>
      </c>
      <c r="Q1067" s="2" t="inlineStr">
        <is>
          <t>Operational Control</t>
        </is>
      </c>
      <c r="R1067" s="2" t="inlineStr">
        <is>
          <t>Energy and Utilities (EU)</t>
        </is>
      </c>
      <c r="S1067" s="2" t="inlineStr">
        <is>
          <t>Downer</t>
        </is>
      </c>
      <c r="T1067" s="2" t="n">
        <v>100</v>
      </c>
      <c r="W1067" s="2" t="inlineStr">
        <is>
          <t>Classification</t>
        </is>
      </c>
      <c r="X1067" s="2" t="n">
        <v>-37.0083</v>
      </c>
      <c r="Y1067" s="2" t="n">
        <v>174.8705</v>
      </c>
    </row>
    <row r="1068">
      <c r="A1068" s="2" t="inlineStr">
        <is>
          <t>Downer</t>
        </is>
      </c>
      <c r="B1068" s="2" t="inlineStr">
        <is>
          <t>Fibre Connect Timaru</t>
        </is>
      </c>
      <c r="C1068" s="2" t="inlineStr">
        <is>
          <t>Other</t>
        </is>
      </c>
      <c r="D1068" s="2" t="inlineStr">
        <is>
          <t>L9.DNZ.810.10.073</t>
        </is>
      </c>
      <c r="E1068" s="2" t="n">
        <v>10073</v>
      </c>
      <c r="G1068" s="2" t="n">
        <v>10.073</v>
      </c>
      <c r="H1068" s="2" t="inlineStr">
        <is>
          <t>130 Kerrs Road</t>
        </is>
      </c>
      <c r="I1068" s="2" t="inlineStr">
        <is>
          <t>Wiri</t>
        </is>
      </c>
      <c r="J1068" s="2" t="inlineStr">
        <is>
          <t>Auckland</t>
        </is>
      </c>
      <c r="K1068" s="2" t="n">
        <v>2104</v>
      </c>
      <c r="L1068" s="2" t="inlineStr">
        <is>
          <t>New Zealand</t>
        </is>
      </c>
      <c r="M1068" s="2" t="inlineStr">
        <is>
          <t>Manurewa</t>
        </is>
      </c>
      <c r="N1068" s="2" t="inlineStr">
        <is>
          <t>New Zealand</t>
        </is>
      </c>
      <c r="P1068" s="2" t="inlineStr">
        <is>
          <t>Operational Control</t>
        </is>
      </c>
      <c r="Q1068" s="2" t="inlineStr">
        <is>
          <t>Operational Control</t>
        </is>
      </c>
      <c r="R1068" s="2" t="inlineStr">
        <is>
          <t>Energy and Utilities (EU)</t>
        </is>
      </c>
      <c r="S1068" s="2" t="inlineStr">
        <is>
          <t>Downer</t>
        </is>
      </c>
      <c r="T1068" s="2" t="n">
        <v>100</v>
      </c>
      <c r="W1068" s="2" t="inlineStr">
        <is>
          <t>Classification</t>
        </is>
      </c>
      <c r="X1068" s="2" t="n">
        <v>-37.0083</v>
      </c>
      <c r="Y1068" s="2" t="n">
        <v>174.8705</v>
      </c>
    </row>
    <row r="1069">
      <c r="A1069" s="2" t="inlineStr">
        <is>
          <t>Downer</t>
        </is>
      </c>
      <c r="B1069" s="2" t="inlineStr">
        <is>
          <t>Finance - Utilities</t>
        </is>
      </c>
      <c r="C1069" s="2" t="inlineStr">
        <is>
          <t>Other</t>
        </is>
      </c>
      <c r="D1069" s="2" t="inlineStr">
        <is>
          <t>L9.DNZJ.63910</t>
        </is>
      </c>
      <c r="E1069" s="2" t="n">
        <v>63910</v>
      </c>
      <c r="H1069" s="2" t="inlineStr">
        <is>
          <t>130 Kerrs Road</t>
        </is>
      </c>
      <c r="I1069" s="2" t="inlineStr">
        <is>
          <t>Wiri</t>
        </is>
      </c>
      <c r="J1069" s="2" t="inlineStr">
        <is>
          <t>Auckland</t>
        </is>
      </c>
      <c r="K1069" s="2" t="n">
        <v>2104</v>
      </c>
      <c r="L1069" s="2" t="inlineStr">
        <is>
          <t>New Zealand</t>
        </is>
      </c>
      <c r="M1069" s="2" t="inlineStr">
        <is>
          <t>Manurewa</t>
        </is>
      </c>
      <c r="N1069" s="2" t="inlineStr">
        <is>
          <t>New Zealand</t>
        </is>
      </c>
      <c r="P1069" s="2" t="inlineStr">
        <is>
          <t>Operational Control</t>
        </is>
      </c>
      <c r="Q1069" s="2" t="inlineStr">
        <is>
          <t>Operational Control</t>
        </is>
      </c>
      <c r="R1069" s="2" t="inlineStr">
        <is>
          <t>Energy and Utilities (EU)</t>
        </is>
      </c>
      <c r="S1069" s="2" t="inlineStr">
        <is>
          <t>Downer</t>
        </is>
      </c>
      <c r="T1069" s="2" t="n">
        <v>100</v>
      </c>
      <c r="W1069" s="2" t="inlineStr">
        <is>
          <t>Classification</t>
        </is>
      </c>
      <c r="X1069" s="2" t="n">
        <v>-37.0083</v>
      </c>
      <c r="Y1069" s="2" t="n">
        <v>174.8705</v>
      </c>
    </row>
    <row r="1070">
      <c r="A1070" s="2" t="inlineStr">
        <is>
          <t>Downer</t>
        </is>
      </c>
      <c r="B1070" s="2" t="inlineStr">
        <is>
          <t>Fitzherbert Ave Pathway</t>
        </is>
      </c>
      <c r="C1070" s="2" t="inlineStr">
        <is>
          <t>Other</t>
        </is>
      </c>
      <c r="D1070" s="2" t="inlineStr">
        <is>
          <t>L9.DNZJ.552409</t>
        </is>
      </c>
      <c r="E1070" s="2" t="n">
        <v>552409</v>
      </c>
      <c r="F1070" s="2" t="n">
        <v>552409</v>
      </c>
      <c r="M1070" s="2" t="inlineStr">
        <is>
          <t>Taranaki</t>
        </is>
      </c>
      <c r="N1070" s="2" t="inlineStr">
        <is>
          <t>New Zealand</t>
        </is>
      </c>
      <c r="P1070" s="2" t="inlineStr">
        <is>
          <t>Operational Control</t>
        </is>
      </c>
      <c r="Q1070" s="2" t="inlineStr">
        <is>
          <t>Operational Control</t>
        </is>
      </c>
      <c r="R1070" s="2" t="inlineStr">
        <is>
          <t>Transport &amp; Infrastructure (T&amp;I)</t>
        </is>
      </c>
      <c r="S1070" s="2" t="inlineStr">
        <is>
          <t>Downer</t>
        </is>
      </c>
      <c r="T1070" s="2" t="n">
        <v>100</v>
      </c>
      <c r="W1070" s="2" t="inlineStr">
        <is>
          <t>Classification</t>
        </is>
      </c>
    </row>
    <row r="1071">
      <c r="A1071" s="2" t="inlineStr">
        <is>
          <t>Downer</t>
        </is>
      </c>
      <c r="B1071" s="2" t="inlineStr">
        <is>
          <t>FLD AKL - MOB NETWORK BUILD EU Subcontractors</t>
        </is>
      </c>
      <c r="C1071" s="2" t="inlineStr">
        <is>
          <t>Other</t>
        </is>
      </c>
      <c r="D1071" s="2" t="inlineStr">
        <is>
          <t>L9.DNZ.810.10.242</t>
        </is>
      </c>
      <c r="E1071" s="2" t="inlineStr">
        <is>
          <t>L9.DNZ.810.10.242</t>
        </is>
      </c>
      <c r="F1071" s="2" t="inlineStr">
        <is>
          <t>L9.DNZ.810.10.242</t>
        </is>
      </c>
      <c r="M1071" s="2" t="inlineStr">
        <is>
          <t>Auckland</t>
        </is>
      </c>
      <c r="N1071" s="2" t="inlineStr">
        <is>
          <t>New Zealand</t>
        </is>
      </c>
      <c r="P1071" s="2" t="inlineStr">
        <is>
          <t>Operational Control</t>
        </is>
      </c>
      <c r="Q1071" s="2" t="inlineStr">
        <is>
          <t>Operational Control</t>
        </is>
      </c>
      <c r="R1071" s="2" t="inlineStr">
        <is>
          <t>Energy and Utilities (EU)</t>
        </is>
      </c>
      <c r="S1071" s="2" t="inlineStr">
        <is>
          <t>Downer</t>
        </is>
      </c>
      <c r="T1071" s="2" t="n">
        <v>100</v>
      </c>
      <c r="W1071" s="2" t="inlineStr">
        <is>
          <t>Classification</t>
        </is>
      </c>
    </row>
    <row r="1072">
      <c r="A1072" s="2" t="inlineStr">
        <is>
          <t>Downer</t>
        </is>
      </c>
      <c r="B1072" s="2" t="inlineStr">
        <is>
          <t>FLD MGR AORAKI EU Subcontractors</t>
        </is>
      </c>
      <c r="C1072" s="2" t="inlineStr">
        <is>
          <t>Other</t>
        </is>
      </c>
      <c r="D1072" s="2" t="inlineStr">
        <is>
          <t>L9.DNZJ.10183</t>
        </is>
      </c>
      <c r="E1072" s="2" t="inlineStr">
        <is>
          <t>L9.DNZJ.10183</t>
        </is>
      </c>
      <c r="F1072" s="2" t="inlineStr">
        <is>
          <t>L9.DNZJ.10183</t>
        </is>
      </c>
      <c r="M1072" s="2" t="inlineStr">
        <is>
          <t>Auckland</t>
        </is>
      </c>
      <c r="N1072" s="2" t="inlineStr">
        <is>
          <t>New Zealand</t>
        </is>
      </c>
      <c r="P1072" s="2" t="inlineStr">
        <is>
          <t>Operational Control</t>
        </is>
      </c>
      <c r="Q1072" s="2" t="inlineStr">
        <is>
          <t>Operational Control</t>
        </is>
      </c>
      <c r="R1072" s="2" t="inlineStr">
        <is>
          <t>Energy and Utilities (EU)</t>
        </is>
      </c>
      <c r="S1072" s="2" t="inlineStr">
        <is>
          <t>Downer</t>
        </is>
      </c>
      <c r="T1072" s="2" t="n">
        <v>100</v>
      </c>
      <c r="W1072" s="2" t="inlineStr">
        <is>
          <t>Classification</t>
        </is>
      </c>
    </row>
    <row r="1073">
      <c r="A1073" s="2" t="inlineStr">
        <is>
          <t>Downer</t>
        </is>
      </c>
      <c r="B1073" s="2" t="inlineStr">
        <is>
          <t>FLD MGR AUCKLAND 2 EU Subcontractors</t>
        </is>
      </c>
      <c r="C1073" s="2" t="inlineStr">
        <is>
          <t>Other</t>
        </is>
      </c>
      <c r="D1073" s="2" t="inlineStr">
        <is>
          <t>L9.DNZJ.10236</t>
        </is>
      </c>
      <c r="E1073" s="2" t="inlineStr">
        <is>
          <t>L9.DNZJ.10236</t>
        </is>
      </c>
      <c r="F1073" s="2" t="inlineStr">
        <is>
          <t>L9.DNZJ.10236</t>
        </is>
      </c>
      <c r="M1073" s="2" t="inlineStr">
        <is>
          <t>Auckland</t>
        </is>
      </c>
      <c r="N1073" s="2" t="inlineStr">
        <is>
          <t>New Zealand</t>
        </is>
      </c>
      <c r="P1073" s="2" t="inlineStr">
        <is>
          <t>Operational Control</t>
        </is>
      </c>
      <c r="Q1073" s="2" t="inlineStr">
        <is>
          <t>Operational Control</t>
        </is>
      </c>
      <c r="R1073" s="2" t="inlineStr">
        <is>
          <t>Energy and Utilities (EU)</t>
        </is>
      </c>
      <c r="S1073" s="2" t="inlineStr">
        <is>
          <t>Downer</t>
        </is>
      </c>
      <c r="T1073" s="2" t="n">
        <v>100</v>
      </c>
      <c r="W1073" s="2" t="inlineStr">
        <is>
          <t>Classification</t>
        </is>
      </c>
    </row>
    <row r="1074">
      <c r="A1074" s="2" t="inlineStr">
        <is>
          <t>Downer</t>
        </is>
      </c>
      <c r="B1074" s="2" t="inlineStr">
        <is>
          <t>FLD MGR BAY OF PLENTY EU Subcontractors</t>
        </is>
      </c>
      <c r="C1074" s="2" t="inlineStr">
        <is>
          <t>Other</t>
        </is>
      </c>
      <c r="D1074" s="2" t="inlineStr">
        <is>
          <t>L9.DNZ.810.10.176</t>
        </is>
      </c>
      <c r="E1074" s="2" t="inlineStr">
        <is>
          <t>L9.DNZ.810.10.176</t>
        </is>
      </c>
      <c r="F1074" s="2" t="inlineStr">
        <is>
          <t>L9.DNZ.810.10.176</t>
        </is>
      </c>
      <c r="M1074" s="2" t="inlineStr">
        <is>
          <t>Auckland</t>
        </is>
      </c>
      <c r="N1074" s="2" t="inlineStr">
        <is>
          <t>New Zealand</t>
        </is>
      </c>
      <c r="P1074" s="2" t="inlineStr">
        <is>
          <t>Operational Control</t>
        </is>
      </c>
      <c r="Q1074" s="2" t="inlineStr">
        <is>
          <t>Operational Control</t>
        </is>
      </c>
      <c r="R1074" s="2" t="inlineStr">
        <is>
          <t>Energy and Utilities (EU)</t>
        </is>
      </c>
      <c r="S1074" s="2" t="inlineStr">
        <is>
          <t>Downer</t>
        </is>
      </c>
      <c r="T1074" s="2" t="n">
        <v>100</v>
      </c>
      <c r="W1074" s="2" t="inlineStr">
        <is>
          <t>Classification</t>
        </is>
      </c>
    </row>
    <row r="1075">
      <c r="A1075" s="2" t="inlineStr">
        <is>
          <t>Downer</t>
        </is>
      </c>
      <c r="B1075" s="2" t="inlineStr">
        <is>
          <t>FLD MGR CHRISTCHURCH NORTH EU Subcontractors</t>
        </is>
      </c>
      <c r="C1075" s="2" t="inlineStr">
        <is>
          <t>Other</t>
        </is>
      </c>
      <c r="D1075" s="2" t="inlineStr">
        <is>
          <t>L9.DNZJ.10187</t>
        </is>
      </c>
      <c r="E1075" s="2" t="inlineStr">
        <is>
          <t>L9.DNZJ.10187</t>
        </is>
      </c>
      <c r="F1075" s="2" t="inlineStr">
        <is>
          <t>L9.DNZJ.10187</t>
        </is>
      </c>
      <c r="M1075" s="2" t="inlineStr">
        <is>
          <t>Auckland</t>
        </is>
      </c>
      <c r="N1075" s="2" t="inlineStr">
        <is>
          <t>New Zealand</t>
        </is>
      </c>
      <c r="P1075" s="2" t="inlineStr">
        <is>
          <t>Operational Control</t>
        </is>
      </c>
      <c r="Q1075" s="2" t="inlineStr">
        <is>
          <t>Operational Control</t>
        </is>
      </c>
      <c r="R1075" s="2" t="inlineStr">
        <is>
          <t>Energy and Utilities (EU)</t>
        </is>
      </c>
      <c r="S1075" s="2" t="inlineStr">
        <is>
          <t>Downer</t>
        </is>
      </c>
      <c r="T1075" s="2" t="n">
        <v>100</v>
      </c>
      <c r="W1075" s="2" t="inlineStr">
        <is>
          <t>Classification</t>
        </is>
      </c>
    </row>
    <row r="1076">
      <c r="A1076" s="2" t="inlineStr">
        <is>
          <t>Downer</t>
        </is>
      </c>
      <c r="B1076" s="2" t="inlineStr">
        <is>
          <t>FLD MGR DUNEDIN EU Subcontractors</t>
        </is>
      </c>
      <c r="C1076" s="2" t="inlineStr">
        <is>
          <t>Other</t>
        </is>
      </c>
      <c r="D1076" s="2" t="inlineStr">
        <is>
          <t>L9.DNZ.810.10.189</t>
        </is>
      </c>
      <c r="E1076" s="2" t="inlineStr">
        <is>
          <t>L9.DNZ.810.10.189</t>
        </is>
      </c>
      <c r="F1076" s="2" t="inlineStr">
        <is>
          <t>L9.DNZ.810.10.189</t>
        </is>
      </c>
      <c r="M1076" s="2" t="inlineStr">
        <is>
          <t>Auckland</t>
        </is>
      </c>
      <c r="N1076" s="2" t="inlineStr">
        <is>
          <t>New Zealand</t>
        </is>
      </c>
      <c r="P1076" s="2" t="inlineStr">
        <is>
          <t>Operational Control</t>
        </is>
      </c>
      <c r="Q1076" s="2" t="inlineStr">
        <is>
          <t>Operational Control</t>
        </is>
      </c>
      <c r="R1076" s="2" t="inlineStr">
        <is>
          <t>Energy and Utilities (EU)</t>
        </is>
      </c>
      <c r="S1076" s="2" t="inlineStr">
        <is>
          <t>Downer</t>
        </is>
      </c>
      <c r="T1076" s="2" t="n">
        <v>100</v>
      </c>
      <c r="W1076" s="2" t="inlineStr">
        <is>
          <t>Classification</t>
        </is>
      </c>
    </row>
    <row r="1077">
      <c r="A1077" s="2" t="inlineStr">
        <is>
          <t>Downer</t>
        </is>
      </c>
      <c r="B1077" s="2" t="inlineStr">
        <is>
          <t>FLD MGR HAWKES BAY EU Subcontractors</t>
        </is>
      </c>
      <c r="C1077" s="2" t="inlineStr">
        <is>
          <t>Other</t>
        </is>
      </c>
      <c r="D1077" s="2" t="inlineStr">
        <is>
          <t>L9.DNZ.810.10.189</t>
        </is>
      </c>
      <c r="E1077" s="2" t="inlineStr">
        <is>
          <t>L9.DNZ.810.10.189</t>
        </is>
      </c>
      <c r="F1077" s="2" t="inlineStr">
        <is>
          <t>L9.DNZ.810.10.189</t>
        </is>
      </c>
      <c r="M1077" s="2" t="inlineStr">
        <is>
          <t>Auckland</t>
        </is>
      </c>
      <c r="N1077" s="2" t="inlineStr">
        <is>
          <t>New Zealand</t>
        </is>
      </c>
      <c r="P1077" s="2" t="inlineStr">
        <is>
          <t>Operational Control</t>
        </is>
      </c>
      <c r="Q1077" s="2" t="inlineStr">
        <is>
          <t>Operational Control</t>
        </is>
      </c>
      <c r="R1077" s="2" t="inlineStr">
        <is>
          <t>Energy and Utilities (EU)</t>
        </is>
      </c>
      <c r="S1077" s="2" t="inlineStr">
        <is>
          <t>Downer</t>
        </is>
      </c>
      <c r="T1077" s="2" t="n">
        <v>100</v>
      </c>
      <c r="W1077" s="2" t="inlineStr">
        <is>
          <t>Classification</t>
        </is>
      </c>
    </row>
    <row r="1078">
      <c r="A1078" s="2" t="inlineStr">
        <is>
          <t>Downer</t>
        </is>
      </c>
      <c r="B1078" s="2" t="inlineStr">
        <is>
          <t>FLD MGR HUTT/WAIARAPA EU Subcontractors</t>
        </is>
      </c>
      <c r="C1078" s="2" t="inlineStr">
        <is>
          <t>Other</t>
        </is>
      </c>
      <c r="D1078" s="2" t="inlineStr">
        <is>
          <t>L9.DNZ.810.21039</t>
        </is>
      </c>
      <c r="E1078" s="2" t="inlineStr">
        <is>
          <t>L9.DNZ.810.21039</t>
        </is>
      </c>
      <c r="M1078" s="2" t="inlineStr">
        <is>
          <t>Auckland City</t>
        </is>
      </c>
      <c r="N1078" s="2" t="inlineStr">
        <is>
          <t>New Zealand</t>
        </is>
      </c>
      <c r="P1078" s="2" t="inlineStr">
        <is>
          <t>Operational Control</t>
        </is>
      </c>
      <c r="Q1078" s="2" t="inlineStr">
        <is>
          <t>Operational Control</t>
        </is>
      </c>
      <c r="R1078" s="2" t="inlineStr">
        <is>
          <t>Energy and Utilities (EU)</t>
        </is>
      </c>
      <c r="S1078" s="2" t="inlineStr">
        <is>
          <t>Downer</t>
        </is>
      </c>
      <c r="T1078" s="2" t="n">
        <v>100</v>
      </c>
      <c r="W1078" s="2" t="inlineStr">
        <is>
          <t>Classification</t>
        </is>
      </c>
    </row>
    <row r="1079">
      <c r="A1079" s="2" t="inlineStr">
        <is>
          <t>Downer</t>
        </is>
      </c>
      <c r="B1079" s="2" t="inlineStr">
        <is>
          <t>FLD MGR KAPITI EU Subcontractors</t>
        </is>
      </c>
      <c r="C1079" s="2" t="inlineStr">
        <is>
          <t>Other</t>
        </is>
      </c>
      <c r="D1079" s="2" t="inlineStr">
        <is>
          <t>L9.DNZJ.10163</t>
        </is>
      </c>
      <c r="E1079" s="2" t="inlineStr">
        <is>
          <t>L9.DNZJ.10163</t>
        </is>
      </c>
      <c r="F1079" s="2" t="inlineStr">
        <is>
          <t>L9.DNZJ.10163</t>
        </is>
      </c>
      <c r="M1079" s="2" t="inlineStr">
        <is>
          <t>Auckland</t>
        </is>
      </c>
      <c r="N1079" s="2" t="inlineStr">
        <is>
          <t>New Zealand</t>
        </is>
      </c>
      <c r="P1079" s="2" t="inlineStr">
        <is>
          <t>Operational Control</t>
        </is>
      </c>
      <c r="Q1079" s="2" t="inlineStr">
        <is>
          <t>Operational Control</t>
        </is>
      </c>
      <c r="R1079" s="2" t="inlineStr">
        <is>
          <t>Energy and Utilities (EU)</t>
        </is>
      </c>
      <c r="S1079" s="2" t="inlineStr">
        <is>
          <t>Downer</t>
        </is>
      </c>
      <c r="T1079" s="2" t="n">
        <v>100</v>
      </c>
      <c r="W1079" s="2" t="inlineStr">
        <is>
          <t>Classification</t>
        </is>
      </c>
    </row>
    <row r="1080">
      <c r="A1080" s="2" t="inlineStr">
        <is>
          <t>Downer</t>
        </is>
      </c>
      <c r="B1080" s="2" t="inlineStr">
        <is>
          <t>FLD MGR LOWER NORTH ISLAND EU Subcontractors</t>
        </is>
      </c>
      <c r="C1080" s="2" t="inlineStr">
        <is>
          <t>Other</t>
        </is>
      </c>
      <c r="D1080" s="2" t="inlineStr">
        <is>
          <t>L9.DNZ.810.21040</t>
        </is>
      </c>
      <c r="E1080" s="2" t="inlineStr">
        <is>
          <t>L9.DNZ.810.21040</t>
        </is>
      </c>
      <c r="M1080" s="2" t="inlineStr">
        <is>
          <t>Auckland City</t>
        </is>
      </c>
      <c r="N1080" s="2" t="inlineStr">
        <is>
          <t>New Zealand</t>
        </is>
      </c>
      <c r="P1080" s="2" t="inlineStr">
        <is>
          <t>Operational Control</t>
        </is>
      </c>
      <c r="Q1080" s="2" t="inlineStr">
        <is>
          <t>Operational Control</t>
        </is>
      </c>
      <c r="R1080" s="2" t="inlineStr">
        <is>
          <t>Energy and Utilities (EU)</t>
        </is>
      </c>
      <c r="S1080" s="2" t="inlineStr">
        <is>
          <t>Downer</t>
        </is>
      </c>
      <c r="T1080" s="2" t="n">
        <v>100</v>
      </c>
      <c r="W1080" s="2" t="inlineStr">
        <is>
          <t>Classification</t>
        </is>
      </c>
    </row>
    <row r="1081">
      <c r="A1081" s="2" t="inlineStr">
        <is>
          <t>Downer</t>
        </is>
      </c>
      <c r="B1081" s="2" t="inlineStr">
        <is>
          <t>FLD MGR MANAWATU EU Subcontractors</t>
        </is>
      </c>
      <c r="C1081" s="2" t="inlineStr">
        <is>
          <t>Other</t>
        </is>
      </c>
      <c r="D1081" s="2" t="inlineStr">
        <is>
          <t>L9.DNZ.810.21038</t>
        </is>
      </c>
      <c r="E1081" s="2" t="inlineStr">
        <is>
          <t>L9.DNZ.810.21038</t>
        </is>
      </c>
      <c r="M1081" s="2" t="inlineStr">
        <is>
          <t>Auckland City</t>
        </is>
      </c>
      <c r="N1081" s="2" t="inlineStr">
        <is>
          <t>New Zealand</t>
        </is>
      </c>
      <c r="P1081" s="2" t="inlineStr">
        <is>
          <t>Operational Control</t>
        </is>
      </c>
      <c r="Q1081" s="2" t="inlineStr">
        <is>
          <t>Operational Control</t>
        </is>
      </c>
      <c r="R1081" s="2" t="inlineStr">
        <is>
          <t>Energy and Utilities (EU)</t>
        </is>
      </c>
      <c r="S1081" s="2" t="inlineStr">
        <is>
          <t>Downer</t>
        </is>
      </c>
      <c r="T1081" s="2" t="n">
        <v>100</v>
      </c>
      <c r="W1081" s="2" t="inlineStr">
        <is>
          <t>Classification</t>
        </is>
      </c>
    </row>
    <row r="1082">
      <c r="A1082" s="2" t="inlineStr">
        <is>
          <t>Downer</t>
        </is>
      </c>
      <c r="B1082" s="2" t="inlineStr">
        <is>
          <t>FLD MGR OTAGO EU Subcontractors</t>
        </is>
      </c>
      <c r="C1082" s="2" t="inlineStr">
        <is>
          <t>Other</t>
        </is>
      </c>
      <c r="D1082" s="2" t="inlineStr">
        <is>
          <t>L9.DNZJ.10185</t>
        </is>
      </c>
      <c r="E1082" s="2" t="inlineStr">
        <is>
          <t>L9.DNZJ.10185</t>
        </is>
      </c>
      <c r="F1082" s="2" t="inlineStr">
        <is>
          <t>L9.DNZJ.10185</t>
        </is>
      </c>
      <c r="M1082" s="2" t="inlineStr">
        <is>
          <t>Auckland</t>
        </is>
      </c>
      <c r="N1082" s="2" t="inlineStr">
        <is>
          <t>New Zealand</t>
        </is>
      </c>
      <c r="P1082" s="2" t="inlineStr">
        <is>
          <t>Operational Control</t>
        </is>
      </c>
      <c r="Q1082" s="2" t="inlineStr">
        <is>
          <t>Operational Control</t>
        </is>
      </c>
      <c r="R1082" s="2" t="inlineStr">
        <is>
          <t>Energy and Utilities (EU)</t>
        </is>
      </c>
      <c r="S1082" s="2" t="inlineStr">
        <is>
          <t>Downer</t>
        </is>
      </c>
      <c r="T1082" s="2" t="n">
        <v>100</v>
      </c>
      <c r="W1082" s="2" t="inlineStr">
        <is>
          <t>Classification</t>
        </is>
      </c>
    </row>
    <row r="1083">
      <c r="A1083" s="2" t="inlineStr">
        <is>
          <t>Downer</t>
        </is>
      </c>
      <c r="B1083" s="2" t="inlineStr">
        <is>
          <t>FLD MGR TAUPO EU Subcontractors</t>
        </is>
      </c>
      <c r="C1083" s="2" t="inlineStr">
        <is>
          <t>Other</t>
        </is>
      </c>
      <c r="D1083" s="2" t="inlineStr">
        <is>
          <t>L9.DNZ.810.10.176</t>
        </is>
      </c>
      <c r="E1083" s="2" t="inlineStr">
        <is>
          <t>L9.DNZ.810.10.176</t>
        </is>
      </c>
      <c r="F1083" s="2" t="inlineStr">
        <is>
          <t>L9.DNZ.810.10.176</t>
        </is>
      </c>
      <c r="M1083" s="2" t="inlineStr">
        <is>
          <t>Auckland</t>
        </is>
      </c>
      <c r="N1083" s="2" t="inlineStr">
        <is>
          <t>New Zealand</t>
        </is>
      </c>
      <c r="P1083" s="2" t="inlineStr">
        <is>
          <t>Operational Control</t>
        </is>
      </c>
      <c r="Q1083" s="2" t="inlineStr">
        <is>
          <t>Operational Control</t>
        </is>
      </c>
      <c r="R1083" s="2" t="inlineStr">
        <is>
          <t>Energy and Utilities (EU)</t>
        </is>
      </c>
      <c r="S1083" s="2" t="inlineStr">
        <is>
          <t>Downer</t>
        </is>
      </c>
      <c r="T1083" s="2" t="n">
        <v>100</v>
      </c>
      <c r="W1083" s="2" t="inlineStr">
        <is>
          <t>Classification</t>
        </is>
      </c>
    </row>
    <row r="1084">
      <c r="A1084" s="2" t="inlineStr">
        <is>
          <t>Downer</t>
        </is>
      </c>
      <c r="B1084" s="2" t="inlineStr">
        <is>
          <t>FLD MGR TAURANGA EU Subcontractors</t>
        </is>
      </c>
      <c r="C1084" s="2" t="inlineStr">
        <is>
          <t>Other</t>
        </is>
      </c>
      <c r="D1084" s="2" t="inlineStr">
        <is>
          <t>L9.DNZJ.10175</t>
        </is>
      </c>
      <c r="E1084" s="2" t="inlineStr">
        <is>
          <t>L9.DNZJ.10175</t>
        </is>
      </c>
      <c r="F1084" s="2" t="inlineStr">
        <is>
          <t>L9.DNZJ.10175</t>
        </is>
      </c>
      <c r="M1084" s="2" t="inlineStr">
        <is>
          <t>Auckland</t>
        </is>
      </c>
      <c r="N1084" s="2" t="inlineStr">
        <is>
          <t>New Zealand</t>
        </is>
      </c>
      <c r="P1084" s="2" t="inlineStr">
        <is>
          <t>Operational Control</t>
        </is>
      </c>
      <c r="Q1084" s="2" t="inlineStr">
        <is>
          <t>Operational Control</t>
        </is>
      </c>
      <c r="R1084" s="2" t="inlineStr">
        <is>
          <t>Energy and Utilities (EU)</t>
        </is>
      </c>
      <c r="S1084" s="2" t="inlineStr">
        <is>
          <t>Downer</t>
        </is>
      </c>
      <c r="T1084" s="2" t="n">
        <v>100</v>
      </c>
      <c r="W1084" s="2" t="inlineStr">
        <is>
          <t>Classification</t>
        </is>
      </c>
    </row>
    <row r="1085">
      <c r="A1085" s="2" t="inlineStr">
        <is>
          <t>Downer</t>
        </is>
      </c>
      <c r="B1085" s="2" t="inlineStr">
        <is>
          <t>FLD MGR WELLINGTON 1 EU Subcontractors</t>
        </is>
      </c>
      <c r="C1085" s="2" t="inlineStr">
        <is>
          <t>Other</t>
        </is>
      </c>
      <c r="D1085" s="2" t="inlineStr">
        <is>
          <t>L9.DNZJ.10141</t>
        </is>
      </c>
      <c r="E1085" s="2" t="inlineStr">
        <is>
          <t>L9.DNZJ.10141</t>
        </is>
      </c>
      <c r="F1085" s="2" t="inlineStr">
        <is>
          <t>L9.DNZJ.10141</t>
        </is>
      </c>
      <c r="M1085" s="2" t="inlineStr">
        <is>
          <t>Auckland</t>
        </is>
      </c>
      <c r="N1085" s="2" t="inlineStr">
        <is>
          <t>New Zealand</t>
        </is>
      </c>
      <c r="P1085" s="2" t="inlineStr">
        <is>
          <t>Operational Control</t>
        </is>
      </c>
      <c r="Q1085" s="2" t="inlineStr">
        <is>
          <t>Operational Control</t>
        </is>
      </c>
      <c r="R1085" s="2" t="inlineStr">
        <is>
          <t>Energy and Utilities (EU)</t>
        </is>
      </c>
      <c r="S1085" s="2" t="inlineStr">
        <is>
          <t>Downer</t>
        </is>
      </c>
      <c r="T1085" s="2" t="n">
        <v>100</v>
      </c>
      <c r="W1085" s="2" t="inlineStr">
        <is>
          <t>Classification</t>
        </is>
      </c>
    </row>
    <row r="1086">
      <c r="A1086" s="2" t="inlineStr">
        <is>
          <t>Downer</t>
        </is>
      </c>
      <c r="B1086" s="2" t="inlineStr">
        <is>
          <t>FLD MGR WELLINGTON 2 EU Subcontractors</t>
        </is>
      </c>
      <c r="C1086" s="2" t="inlineStr">
        <is>
          <t>Other</t>
        </is>
      </c>
      <c r="D1086" s="2" t="inlineStr">
        <is>
          <t>L9.DNZJ.10141</t>
        </is>
      </c>
      <c r="E1086" s="2" t="inlineStr">
        <is>
          <t>L9.DNZJ.10141</t>
        </is>
      </c>
      <c r="F1086" s="2" t="inlineStr">
        <is>
          <t>L9.DNZJ.10141</t>
        </is>
      </c>
      <c r="M1086" s="2" t="inlineStr">
        <is>
          <t>Auckland</t>
        </is>
      </c>
      <c r="N1086" s="2" t="inlineStr">
        <is>
          <t>New Zealand</t>
        </is>
      </c>
      <c r="P1086" s="2" t="inlineStr">
        <is>
          <t>Operational Control</t>
        </is>
      </c>
      <c r="Q1086" s="2" t="inlineStr">
        <is>
          <t>Operational Control</t>
        </is>
      </c>
      <c r="R1086" s="2" t="inlineStr">
        <is>
          <t>Energy and Utilities (EU)</t>
        </is>
      </c>
      <c r="S1086" s="2" t="inlineStr">
        <is>
          <t>Downer</t>
        </is>
      </c>
      <c r="T1086" s="2" t="n">
        <v>100</v>
      </c>
      <c r="W1086" s="2" t="inlineStr">
        <is>
          <t>Classification</t>
        </is>
      </c>
    </row>
    <row r="1087">
      <c r="A1087" s="2" t="inlineStr">
        <is>
          <t>Downer</t>
        </is>
      </c>
      <c r="B1087" s="2" t="inlineStr">
        <is>
          <t>FLD MGR WELLINGTON 3 EU Subcontractors</t>
        </is>
      </c>
      <c r="C1087" s="2" t="inlineStr">
        <is>
          <t>Other</t>
        </is>
      </c>
      <c r="D1087" s="2" t="inlineStr">
        <is>
          <t>L9.DNZJ.10141</t>
        </is>
      </c>
      <c r="E1087" s="2" t="inlineStr">
        <is>
          <t>L9.DNZJ.10141</t>
        </is>
      </c>
      <c r="F1087" s="2" t="inlineStr">
        <is>
          <t>L9.DNZJ.10141</t>
        </is>
      </c>
      <c r="M1087" s="2" t="inlineStr">
        <is>
          <t>Auckland</t>
        </is>
      </c>
      <c r="N1087" s="2" t="inlineStr">
        <is>
          <t>New Zealand</t>
        </is>
      </c>
      <c r="P1087" s="2" t="inlineStr">
        <is>
          <t>Operational Control</t>
        </is>
      </c>
      <c r="Q1087" s="2" t="inlineStr">
        <is>
          <t>Operational Control</t>
        </is>
      </c>
      <c r="R1087" s="2" t="inlineStr">
        <is>
          <t>Energy and Utilities (EU)</t>
        </is>
      </c>
      <c r="S1087" s="2" t="inlineStr">
        <is>
          <t>Downer</t>
        </is>
      </c>
      <c r="T1087" s="2" t="n">
        <v>100</v>
      </c>
      <c r="W1087" s="2" t="inlineStr">
        <is>
          <t>Classification</t>
        </is>
      </c>
    </row>
    <row r="1088">
      <c r="A1088" s="2" t="inlineStr">
        <is>
          <t>Downer</t>
        </is>
      </c>
      <c r="B1088" s="2" t="inlineStr">
        <is>
          <t>FLD MGR WELLINGTON 4 EU Subcontractors</t>
        </is>
      </c>
      <c r="C1088" s="2" t="inlineStr">
        <is>
          <t>Other</t>
        </is>
      </c>
      <c r="D1088" s="2" t="inlineStr">
        <is>
          <t>L9.DNZJ.10141</t>
        </is>
      </c>
      <c r="E1088" s="2" t="inlineStr">
        <is>
          <t>L9.DNZJ.10141</t>
        </is>
      </c>
      <c r="F1088" s="2" t="inlineStr">
        <is>
          <t>L9.DNZJ.10141</t>
        </is>
      </c>
      <c r="M1088" s="2" t="inlineStr">
        <is>
          <t>Auckland</t>
        </is>
      </c>
      <c r="N1088" s="2" t="inlineStr">
        <is>
          <t>New Zealand</t>
        </is>
      </c>
      <c r="P1088" s="2" t="inlineStr">
        <is>
          <t>Operational Control</t>
        </is>
      </c>
      <c r="Q1088" s="2" t="inlineStr">
        <is>
          <t>Operational Control</t>
        </is>
      </c>
      <c r="R1088" s="2" t="inlineStr">
        <is>
          <t>Energy and Utilities (EU)</t>
        </is>
      </c>
      <c r="S1088" s="2" t="inlineStr">
        <is>
          <t>Downer</t>
        </is>
      </c>
      <c r="T1088" s="2" t="n">
        <v>100</v>
      </c>
      <c r="W1088" s="2" t="inlineStr">
        <is>
          <t>Classification</t>
        </is>
      </c>
    </row>
    <row r="1089">
      <c r="A1089" s="2" t="inlineStr">
        <is>
          <t>Downer</t>
        </is>
      </c>
      <c r="B1089" s="2" t="inlineStr">
        <is>
          <t>FLD MGR WHANGANUI EU Subcontractors</t>
        </is>
      </c>
      <c r="C1089" s="2" t="inlineStr">
        <is>
          <t>Other</t>
        </is>
      </c>
      <c r="D1089" s="2" t="inlineStr">
        <is>
          <t>L9.DNZJ.10178</t>
        </is>
      </c>
      <c r="E1089" s="2" t="inlineStr">
        <is>
          <t>L9.DNZJ.10178</t>
        </is>
      </c>
      <c r="F1089" s="2" t="inlineStr">
        <is>
          <t>L9.DNZJ.10178</t>
        </is>
      </c>
      <c r="M1089" s="2" t="inlineStr">
        <is>
          <t>Auckland</t>
        </is>
      </c>
      <c r="N1089" s="2" t="inlineStr">
        <is>
          <t>New Zealand</t>
        </is>
      </c>
      <c r="P1089" s="2" t="inlineStr">
        <is>
          <t>Operational Control</t>
        </is>
      </c>
      <c r="Q1089" s="2" t="inlineStr">
        <is>
          <t>Operational Control</t>
        </is>
      </c>
      <c r="R1089" s="2" t="inlineStr">
        <is>
          <t>Energy and Utilities (EU)</t>
        </is>
      </c>
      <c r="S1089" s="2" t="inlineStr">
        <is>
          <t>Downer</t>
        </is>
      </c>
      <c r="T1089" s="2" t="n">
        <v>100</v>
      </c>
      <c r="W1089" s="2" t="inlineStr">
        <is>
          <t>Classification</t>
        </is>
      </c>
    </row>
    <row r="1090">
      <c r="A1090" s="2" t="inlineStr">
        <is>
          <t>Downer</t>
        </is>
      </c>
      <c r="B1090" s="2" t="inlineStr">
        <is>
          <t>Fleet &amp; Assets</t>
        </is>
      </c>
      <c r="C1090" s="2" t="inlineStr">
        <is>
          <t>Depot</t>
        </is>
      </c>
      <c r="D1090" s="2" t="inlineStr">
        <is>
          <t>L9.DNZJ.1937</t>
        </is>
      </c>
      <c r="E1090" s="2" t="inlineStr">
        <is>
          <t>L9.DNZJ.1937</t>
        </is>
      </c>
      <c r="M1090" s="2" t="inlineStr">
        <is>
          <t>Auckland City</t>
        </is>
      </c>
      <c r="N1090" s="2" t="inlineStr">
        <is>
          <t>New Zealand</t>
        </is>
      </c>
      <c r="P1090" s="2" t="inlineStr">
        <is>
          <t>Operational Control</t>
        </is>
      </c>
      <c r="Q1090" s="2" t="inlineStr">
        <is>
          <t>Operational Control</t>
        </is>
      </c>
      <c r="R1090" s="2" t="inlineStr">
        <is>
          <t>Transport &amp; Infrastructure (T&amp;I)</t>
        </is>
      </c>
      <c r="S1090" s="2" t="inlineStr">
        <is>
          <t>Downer</t>
        </is>
      </c>
      <c r="T1090" s="2" t="n">
        <v>100</v>
      </c>
      <c r="W1090" s="2" t="inlineStr">
        <is>
          <t>Classification</t>
        </is>
      </c>
    </row>
    <row r="1091">
      <c r="A1091" s="2" t="inlineStr">
        <is>
          <t>Downer</t>
        </is>
      </c>
      <c r="B1091" s="2" t="inlineStr">
        <is>
          <t>Fleet Ops Hub NZ</t>
        </is>
      </c>
      <c r="C1091" s="2" t="inlineStr">
        <is>
          <t>Other</t>
        </is>
      </c>
      <c r="D1091" s="2" t="inlineStr">
        <is>
          <t>L9.DNZJ.1940</t>
        </is>
      </c>
      <c r="E1091" s="2" t="n">
        <v>1940</v>
      </c>
      <c r="M1091" s="2" t="inlineStr">
        <is>
          <t>Auckland</t>
        </is>
      </c>
      <c r="N1091" s="2" t="inlineStr">
        <is>
          <t>New Zealand</t>
        </is>
      </c>
      <c r="P1091" s="2" t="inlineStr">
        <is>
          <t>Operational Control</t>
        </is>
      </c>
      <c r="Q1091" s="2" t="inlineStr">
        <is>
          <t>Operational Control</t>
        </is>
      </c>
      <c r="R1091" s="2" t="inlineStr">
        <is>
          <t>Transport &amp; Infrastructure (T&amp;I)</t>
        </is>
      </c>
      <c r="S1091" s="2" t="inlineStr">
        <is>
          <t>Downer</t>
        </is>
      </c>
      <c r="T1091" s="2" t="n">
        <v>100</v>
      </c>
      <c r="W1091" s="2" t="inlineStr">
        <is>
          <t>Classification</t>
        </is>
      </c>
    </row>
    <row r="1092">
      <c r="A1092" s="2" t="inlineStr">
        <is>
          <t>Downer</t>
        </is>
      </c>
      <c r="B1092" s="2" t="inlineStr">
        <is>
          <t>Fleet Support Hub NZ</t>
        </is>
      </c>
      <c r="C1092" s="2" t="inlineStr">
        <is>
          <t>Other</t>
        </is>
      </c>
      <c r="D1092" s="2" t="inlineStr">
        <is>
          <t>L9.DNZJ.1941</t>
        </is>
      </c>
      <c r="E1092" s="2" t="n">
        <v>1941</v>
      </c>
      <c r="M1092" s="2" t="inlineStr">
        <is>
          <t>Auckland</t>
        </is>
      </c>
      <c r="N1092" s="2" t="inlineStr">
        <is>
          <t>New Zealand</t>
        </is>
      </c>
      <c r="P1092" s="2" t="inlineStr">
        <is>
          <t>Operational Control</t>
        </is>
      </c>
      <c r="Q1092" s="2" t="inlineStr">
        <is>
          <t>Operational Control</t>
        </is>
      </c>
      <c r="R1092" s="2" t="inlineStr">
        <is>
          <t>Transport &amp; Infrastructure (T&amp;I)</t>
        </is>
      </c>
      <c r="S1092" s="2" t="inlineStr">
        <is>
          <t>Downer</t>
        </is>
      </c>
      <c r="T1092" s="2" t="n">
        <v>100</v>
      </c>
      <c r="W1092" s="2" t="inlineStr">
        <is>
          <t>Classification</t>
        </is>
      </c>
    </row>
    <row r="1093">
      <c r="A1093" s="2" t="inlineStr">
        <is>
          <t>Downer</t>
        </is>
      </c>
      <c r="B1093" s="2" t="inlineStr">
        <is>
          <t>FM - ANZ People Plant</t>
        </is>
      </c>
      <c r="C1093" s="2" t="inlineStr">
        <is>
          <t>Other</t>
        </is>
      </c>
      <c r="D1093" s="2" t="inlineStr">
        <is>
          <t>L9.DNZJ.66220</t>
        </is>
      </c>
      <c r="E1093" s="2" t="n">
        <v>66220</v>
      </c>
      <c r="G1093" s="2" t="inlineStr">
        <is>
          <t>Change location ref. from 69220 to 66220.
Old ref no: L9.DNZJ.69220</t>
        </is>
      </c>
      <c r="H1093" s="2" t="inlineStr">
        <is>
          <t>130 Kerrs Road</t>
        </is>
      </c>
      <c r="I1093" s="2" t="inlineStr">
        <is>
          <t>Wiri</t>
        </is>
      </c>
      <c r="J1093" s="2" t="inlineStr">
        <is>
          <t>Auckland</t>
        </is>
      </c>
      <c r="K1093" s="2" t="n">
        <v>2104</v>
      </c>
      <c r="L1093" s="2" t="inlineStr">
        <is>
          <t>New Zealand</t>
        </is>
      </c>
      <c r="M1093" s="2" t="inlineStr">
        <is>
          <t>Manurewa</t>
        </is>
      </c>
      <c r="N1093" s="2" t="inlineStr">
        <is>
          <t>New Zealand</t>
        </is>
      </c>
      <c r="P1093" s="2" t="inlineStr">
        <is>
          <t>Operational Control</t>
        </is>
      </c>
      <c r="Q1093" s="2" t="inlineStr">
        <is>
          <t>Operational Control</t>
        </is>
      </c>
      <c r="R1093" s="2" t="inlineStr">
        <is>
          <t>Social Infra &amp; Citizen Serv (SICS)</t>
        </is>
      </c>
      <c r="S1093" s="2" t="inlineStr">
        <is>
          <t>Downer</t>
        </is>
      </c>
      <c r="T1093" s="2" t="n">
        <v>100</v>
      </c>
      <c r="W1093" s="2" t="inlineStr">
        <is>
          <t>Classification</t>
        </is>
      </c>
      <c r="X1093" s="2" t="n">
        <v>-37.0083</v>
      </c>
      <c r="Y1093" s="2" t="n">
        <v>174.8705</v>
      </c>
    </row>
    <row r="1094">
      <c r="A1094" s="2" t="inlineStr">
        <is>
          <t>Downer</t>
        </is>
      </c>
      <c r="B1094" s="2" t="inlineStr">
        <is>
          <t>FM - LINZ OH</t>
        </is>
      </c>
      <c r="C1094" s="2" t="inlineStr">
        <is>
          <t>Other</t>
        </is>
      </c>
      <c r="D1094" s="2" t="inlineStr">
        <is>
          <t>L9.DNZJ.69601</t>
        </is>
      </c>
      <c r="E1094" s="2" t="n">
        <v>69601</v>
      </c>
      <c r="G1094" s="2" t="inlineStr">
        <is>
          <t>Region TBC</t>
        </is>
      </c>
      <c r="M1094" s="2" t="inlineStr">
        <is>
          <t>Auckland</t>
        </is>
      </c>
      <c r="N1094" s="2" t="inlineStr">
        <is>
          <t>New Zealand</t>
        </is>
      </c>
      <c r="P1094" s="2" t="inlineStr">
        <is>
          <t>Operational Control</t>
        </is>
      </c>
      <c r="Q1094" s="2" t="inlineStr">
        <is>
          <t>Operational Control</t>
        </is>
      </c>
      <c r="R1094" s="2" t="inlineStr">
        <is>
          <t>Social Infra &amp; Citizen Serv (SICS)</t>
        </is>
      </c>
      <c r="S1094" s="2" t="inlineStr">
        <is>
          <t>Downer</t>
        </is>
      </c>
      <c r="T1094" s="2" t="n">
        <v>100</v>
      </c>
      <c r="W1094" s="2" t="inlineStr">
        <is>
          <t>Classification</t>
        </is>
      </c>
    </row>
    <row r="1095">
      <c r="A1095" s="2" t="inlineStr">
        <is>
          <t>Downer</t>
        </is>
      </c>
      <c r="B1095" s="2" t="inlineStr">
        <is>
          <t>FM Auckland Northland HVAC</t>
        </is>
      </c>
      <c r="C1095" s="2" t="inlineStr">
        <is>
          <t>Other</t>
        </is>
      </c>
      <c r="D1095" s="2" t="inlineStr">
        <is>
          <t>L9.DNZ.810.10.204</t>
        </is>
      </c>
      <c r="E1095" s="2" t="n">
        <v>10204</v>
      </c>
      <c r="G1095" s="2" t="n">
        <v>10.204</v>
      </c>
      <c r="H1095" s="2" t="inlineStr">
        <is>
          <t>130 Kerrs Road</t>
        </is>
      </c>
      <c r="I1095" s="2" t="inlineStr">
        <is>
          <t>Wiri</t>
        </is>
      </c>
      <c r="J1095" s="2" t="inlineStr">
        <is>
          <t>Auckland</t>
        </is>
      </c>
      <c r="K1095" s="2" t="n">
        <v>2104</v>
      </c>
      <c r="L1095" s="2" t="inlineStr">
        <is>
          <t>New Zealand</t>
        </is>
      </c>
      <c r="M1095" s="2" t="inlineStr">
        <is>
          <t>Manurewa</t>
        </is>
      </c>
      <c r="N1095" s="2" t="inlineStr">
        <is>
          <t>New Zealand</t>
        </is>
      </c>
      <c r="P1095" s="2" t="inlineStr">
        <is>
          <t>Operational Control</t>
        </is>
      </c>
      <c r="Q1095" s="2" t="inlineStr">
        <is>
          <t>Operational Control</t>
        </is>
      </c>
      <c r="R1095" s="2" t="inlineStr">
        <is>
          <t>Energy and Utilities (EU)</t>
        </is>
      </c>
      <c r="S1095" s="2" t="inlineStr">
        <is>
          <t>Downer</t>
        </is>
      </c>
      <c r="T1095" s="2" t="n">
        <v>100</v>
      </c>
      <c r="W1095" s="2" t="inlineStr">
        <is>
          <t>Classification</t>
        </is>
      </c>
      <c r="X1095" s="2" t="n">
        <v>-37.0083</v>
      </c>
      <c r="Y1095" s="2" t="n">
        <v>174.8705</v>
      </c>
    </row>
    <row r="1096">
      <c r="A1096" s="2" t="inlineStr">
        <is>
          <t>Downer</t>
        </is>
      </c>
      <c r="B1096" s="2" t="inlineStr">
        <is>
          <t>FM Auckland Northland HVAC EU Subcontractors</t>
        </is>
      </c>
      <c r="C1096" s="2" t="inlineStr">
        <is>
          <t>Other</t>
        </is>
      </c>
      <c r="D1096" s="2" t="inlineStr">
        <is>
          <t>L9.DNZJ.10204</t>
        </is>
      </c>
      <c r="E1096" s="2" t="inlineStr">
        <is>
          <t>L9.DNZJ.10204</t>
        </is>
      </c>
      <c r="F1096" s="2" t="inlineStr">
        <is>
          <t>L9.DNZJ.10204</t>
        </is>
      </c>
      <c r="M1096" s="2" t="inlineStr">
        <is>
          <t>Auckland</t>
        </is>
      </c>
      <c r="N1096" s="2" t="inlineStr">
        <is>
          <t>New Zealand</t>
        </is>
      </c>
      <c r="P1096" s="2" t="inlineStr">
        <is>
          <t>Operational Control</t>
        </is>
      </c>
      <c r="Q1096" s="2" t="inlineStr">
        <is>
          <t>Operational Control</t>
        </is>
      </c>
      <c r="R1096" s="2" t="inlineStr">
        <is>
          <t>Energy and Utilities (EU)</t>
        </is>
      </c>
      <c r="S1096" s="2" t="inlineStr">
        <is>
          <t>Downer</t>
        </is>
      </c>
      <c r="T1096" s="2" t="n">
        <v>100</v>
      </c>
      <c r="W1096" s="2" t="inlineStr">
        <is>
          <t>Classification</t>
        </is>
      </c>
    </row>
    <row r="1097">
      <c r="A1097" s="2" t="inlineStr">
        <is>
          <t>Downer</t>
        </is>
      </c>
      <c r="B1097" s="2" t="inlineStr">
        <is>
          <t>FM Central</t>
        </is>
      </c>
      <c r="C1097" s="2" t="inlineStr">
        <is>
          <t>Other</t>
        </is>
      </c>
      <c r="D1097" s="2" t="inlineStr">
        <is>
          <t>L9.DNZ.810.10.203</t>
        </is>
      </c>
      <c r="E1097" s="2" t="n">
        <v>10203</v>
      </c>
      <c r="G1097" s="2" t="n">
        <v>10.203</v>
      </c>
      <c r="H1097" s="2" t="inlineStr">
        <is>
          <t>130 Kerrs Road</t>
        </is>
      </c>
      <c r="I1097" s="2" t="inlineStr">
        <is>
          <t>Wiri</t>
        </is>
      </c>
      <c r="J1097" s="2" t="inlineStr">
        <is>
          <t>Auckland</t>
        </is>
      </c>
      <c r="K1097" s="2" t="n">
        <v>2104</v>
      </c>
      <c r="L1097" s="2" t="inlineStr">
        <is>
          <t>New Zealand</t>
        </is>
      </c>
      <c r="M1097" s="2" t="inlineStr">
        <is>
          <t>Manurewa</t>
        </is>
      </c>
      <c r="N1097" s="2" t="inlineStr">
        <is>
          <t>New Zealand</t>
        </is>
      </c>
      <c r="P1097" s="2" t="inlineStr">
        <is>
          <t>Operational Control</t>
        </is>
      </c>
      <c r="Q1097" s="2" t="inlineStr">
        <is>
          <t>Operational Control</t>
        </is>
      </c>
      <c r="R1097" s="2" t="inlineStr">
        <is>
          <t>Energy and Utilities (EU)</t>
        </is>
      </c>
      <c r="S1097" s="2" t="inlineStr">
        <is>
          <t>Downer</t>
        </is>
      </c>
      <c r="T1097" s="2" t="n">
        <v>100</v>
      </c>
      <c r="W1097" s="2" t="inlineStr">
        <is>
          <t>Classification</t>
        </is>
      </c>
      <c r="X1097" s="2" t="n">
        <v>-37.0083</v>
      </c>
      <c r="Y1097" s="2" t="n">
        <v>174.8705</v>
      </c>
    </row>
    <row r="1098">
      <c r="A1098" s="2" t="inlineStr">
        <is>
          <t>Downer</t>
        </is>
      </c>
      <c r="B1098" s="2" t="inlineStr">
        <is>
          <t>FM General Management</t>
        </is>
      </c>
      <c r="C1098" s="2" t="inlineStr">
        <is>
          <t>Other</t>
        </is>
      </c>
      <c r="D1098" s="2" t="inlineStr">
        <is>
          <t>L9.DNZJ.65920</t>
        </is>
      </c>
      <c r="E1098" s="2" t="n">
        <v>65920</v>
      </c>
      <c r="H1098" s="2" t="inlineStr">
        <is>
          <t>130 Kerrs Road</t>
        </is>
      </c>
      <c r="I1098" s="2" t="inlineStr">
        <is>
          <t>Wiri</t>
        </is>
      </c>
      <c r="J1098" s="2" t="inlineStr">
        <is>
          <t>Auckland</t>
        </is>
      </c>
      <c r="K1098" s="2" t="n">
        <v>2104</v>
      </c>
      <c r="L1098" s="2" t="inlineStr">
        <is>
          <t>New Zealand</t>
        </is>
      </c>
      <c r="M1098" s="2" t="inlineStr">
        <is>
          <t>Manurewa</t>
        </is>
      </c>
      <c r="N1098" s="2" t="inlineStr">
        <is>
          <t>New Zealand</t>
        </is>
      </c>
      <c r="P1098" s="2" t="inlineStr">
        <is>
          <t>Operational Control</t>
        </is>
      </c>
      <c r="Q1098" s="2" t="inlineStr">
        <is>
          <t>Operational Control</t>
        </is>
      </c>
      <c r="R1098" s="2" t="inlineStr">
        <is>
          <t>Social Infra &amp; Citizen Serv (SICS)</t>
        </is>
      </c>
      <c r="S1098" s="2" t="inlineStr">
        <is>
          <t>Downer</t>
        </is>
      </c>
      <c r="T1098" s="2" t="n">
        <v>100</v>
      </c>
      <c r="W1098" s="2" t="inlineStr">
        <is>
          <t>Classification</t>
        </is>
      </c>
      <c r="X1098" s="2" t="n">
        <v>-37.0083</v>
      </c>
      <c r="Y1098" s="2" t="n">
        <v>174.8705</v>
      </c>
    </row>
    <row r="1099">
      <c r="A1099" s="2" t="inlineStr">
        <is>
          <t>Downer</t>
        </is>
      </c>
      <c r="B1099" s="2" t="inlineStr">
        <is>
          <t>FM Lower North Island</t>
        </is>
      </c>
      <c r="C1099" s="2" t="inlineStr">
        <is>
          <t>Other</t>
        </is>
      </c>
      <c r="D1099" s="2" t="inlineStr">
        <is>
          <t>L9.DNZ.810.10.202</t>
        </is>
      </c>
      <c r="E1099" s="2" t="n">
        <v>10202</v>
      </c>
      <c r="G1099" s="2" t="n">
        <v>10.202</v>
      </c>
      <c r="H1099" s="2" t="inlineStr">
        <is>
          <t>130 Kerrs Road</t>
        </is>
      </c>
      <c r="I1099" s="2" t="inlineStr">
        <is>
          <t>Wiri</t>
        </is>
      </c>
      <c r="J1099" s="2" t="inlineStr">
        <is>
          <t>Auckland</t>
        </is>
      </c>
      <c r="K1099" s="2" t="n">
        <v>2104</v>
      </c>
      <c r="L1099" s="2" t="inlineStr">
        <is>
          <t>New Zealand</t>
        </is>
      </c>
      <c r="M1099" s="2" t="inlineStr">
        <is>
          <t>Manurewa</t>
        </is>
      </c>
      <c r="N1099" s="2" t="inlineStr">
        <is>
          <t>New Zealand</t>
        </is>
      </c>
      <c r="P1099" s="2" t="inlineStr">
        <is>
          <t>Operational Control</t>
        </is>
      </c>
      <c r="Q1099" s="2" t="inlineStr">
        <is>
          <t>Operational Control</t>
        </is>
      </c>
      <c r="R1099" s="2" t="inlineStr">
        <is>
          <t>Energy and Utilities (EU)</t>
        </is>
      </c>
      <c r="S1099" s="2" t="inlineStr">
        <is>
          <t>Downer</t>
        </is>
      </c>
      <c r="T1099" s="2" t="n">
        <v>100</v>
      </c>
      <c r="W1099" s="2" t="inlineStr">
        <is>
          <t>Classification</t>
        </is>
      </c>
      <c r="X1099" s="2" t="n">
        <v>-37.0083</v>
      </c>
      <c r="Y1099" s="2" t="n">
        <v>174.8705</v>
      </c>
    </row>
    <row r="1100">
      <c r="A1100" s="2" t="inlineStr">
        <is>
          <t>Downer</t>
        </is>
      </c>
      <c r="B1100" s="2" t="inlineStr">
        <is>
          <t>FM South Island</t>
        </is>
      </c>
      <c r="C1100" s="2" t="inlineStr">
        <is>
          <t>Other</t>
        </is>
      </c>
      <c r="D1100" s="2" t="inlineStr">
        <is>
          <t>L9.DNZ.810.10.201</t>
        </is>
      </c>
      <c r="E1100" s="2" t="n">
        <v>10201</v>
      </c>
      <c r="G1100" s="2" t="n">
        <v>10.201</v>
      </c>
      <c r="H1100" s="2" t="inlineStr">
        <is>
          <t>130 Kerrs Road</t>
        </is>
      </c>
      <c r="I1100" s="2" t="inlineStr">
        <is>
          <t>Wiri</t>
        </is>
      </c>
      <c r="J1100" s="2" t="inlineStr">
        <is>
          <t>Auckland</t>
        </is>
      </c>
      <c r="K1100" s="2" t="n">
        <v>2104</v>
      </c>
      <c r="L1100" s="2" t="inlineStr">
        <is>
          <t>New Zealand</t>
        </is>
      </c>
      <c r="M1100" s="2" t="inlineStr">
        <is>
          <t>Manurewa</t>
        </is>
      </c>
      <c r="N1100" s="2" t="inlineStr">
        <is>
          <t>New Zealand</t>
        </is>
      </c>
      <c r="P1100" s="2" t="inlineStr">
        <is>
          <t>Operational Control</t>
        </is>
      </c>
      <c r="Q1100" s="2" t="inlineStr">
        <is>
          <t>Operational Control</t>
        </is>
      </c>
      <c r="R1100" s="2" t="inlineStr">
        <is>
          <t>Energy and Utilities (EU)</t>
        </is>
      </c>
      <c r="S1100" s="2" t="inlineStr">
        <is>
          <t>Downer</t>
        </is>
      </c>
      <c r="T1100" s="2" t="n">
        <v>100</v>
      </c>
      <c r="W1100" s="2" t="inlineStr">
        <is>
          <t>Classification</t>
        </is>
      </c>
      <c r="X1100" s="2" t="n">
        <v>-37.0083</v>
      </c>
      <c r="Y1100" s="2" t="n">
        <v>174.8705</v>
      </c>
    </row>
    <row r="1101">
      <c r="A1101" s="2" t="inlineStr">
        <is>
          <t>Downer</t>
        </is>
      </c>
      <c r="B1101" s="2" t="inlineStr">
        <is>
          <t>FM Wellington</t>
        </is>
      </c>
      <c r="C1101" s="2" t="inlineStr">
        <is>
          <t>Other</t>
        </is>
      </c>
      <c r="D1101" s="2" t="inlineStr">
        <is>
          <t>L9.DNZ.810.10.205</t>
        </is>
      </c>
      <c r="E1101" s="2" t="n">
        <v>10205</v>
      </c>
      <c r="G1101" s="2" t="n">
        <v>10.205</v>
      </c>
      <c r="H1101" s="2" t="inlineStr">
        <is>
          <t>130 Kerrs Road</t>
        </is>
      </c>
      <c r="I1101" s="2" t="inlineStr">
        <is>
          <t>Wiri</t>
        </is>
      </c>
      <c r="J1101" s="2" t="inlineStr">
        <is>
          <t>Auckland</t>
        </is>
      </c>
      <c r="K1101" s="2" t="n">
        <v>2104</v>
      </c>
      <c r="L1101" s="2" t="inlineStr">
        <is>
          <t>New Zealand</t>
        </is>
      </c>
      <c r="M1101" s="2" t="inlineStr">
        <is>
          <t>Manurewa</t>
        </is>
      </c>
      <c r="N1101" s="2" t="inlineStr">
        <is>
          <t>New Zealand</t>
        </is>
      </c>
      <c r="P1101" s="2" t="inlineStr">
        <is>
          <t>Operational Control</t>
        </is>
      </c>
      <c r="Q1101" s="2" t="inlineStr">
        <is>
          <t>Operational Control</t>
        </is>
      </c>
      <c r="R1101" s="2" t="inlineStr">
        <is>
          <t>Energy and Utilities (EU)</t>
        </is>
      </c>
      <c r="S1101" s="2" t="inlineStr">
        <is>
          <t>Downer</t>
        </is>
      </c>
      <c r="T1101" s="2" t="n">
        <v>100</v>
      </c>
      <c r="W1101" s="2" t="inlineStr">
        <is>
          <t>Classification</t>
        </is>
      </c>
      <c r="X1101" s="2" t="n">
        <v>-37.0083</v>
      </c>
      <c r="Y1101" s="2" t="n">
        <v>174.8705</v>
      </c>
    </row>
    <row r="1102">
      <c r="A1102" s="2" t="inlineStr">
        <is>
          <t>Downer</t>
        </is>
      </c>
      <c r="B1102" s="2" t="inlineStr">
        <is>
          <t>Forbes</t>
        </is>
      </c>
      <c r="C1102" s="2" t="inlineStr">
        <is>
          <t>Depot</t>
        </is>
      </c>
      <c r="D1102" s="2" t="inlineStr">
        <is>
          <t>L9.J.17010002</t>
        </is>
      </c>
      <c r="E1102" s="2" t="n">
        <v>116</v>
      </c>
      <c r="H1102" s="2" t="inlineStr">
        <is>
          <t>Sam Street</t>
        </is>
      </c>
      <c r="I1102" s="2" t="inlineStr">
        <is>
          <t>Forbes</t>
        </is>
      </c>
      <c r="J1102" s="2" t="inlineStr">
        <is>
          <t>NSW</t>
        </is>
      </c>
      <c r="K1102" s="2" t="n">
        <v>2871</v>
      </c>
      <c r="L1102" s="2" t="inlineStr">
        <is>
          <t>Australia</t>
        </is>
      </c>
      <c r="M1102" s="2" t="inlineStr">
        <is>
          <t>New South Wales</t>
        </is>
      </c>
      <c r="N1102" s="2" t="inlineStr">
        <is>
          <t>Australia</t>
        </is>
      </c>
      <c r="P1102" s="2" t="inlineStr">
        <is>
          <t>Operational Control</t>
        </is>
      </c>
      <c r="Q1102" s="2" t="inlineStr">
        <is>
          <t>Operational Control</t>
        </is>
      </c>
      <c r="R1102" s="2" t="inlineStr">
        <is>
          <t>Transport &amp; Infrastructure (T&amp;I)</t>
        </is>
      </c>
      <c r="S1102" s="2" t="inlineStr">
        <is>
          <t>Downer</t>
        </is>
      </c>
      <c r="T1102" s="2" t="n">
        <v>100</v>
      </c>
      <c r="W1102" s="2" t="inlineStr">
        <is>
          <t>Classification</t>
        </is>
      </c>
      <c r="X1102" s="2" t="n">
        <v>-33.37</v>
      </c>
      <c r="Y1102" s="2" t="n">
        <v>148.013</v>
      </c>
      <c r="Z1102" s="2" t="n">
        <v>310</v>
      </c>
    </row>
    <row r="1103">
      <c r="A1103" s="2" t="inlineStr">
        <is>
          <t>Downer</t>
        </is>
      </c>
      <c r="B1103" s="2" t="inlineStr">
        <is>
          <t>Forty South - Upgrades EU Subcontractors</t>
        </is>
      </c>
      <c r="C1103" s="2" t="inlineStr">
        <is>
          <t>Other</t>
        </is>
      </c>
      <c r="D1103" s="2" t="inlineStr">
        <is>
          <t>L9.DNZ.810.21000</t>
        </is>
      </c>
      <c r="E1103" s="2" t="inlineStr">
        <is>
          <t>L9.DNZ.810.21000</t>
        </is>
      </c>
      <c r="M1103" s="2" t="inlineStr">
        <is>
          <t>Auckland City</t>
        </is>
      </c>
      <c r="N1103" s="2" t="inlineStr">
        <is>
          <t>New Zealand</t>
        </is>
      </c>
      <c r="P1103" s="2" t="inlineStr">
        <is>
          <t>Operational Control</t>
        </is>
      </c>
      <c r="Q1103" s="2" t="inlineStr">
        <is>
          <t>Operational Control</t>
        </is>
      </c>
      <c r="R1103" s="2" t="inlineStr">
        <is>
          <t>Energy and Utilities (EU)</t>
        </is>
      </c>
      <c r="S1103" s="2" t="inlineStr">
        <is>
          <t>Downer</t>
        </is>
      </c>
      <c r="T1103" s="2" t="n">
        <v>100</v>
      </c>
      <c r="W1103" s="2" t="inlineStr">
        <is>
          <t>Classification</t>
        </is>
      </c>
    </row>
    <row r="1104">
      <c r="A1104" s="2" t="inlineStr">
        <is>
          <t>Downer</t>
        </is>
      </c>
      <c r="B1104" s="2" t="inlineStr">
        <is>
          <t>Forty South New Builds EU Subcontractors</t>
        </is>
      </c>
      <c r="C1104" s="2" t="inlineStr">
        <is>
          <t>Other</t>
        </is>
      </c>
      <c r="D1104" s="2" t="inlineStr">
        <is>
          <t>L9.DNZ.810.21009</t>
        </is>
      </c>
      <c r="E1104" s="2" t="inlineStr">
        <is>
          <t>L9.DNZ.810.21009</t>
        </is>
      </c>
      <c r="M1104" s="2" t="inlineStr">
        <is>
          <t>Auckland City</t>
        </is>
      </c>
      <c r="N1104" s="2" t="inlineStr">
        <is>
          <t>New Zealand</t>
        </is>
      </c>
      <c r="P1104" s="2" t="inlineStr">
        <is>
          <t>Operational Control</t>
        </is>
      </c>
      <c r="Q1104" s="2" t="inlineStr">
        <is>
          <t>Operational Control</t>
        </is>
      </c>
      <c r="R1104" s="2" t="inlineStr">
        <is>
          <t>Energy and Utilities (EU)</t>
        </is>
      </c>
      <c r="S1104" s="2" t="inlineStr">
        <is>
          <t>Downer</t>
        </is>
      </c>
      <c r="T1104" s="2" t="n">
        <v>100</v>
      </c>
      <c r="W1104" s="2" t="inlineStr">
        <is>
          <t>Classification</t>
        </is>
      </c>
    </row>
    <row r="1105">
      <c r="A1105" s="2" t="inlineStr">
        <is>
          <t>Downer</t>
        </is>
      </c>
      <c r="B1105" s="2" t="inlineStr">
        <is>
          <t>Forty South Out of Scope EU Subcontractors</t>
        </is>
      </c>
      <c r="C1105" s="2" t="inlineStr">
        <is>
          <t>Other</t>
        </is>
      </c>
      <c r="D1105" s="2" t="inlineStr">
        <is>
          <t>L9.DNZ.810.20999</t>
        </is>
      </c>
      <c r="E1105" s="2" t="inlineStr">
        <is>
          <t>L9.DNZ.810.20999</t>
        </is>
      </c>
      <c r="M1105" s="2" t="inlineStr">
        <is>
          <t>Auckland City</t>
        </is>
      </c>
      <c r="N1105" s="2" t="inlineStr">
        <is>
          <t>New Zealand</t>
        </is>
      </c>
      <c r="P1105" s="2" t="inlineStr">
        <is>
          <t>Operational Control</t>
        </is>
      </c>
      <c r="Q1105" s="2" t="inlineStr">
        <is>
          <t>Operational Control</t>
        </is>
      </c>
      <c r="R1105" s="2" t="inlineStr">
        <is>
          <t>Energy and Utilities (EU)</t>
        </is>
      </c>
      <c r="S1105" s="2" t="inlineStr">
        <is>
          <t>Downer</t>
        </is>
      </c>
      <c r="T1105" s="2" t="n">
        <v>100</v>
      </c>
      <c r="W1105" s="2" t="inlineStr">
        <is>
          <t>Classification</t>
        </is>
      </c>
    </row>
    <row r="1106">
      <c r="A1106" s="2" t="inlineStr">
        <is>
          <t>Downer</t>
        </is>
      </c>
      <c r="B1106" s="2" t="inlineStr">
        <is>
          <t>Fowlers Asphalting, Trafalgar Depot</t>
        </is>
      </c>
      <c r="C1106" s="2" t="inlineStr">
        <is>
          <t>Depot</t>
        </is>
      </c>
      <c r="D1106" s="2" t="inlineStr">
        <is>
          <t>L9.J.17030829</t>
        </is>
      </c>
      <c r="H1106" s="2" t="inlineStr">
        <is>
          <t>50 Settlement Road</t>
        </is>
      </c>
      <c r="I1106" s="2" t="inlineStr">
        <is>
          <t>Trafalgar</t>
        </is>
      </c>
      <c r="J1106" s="2" t="inlineStr">
        <is>
          <t>Victoria</t>
        </is>
      </c>
      <c r="K1106" s="2" t="n">
        <v>3824</v>
      </c>
      <c r="M1106" s="2" t="inlineStr">
        <is>
          <t>Victoria</t>
        </is>
      </c>
      <c r="N1106" s="2" t="inlineStr">
        <is>
          <t>Australia</t>
        </is>
      </c>
      <c r="P1106" s="2" t="inlineStr">
        <is>
          <t>Operational Control</t>
        </is>
      </c>
      <c r="Q1106" s="2" t="inlineStr">
        <is>
          <t>Operational Control</t>
        </is>
      </c>
      <c r="R1106" s="2" t="inlineStr">
        <is>
          <t>Transport &amp; Infrastructure (T&amp;I)</t>
        </is>
      </c>
      <c r="S1106" s="2" t="inlineStr">
        <is>
          <t>Downer</t>
        </is>
      </c>
      <c r="T1106" s="2" t="n">
        <v>100</v>
      </c>
      <c r="W1106" s="2" t="inlineStr">
        <is>
          <t>Classification</t>
        </is>
      </c>
    </row>
    <row r="1107">
      <c r="A1107" s="2" t="inlineStr">
        <is>
          <t>Downer</t>
        </is>
      </c>
      <c r="B1107" s="2" t="inlineStr">
        <is>
          <t>Fowler's Restatement</t>
        </is>
      </c>
      <c r="C1107" s="2" t="inlineStr">
        <is>
          <t>Depot</t>
        </is>
      </c>
      <c r="D1107" s="2" t="inlineStr">
        <is>
          <t>L9.J.17091208</t>
        </is>
      </c>
      <c r="E1107" s="2" t="inlineStr">
        <is>
          <t>L9.J.17091208</t>
        </is>
      </c>
      <c r="M1107" s="2" t="inlineStr">
        <is>
          <t>North Ryde</t>
        </is>
      </c>
      <c r="N1107" s="2" t="inlineStr">
        <is>
          <t>Australia</t>
        </is>
      </c>
      <c r="P1107" s="2" t="inlineStr">
        <is>
          <t>Operational Control</t>
        </is>
      </c>
      <c r="Q1107" s="2" t="inlineStr">
        <is>
          <t>Operational Control</t>
        </is>
      </c>
      <c r="R1107" s="2" t="inlineStr">
        <is>
          <t>Transport &amp; Infrastructure (T&amp;I)</t>
        </is>
      </c>
      <c r="S1107" s="2" t="inlineStr">
        <is>
          <t>Downer</t>
        </is>
      </c>
      <c r="T1107" s="2" t="n">
        <v>100</v>
      </c>
      <c r="W1107" s="2" t="inlineStr">
        <is>
          <t>Classification</t>
        </is>
      </c>
    </row>
    <row r="1108">
      <c r="A1108" s="2" t="inlineStr">
        <is>
          <t>Downer</t>
        </is>
      </c>
      <c r="B1108" s="2" t="inlineStr">
        <is>
          <t>FSA Bay of Plenty Build EU Subcontractors</t>
        </is>
      </c>
      <c r="C1108" s="2" t="inlineStr">
        <is>
          <t>Other</t>
        </is>
      </c>
      <c r="D1108" s="2" t="inlineStr">
        <is>
          <t>L9.DNZ.810.20839</t>
        </is>
      </c>
      <c r="E1108" s="2" t="inlineStr">
        <is>
          <t>L9.DNZ.810.20839</t>
        </is>
      </c>
      <c r="M1108" s="2" t="inlineStr">
        <is>
          <t>Auckland City</t>
        </is>
      </c>
      <c r="N1108" s="2" t="inlineStr">
        <is>
          <t>New Zealand</t>
        </is>
      </c>
      <c r="P1108" s="2" t="inlineStr">
        <is>
          <t>Operational Control</t>
        </is>
      </c>
      <c r="Q1108" s="2" t="inlineStr">
        <is>
          <t>Operational Control</t>
        </is>
      </c>
      <c r="R1108" s="2" t="inlineStr">
        <is>
          <t>Energy and Utilities (EU)</t>
        </is>
      </c>
      <c r="S1108" s="2" t="inlineStr">
        <is>
          <t>Downer</t>
        </is>
      </c>
      <c r="T1108" s="2" t="n">
        <v>100</v>
      </c>
      <c r="W1108" s="2" t="inlineStr">
        <is>
          <t>Classification</t>
        </is>
      </c>
    </row>
    <row r="1109">
      <c r="A1109" s="2" t="inlineStr">
        <is>
          <t>Downer</t>
        </is>
      </c>
      <c r="B1109" s="2" t="inlineStr">
        <is>
          <t>FSA Bay of Plenty Deployment EU Subcontractors</t>
        </is>
      </c>
      <c r="C1109" s="2" t="inlineStr">
        <is>
          <t>Other</t>
        </is>
      </c>
      <c r="D1109" s="2" t="inlineStr">
        <is>
          <t>L9.DNZ.810.20947</t>
        </is>
      </c>
      <c r="E1109" s="2" t="inlineStr">
        <is>
          <t>L9.DNZ.810.20947</t>
        </is>
      </c>
      <c r="M1109" s="2" t="inlineStr">
        <is>
          <t>Auckland City</t>
        </is>
      </c>
      <c r="N1109" s="2" t="inlineStr">
        <is>
          <t>New Zealand</t>
        </is>
      </c>
      <c r="P1109" s="2" t="inlineStr">
        <is>
          <t>Operational Control</t>
        </is>
      </c>
      <c r="Q1109" s="2" t="inlineStr">
        <is>
          <t>Operational Control</t>
        </is>
      </c>
      <c r="R1109" s="2" t="inlineStr">
        <is>
          <t>Energy and Utilities (EU)</t>
        </is>
      </c>
      <c r="S1109" s="2" t="inlineStr">
        <is>
          <t>Downer</t>
        </is>
      </c>
      <c r="T1109" s="2" t="n">
        <v>100</v>
      </c>
      <c r="W1109" s="2" t="inlineStr">
        <is>
          <t>Classification</t>
        </is>
      </c>
    </row>
    <row r="1110">
      <c r="A1110" s="2" t="inlineStr">
        <is>
          <t>Downer</t>
        </is>
      </c>
      <c r="B1110" s="2" t="inlineStr">
        <is>
          <t>FSA Bay of Plenty ISP Build EU Subcontractors</t>
        </is>
      </c>
      <c r="C1110" s="2" t="inlineStr">
        <is>
          <t>Other</t>
        </is>
      </c>
      <c r="D1110" s="2" t="inlineStr">
        <is>
          <t>L9.DNZ.810.20959</t>
        </is>
      </c>
      <c r="E1110" s="2" t="inlineStr">
        <is>
          <t>L9.DNZ.810.20959</t>
        </is>
      </c>
      <c r="M1110" s="2" t="inlineStr">
        <is>
          <t>Auckland City</t>
        </is>
      </c>
      <c r="N1110" s="2" t="inlineStr">
        <is>
          <t>New Zealand</t>
        </is>
      </c>
      <c r="P1110" s="2" t="inlineStr">
        <is>
          <t>Operational Control</t>
        </is>
      </c>
      <c r="Q1110" s="2" t="inlineStr">
        <is>
          <t>Operational Control</t>
        </is>
      </c>
      <c r="R1110" s="2" t="inlineStr">
        <is>
          <t>Energy and Utilities (EU)</t>
        </is>
      </c>
      <c r="S1110" s="2" t="inlineStr">
        <is>
          <t>Downer</t>
        </is>
      </c>
      <c r="T1110" s="2" t="n">
        <v>100</v>
      </c>
      <c r="W1110" s="2" t="inlineStr">
        <is>
          <t>Classification</t>
        </is>
      </c>
    </row>
    <row r="1111">
      <c r="A1111" s="2" t="inlineStr">
        <is>
          <t>Downer</t>
        </is>
      </c>
      <c r="B1111" s="2" t="inlineStr">
        <is>
          <t>FSA Bay of Plenty ISP Maintain EU Subcontractors</t>
        </is>
      </c>
      <c r="C1111" s="2" t="inlineStr">
        <is>
          <t>Other</t>
        </is>
      </c>
      <c r="D1111" s="2" t="inlineStr">
        <is>
          <t>L9.DNZ.810.20940</t>
        </is>
      </c>
      <c r="E1111" s="2" t="inlineStr">
        <is>
          <t>L9.DNZ.810.20940</t>
        </is>
      </c>
      <c r="M1111" s="2" t="inlineStr">
        <is>
          <t>Auckland City</t>
        </is>
      </c>
      <c r="N1111" s="2" t="inlineStr">
        <is>
          <t>New Zealand</t>
        </is>
      </c>
      <c r="P1111" s="2" t="inlineStr">
        <is>
          <t>Operational Control</t>
        </is>
      </c>
      <c r="Q1111" s="2" t="inlineStr">
        <is>
          <t>Operational Control</t>
        </is>
      </c>
      <c r="R1111" s="2" t="inlineStr">
        <is>
          <t>Energy and Utilities (EU)</t>
        </is>
      </c>
      <c r="S1111" s="2" t="inlineStr">
        <is>
          <t>Downer</t>
        </is>
      </c>
      <c r="T1111" s="2" t="n">
        <v>100</v>
      </c>
      <c r="W1111" s="2" t="inlineStr">
        <is>
          <t>Classification</t>
        </is>
      </c>
    </row>
    <row r="1112">
      <c r="A1112" s="2" t="inlineStr">
        <is>
          <t>Downer</t>
        </is>
      </c>
      <c r="B1112" s="2" t="inlineStr">
        <is>
          <t>FSA Bay of Plenty Proactive EU Subcontractors</t>
        </is>
      </c>
      <c r="C1112" s="2" t="inlineStr">
        <is>
          <t>Other</t>
        </is>
      </c>
      <c r="D1112" s="2" t="inlineStr">
        <is>
          <t>L9.DNZ.810.20953</t>
        </is>
      </c>
      <c r="E1112" s="2" t="inlineStr">
        <is>
          <t>L9.DNZ.810.20953</t>
        </is>
      </c>
      <c r="M1112" s="2" t="inlineStr">
        <is>
          <t>Auckland City</t>
        </is>
      </c>
      <c r="N1112" s="2" t="inlineStr">
        <is>
          <t>New Zealand</t>
        </is>
      </c>
      <c r="P1112" s="2" t="inlineStr">
        <is>
          <t>Operational Control</t>
        </is>
      </c>
      <c r="Q1112" s="2" t="inlineStr">
        <is>
          <t>Operational Control</t>
        </is>
      </c>
      <c r="R1112" s="2" t="inlineStr">
        <is>
          <t>Energy and Utilities (EU)</t>
        </is>
      </c>
      <c r="S1112" s="2" t="inlineStr">
        <is>
          <t>Downer</t>
        </is>
      </c>
      <c r="T1112" s="2" t="n">
        <v>100</v>
      </c>
      <c r="W1112" s="2" t="inlineStr">
        <is>
          <t>Classification</t>
        </is>
      </c>
    </row>
    <row r="1113">
      <c r="A1113" s="2" t="inlineStr">
        <is>
          <t>Downer</t>
        </is>
      </c>
      <c r="B1113" s="2" t="inlineStr">
        <is>
          <t>FSA Central Deployment EU Subcontractors</t>
        </is>
      </c>
      <c r="C1113" s="2" t="inlineStr">
        <is>
          <t>Other</t>
        </is>
      </c>
      <c r="D1113" s="2" t="inlineStr">
        <is>
          <t>L9.DNZ.810.20946</t>
        </is>
      </c>
      <c r="E1113" s="2" t="inlineStr">
        <is>
          <t>L9.DNZ.810.20946</t>
        </is>
      </c>
      <c r="M1113" s="2" t="inlineStr">
        <is>
          <t>Auckland City</t>
        </is>
      </c>
      <c r="N1113" s="2" t="inlineStr">
        <is>
          <t>New Zealand</t>
        </is>
      </c>
      <c r="P1113" s="2" t="inlineStr">
        <is>
          <t>Operational Control</t>
        </is>
      </c>
      <c r="Q1113" s="2" t="inlineStr">
        <is>
          <t>Operational Control</t>
        </is>
      </c>
      <c r="R1113" s="2" t="inlineStr">
        <is>
          <t>Energy and Utilities (EU)</t>
        </is>
      </c>
      <c r="S1113" s="2" t="inlineStr">
        <is>
          <t>Downer</t>
        </is>
      </c>
      <c r="T1113" s="2" t="n">
        <v>100</v>
      </c>
      <c r="W1113" s="2" t="inlineStr">
        <is>
          <t>Classification</t>
        </is>
      </c>
    </row>
    <row r="1114">
      <c r="A1114" s="2" t="inlineStr">
        <is>
          <t>Downer</t>
        </is>
      </c>
      <c r="B1114" s="2" t="inlineStr">
        <is>
          <t>FSA Central ISP Build EU Subcontractors</t>
        </is>
      </c>
      <c r="C1114" s="2" t="inlineStr">
        <is>
          <t>Other</t>
        </is>
      </c>
      <c r="D1114" s="2" t="inlineStr">
        <is>
          <t>L9.DNZ.810.20958</t>
        </is>
      </c>
      <c r="E1114" s="2" t="inlineStr">
        <is>
          <t>L9.DNZ.810.20958</t>
        </is>
      </c>
      <c r="M1114" s="2" t="inlineStr">
        <is>
          <t>Auckland City</t>
        </is>
      </c>
      <c r="N1114" s="2" t="inlineStr">
        <is>
          <t>New Zealand</t>
        </is>
      </c>
      <c r="P1114" s="2" t="inlineStr">
        <is>
          <t>Operational Control</t>
        </is>
      </c>
      <c r="Q1114" s="2" t="inlineStr">
        <is>
          <t>Operational Control</t>
        </is>
      </c>
      <c r="R1114" s="2" t="inlineStr">
        <is>
          <t>Energy and Utilities (EU)</t>
        </is>
      </c>
      <c r="S1114" s="2" t="inlineStr">
        <is>
          <t>Downer</t>
        </is>
      </c>
      <c r="T1114" s="2" t="n">
        <v>100</v>
      </c>
      <c r="W1114" s="2" t="inlineStr">
        <is>
          <t>Classification</t>
        </is>
      </c>
    </row>
    <row r="1115">
      <c r="A1115" s="2" t="inlineStr">
        <is>
          <t>Downer</t>
        </is>
      </c>
      <c r="B1115" s="2" t="inlineStr">
        <is>
          <t>FSA Central Otg/Southland Mtce EU Subcontractors</t>
        </is>
      </c>
      <c r="C1115" s="2" t="inlineStr">
        <is>
          <t>Other</t>
        </is>
      </c>
      <c r="D1115" s="2" t="inlineStr">
        <is>
          <t>L9.DNZ.810.20926</t>
        </is>
      </c>
      <c r="E1115" s="2" t="inlineStr">
        <is>
          <t>L9.DNZ.810.20926</t>
        </is>
      </c>
      <c r="M1115" s="2" t="inlineStr">
        <is>
          <t>Auckland City</t>
        </is>
      </c>
      <c r="N1115" s="2" t="inlineStr">
        <is>
          <t>New Zealand</t>
        </is>
      </c>
      <c r="P1115" s="2" t="inlineStr">
        <is>
          <t>Operational Control</t>
        </is>
      </c>
      <c r="Q1115" s="2" t="inlineStr">
        <is>
          <t>Operational Control</t>
        </is>
      </c>
      <c r="R1115" s="2" t="inlineStr">
        <is>
          <t>Energy and Utilities (EU)</t>
        </is>
      </c>
      <c r="S1115" s="2" t="inlineStr">
        <is>
          <t>Downer</t>
        </is>
      </c>
      <c r="T1115" s="2" t="n">
        <v>100</v>
      </c>
      <c r="W1115" s="2" t="inlineStr">
        <is>
          <t>Classification</t>
        </is>
      </c>
    </row>
    <row r="1116">
      <c r="A1116" s="2" t="inlineStr">
        <is>
          <t>Downer</t>
        </is>
      </c>
      <c r="B1116" s="2" t="inlineStr">
        <is>
          <t>FSA Central Proactive EU Subcontractors</t>
        </is>
      </c>
      <c r="C1116" s="2" t="inlineStr">
        <is>
          <t>Other</t>
        </is>
      </c>
      <c r="D1116" s="2" t="inlineStr">
        <is>
          <t>L9.DNZ.810.20952</t>
        </is>
      </c>
      <c r="E1116" s="2" t="inlineStr">
        <is>
          <t>L9.DNZ.810.20952</t>
        </is>
      </c>
      <c r="M1116" s="2" t="inlineStr">
        <is>
          <t>Auckland City</t>
        </is>
      </c>
      <c r="N1116" s="2" t="inlineStr">
        <is>
          <t>New Zealand</t>
        </is>
      </c>
      <c r="P1116" s="2" t="inlineStr">
        <is>
          <t>Operational Control</t>
        </is>
      </c>
      <c r="Q1116" s="2" t="inlineStr">
        <is>
          <t>Operational Control</t>
        </is>
      </c>
      <c r="R1116" s="2" t="inlineStr">
        <is>
          <t>Energy and Utilities (EU)</t>
        </is>
      </c>
      <c r="S1116" s="2" t="inlineStr">
        <is>
          <t>Downer</t>
        </is>
      </c>
      <c r="T1116" s="2" t="n">
        <v>100</v>
      </c>
      <c r="W1116" s="2" t="inlineStr">
        <is>
          <t>Classification</t>
        </is>
      </c>
    </row>
    <row r="1117">
      <c r="A1117" s="2" t="inlineStr">
        <is>
          <t>Downer</t>
        </is>
      </c>
      <c r="B1117" s="2" t="inlineStr">
        <is>
          <t>FSA Christchurch Maintain EU Subcontractors</t>
        </is>
      </c>
      <c r="C1117" s="2" t="inlineStr">
        <is>
          <t>Other</t>
        </is>
      </c>
      <c r="D1117" s="2" t="inlineStr">
        <is>
          <t>L9.DNZ.810.20923</t>
        </is>
      </c>
      <c r="E1117" s="2" t="inlineStr">
        <is>
          <t>L9.DNZ.810.20923</t>
        </is>
      </c>
      <c r="M1117" s="2" t="inlineStr">
        <is>
          <t>Auckland City</t>
        </is>
      </c>
      <c r="N1117" s="2" t="inlineStr">
        <is>
          <t>New Zealand</t>
        </is>
      </c>
      <c r="P1117" s="2" t="inlineStr">
        <is>
          <t>Operational Control</t>
        </is>
      </c>
      <c r="Q1117" s="2" t="inlineStr">
        <is>
          <t>Operational Control</t>
        </is>
      </c>
      <c r="R1117" s="2" t="inlineStr">
        <is>
          <t>Energy and Utilities (EU)</t>
        </is>
      </c>
      <c r="S1117" s="2" t="inlineStr">
        <is>
          <t>Downer</t>
        </is>
      </c>
      <c r="T1117" s="2" t="n">
        <v>100</v>
      </c>
      <c r="W1117" s="2" t="inlineStr">
        <is>
          <t>Classification</t>
        </is>
      </c>
    </row>
    <row r="1118">
      <c r="A1118" s="2" t="inlineStr">
        <is>
          <t>Downer</t>
        </is>
      </c>
      <c r="B1118" s="2" t="inlineStr">
        <is>
          <t>FSA Copper Provisioning EU Subcontractors</t>
        </is>
      </c>
      <c r="C1118" s="2" t="inlineStr">
        <is>
          <t>Other</t>
        </is>
      </c>
      <c r="D1118" s="2" t="inlineStr">
        <is>
          <t>L9.DNZ.810.20922</t>
        </is>
      </c>
      <c r="E1118" s="2" t="inlineStr">
        <is>
          <t>L9.DNZ.810.20922</t>
        </is>
      </c>
      <c r="M1118" s="2" t="inlineStr">
        <is>
          <t>Auckland City</t>
        </is>
      </c>
      <c r="N1118" s="2" t="inlineStr">
        <is>
          <t>New Zealand</t>
        </is>
      </c>
      <c r="P1118" s="2" t="inlineStr">
        <is>
          <t>Operational Control</t>
        </is>
      </c>
      <c r="Q1118" s="2" t="inlineStr">
        <is>
          <t>Operational Control</t>
        </is>
      </c>
      <c r="R1118" s="2" t="inlineStr">
        <is>
          <t>Energy and Utilities (EU)</t>
        </is>
      </c>
      <c r="S1118" s="2" t="inlineStr">
        <is>
          <t>Downer</t>
        </is>
      </c>
      <c r="T1118" s="2" t="n">
        <v>100</v>
      </c>
      <c r="W1118" s="2" t="inlineStr">
        <is>
          <t>Classification</t>
        </is>
      </c>
    </row>
    <row r="1119">
      <c r="A1119" s="2" t="inlineStr">
        <is>
          <t>Downer</t>
        </is>
      </c>
      <c r="B1119" s="2" t="inlineStr">
        <is>
          <t>FSA Eastern NI Deployment EU Subcontractors</t>
        </is>
      </c>
      <c r="C1119" s="2" t="inlineStr">
        <is>
          <t>Other</t>
        </is>
      </c>
      <c r="D1119" s="2" t="inlineStr">
        <is>
          <t>L9.DNZ.810.20965</t>
        </is>
      </c>
      <c r="E1119" s="2" t="inlineStr">
        <is>
          <t>L9.DNZ.810.20965</t>
        </is>
      </c>
      <c r="M1119" s="2" t="inlineStr">
        <is>
          <t>Auckland City</t>
        </is>
      </c>
      <c r="N1119" s="2" t="inlineStr">
        <is>
          <t>New Zealand</t>
        </is>
      </c>
      <c r="P1119" s="2" t="inlineStr">
        <is>
          <t>Operational Control</t>
        </is>
      </c>
      <c r="Q1119" s="2" t="inlineStr">
        <is>
          <t>Operational Control</t>
        </is>
      </c>
      <c r="R1119" s="2" t="inlineStr">
        <is>
          <t>Energy and Utilities (EU)</t>
        </is>
      </c>
      <c r="S1119" s="2" t="inlineStr">
        <is>
          <t>Downer</t>
        </is>
      </c>
      <c r="T1119" s="2" t="n">
        <v>100</v>
      </c>
      <c r="W1119" s="2" t="inlineStr">
        <is>
          <t>Classification</t>
        </is>
      </c>
    </row>
    <row r="1120">
      <c r="A1120" s="2" t="inlineStr">
        <is>
          <t>Downer</t>
        </is>
      </c>
      <c r="B1120" s="2" t="inlineStr">
        <is>
          <t>FSA Eastern NI Proactive EU Subcontractors</t>
        </is>
      </c>
      <c r="C1120" s="2" t="inlineStr">
        <is>
          <t>Other</t>
        </is>
      </c>
      <c r="D1120" s="2" t="inlineStr">
        <is>
          <t>L9.DNZ.810.20966</t>
        </is>
      </c>
      <c r="E1120" s="2" t="inlineStr">
        <is>
          <t>L9.DNZ.810.20966</t>
        </is>
      </c>
      <c r="M1120" s="2" t="inlineStr">
        <is>
          <t>Auckland City</t>
        </is>
      </c>
      <c r="N1120" s="2" t="inlineStr">
        <is>
          <t>New Zealand</t>
        </is>
      </c>
      <c r="P1120" s="2" t="inlineStr">
        <is>
          <t>Operational Control</t>
        </is>
      </c>
      <c r="Q1120" s="2" t="inlineStr">
        <is>
          <t>Operational Control</t>
        </is>
      </c>
      <c r="R1120" s="2" t="inlineStr">
        <is>
          <t>Energy and Utilities (EU)</t>
        </is>
      </c>
      <c r="S1120" s="2" t="inlineStr">
        <is>
          <t>Downer</t>
        </is>
      </c>
      <c r="T1120" s="2" t="n">
        <v>100</v>
      </c>
      <c r="W1120" s="2" t="inlineStr">
        <is>
          <t>Classification</t>
        </is>
      </c>
    </row>
    <row r="1121">
      <c r="A1121" s="2" t="inlineStr">
        <is>
          <t>Downer</t>
        </is>
      </c>
      <c r="B1121" s="2" t="inlineStr">
        <is>
          <t>FSA Gisborne/Whakatane Mtce EU Subcontractors</t>
        </is>
      </c>
      <c r="C1121" s="2" t="inlineStr">
        <is>
          <t>Other</t>
        </is>
      </c>
      <c r="D1121" s="2" t="inlineStr">
        <is>
          <t>L9.DNZ.810.20931</t>
        </is>
      </c>
      <c r="E1121" s="2" t="inlineStr">
        <is>
          <t>L9.DNZ.810.20931</t>
        </is>
      </c>
      <c r="F1121" s="2" t="inlineStr">
        <is>
          <t>L9.DNZ.810.20931</t>
        </is>
      </c>
      <c r="M1121" s="2" t="inlineStr">
        <is>
          <t>Auckland</t>
        </is>
      </c>
      <c r="N1121" s="2" t="inlineStr">
        <is>
          <t>New Zealand</t>
        </is>
      </c>
      <c r="P1121" s="2" t="inlineStr">
        <is>
          <t>Operational Control</t>
        </is>
      </c>
      <c r="Q1121" s="2" t="inlineStr">
        <is>
          <t>Operational Control</t>
        </is>
      </c>
      <c r="R1121" s="2" t="inlineStr">
        <is>
          <t>Energy and Utilities (EU)</t>
        </is>
      </c>
      <c r="S1121" s="2" t="inlineStr">
        <is>
          <t>Downer</t>
        </is>
      </c>
      <c r="T1121" s="2" t="n">
        <v>100</v>
      </c>
      <c r="W1121" s="2" t="inlineStr">
        <is>
          <t>Classification</t>
        </is>
      </c>
    </row>
    <row r="1122">
      <c r="A1122" s="2" t="inlineStr">
        <is>
          <t>Downer</t>
        </is>
      </c>
      <c r="B1122" s="2" t="inlineStr">
        <is>
          <t>FSA Hawkes Bay/Dannevirke Mtce EU Subcontractors</t>
        </is>
      </c>
      <c r="C1122" s="2" t="inlineStr">
        <is>
          <t>Other</t>
        </is>
      </c>
      <c r="D1122" s="2" t="inlineStr">
        <is>
          <t>L9.DNZ.810.20930</t>
        </is>
      </c>
      <c r="E1122" s="2" t="inlineStr">
        <is>
          <t>L9.DNZ.810.20930</t>
        </is>
      </c>
      <c r="F1122" s="2" t="inlineStr">
        <is>
          <t>L9.DNZ.810.20930</t>
        </is>
      </c>
      <c r="M1122" s="2" t="inlineStr">
        <is>
          <t>Auckland</t>
        </is>
      </c>
      <c r="N1122" s="2" t="inlineStr">
        <is>
          <t>New Zealand</t>
        </is>
      </c>
      <c r="P1122" s="2" t="inlineStr">
        <is>
          <t>Operational Control</t>
        </is>
      </c>
      <c r="Q1122" s="2" t="inlineStr">
        <is>
          <t>Operational Control</t>
        </is>
      </c>
      <c r="R1122" s="2" t="inlineStr">
        <is>
          <t>Energy and Utilities (EU)</t>
        </is>
      </c>
      <c r="S1122" s="2" t="inlineStr">
        <is>
          <t>Downer</t>
        </is>
      </c>
      <c r="T1122" s="2" t="n">
        <v>100</v>
      </c>
      <c r="W1122" s="2" t="inlineStr">
        <is>
          <t>Classification</t>
        </is>
      </c>
    </row>
    <row r="1123">
      <c r="A1123" s="2" t="inlineStr">
        <is>
          <t>Downer</t>
        </is>
      </c>
      <c r="B1123" s="2" t="inlineStr">
        <is>
          <t>FSA Nelson/Marlborough Mtce EU Subcontractors</t>
        </is>
      </c>
      <c r="C1123" s="2" t="inlineStr">
        <is>
          <t>Other</t>
        </is>
      </c>
      <c r="D1123" s="2" t="inlineStr">
        <is>
          <t>L9.DNZ.810.20927</t>
        </is>
      </c>
      <c r="E1123" s="2" t="inlineStr">
        <is>
          <t>L9.DNZ.810.20927</t>
        </is>
      </c>
      <c r="M1123" s="2" t="inlineStr">
        <is>
          <t>Auckland City</t>
        </is>
      </c>
      <c r="N1123" s="2" t="inlineStr">
        <is>
          <t>New Zealand</t>
        </is>
      </c>
      <c r="P1123" s="2" t="inlineStr">
        <is>
          <t>Operational Control</t>
        </is>
      </c>
      <c r="Q1123" s="2" t="inlineStr">
        <is>
          <t>Operational Control</t>
        </is>
      </c>
      <c r="R1123" s="2" t="inlineStr">
        <is>
          <t>Energy and Utilities (EU)</t>
        </is>
      </c>
      <c r="S1123" s="2" t="inlineStr">
        <is>
          <t>Downer</t>
        </is>
      </c>
      <c r="T1123" s="2" t="n">
        <v>100</v>
      </c>
      <c r="W1123" s="2" t="inlineStr">
        <is>
          <t>Classification</t>
        </is>
      </c>
    </row>
    <row r="1124">
      <c r="A1124" s="2" t="inlineStr">
        <is>
          <t>Downer</t>
        </is>
      </c>
      <c r="B1124" s="2" t="inlineStr">
        <is>
          <t>FSA Otago/Sth Canty Maintain EU Subcontractors</t>
        </is>
      </c>
      <c r="C1124" s="2" t="inlineStr">
        <is>
          <t>Other</t>
        </is>
      </c>
      <c r="D1124" s="2" t="inlineStr">
        <is>
          <t>L9.DNZ.810.20924</t>
        </is>
      </c>
      <c r="E1124" s="2" t="inlineStr">
        <is>
          <t>L9.DNZ.810.20924</t>
        </is>
      </c>
      <c r="M1124" s="2" t="inlineStr">
        <is>
          <t>Auckland City</t>
        </is>
      </c>
      <c r="N1124" s="2" t="inlineStr">
        <is>
          <t>New Zealand</t>
        </is>
      </c>
      <c r="P1124" s="2" t="inlineStr">
        <is>
          <t>Operational Control</t>
        </is>
      </c>
      <c r="Q1124" s="2" t="inlineStr">
        <is>
          <t>Operational Control</t>
        </is>
      </c>
      <c r="R1124" s="2" t="inlineStr">
        <is>
          <t>Energy and Utilities (EU)</t>
        </is>
      </c>
      <c r="S1124" s="2" t="inlineStr">
        <is>
          <t>Downer</t>
        </is>
      </c>
      <c r="T1124" s="2" t="n">
        <v>100</v>
      </c>
      <c r="W1124" s="2" t="inlineStr">
        <is>
          <t>Classification</t>
        </is>
      </c>
    </row>
    <row r="1125">
      <c r="A1125" s="2" t="inlineStr">
        <is>
          <t>Downer</t>
        </is>
      </c>
      <c r="B1125" s="2" t="inlineStr">
        <is>
          <t>FSA Palmrstn Nth/Whnganui Mtce EU Subcontractors</t>
        </is>
      </c>
      <c r="C1125" s="2" t="inlineStr">
        <is>
          <t>Other</t>
        </is>
      </c>
      <c r="D1125" s="2" t="inlineStr">
        <is>
          <t>L9.DNZ.810.20929</t>
        </is>
      </c>
      <c r="E1125" s="2" t="inlineStr">
        <is>
          <t>L9.DNZ.810.20929</t>
        </is>
      </c>
      <c r="M1125" s="2" t="inlineStr">
        <is>
          <t>Auckland City</t>
        </is>
      </c>
      <c r="N1125" s="2" t="inlineStr">
        <is>
          <t>New Zealand</t>
        </is>
      </c>
      <c r="P1125" s="2" t="inlineStr">
        <is>
          <t>Operational Control</t>
        </is>
      </c>
      <c r="Q1125" s="2" t="inlineStr">
        <is>
          <t>Operational Control</t>
        </is>
      </c>
      <c r="R1125" s="2" t="inlineStr">
        <is>
          <t>Energy and Utilities (EU)</t>
        </is>
      </c>
      <c r="S1125" s="2" t="inlineStr">
        <is>
          <t>Downer</t>
        </is>
      </c>
      <c r="T1125" s="2" t="n">
        <v>100</v>
      </c>
      <c r="W1125" s="2" t="inlineStr">
        <is>
          <t>Classification</t>
        </is>
      </c>
    </row>
    <row r="1126">
      <c r="A1126" s="2" t="inlineStr">
        <is>
          <t>Downer</t>
        </is>
      </c>
      <c r="B1126" s="2" t="inlineStr">
        <is>
          <t>FSA Rotorua/Taupo Maintain EU Subcontractors</t>
        </is>
      </c>
      <c r="C1126" s="2" t="inlineStr">
        <is>
          <t>Other</t>
        </is>
      </c>
      <c r="D1126" s="2" t="inlineStr">
        <is>
          <t>L9.DNZ.810.20932</t>
        </is>
      </c>
      <c r="E1126" s="2" t="inlineStr">
        <is>
          <t>L9.DNZ.810.20932</t>
        </is>
      </c>
      <c r="M1126" s="2" t="inlineStr">
        <is>
          <t>Auckland City</t>
        </is>
      </c>
      <c r="N1126" s="2" t="inlineStr">
        <is>
          <t>New Zealand</t>
        </is>
      </c>
      <c r="P1126" s="2" t="inlineStr">
        <is>
          <t>Operational Control</t>
        </is>
      </c>
      <c r="Q1126" s="2" t="inlineStr">
        <is>
          <t>Operational Control</t>
        </is>
      </c>
      <c r="R1126" s="2" t="inlineStr">
        <is>
          <t>Energy and Utilities (EU)</t>
        </is>
      </c>
      <c r="S1126" s="2" t="inlineStr">
        <is>
          <t>Downer</t>
        </is>
      </c>
      <c r="T1126" s="2" t="n">
        <v>100</v>
      </c>
      <c r="W1126" s="2" t="inlineStr">
        <is>
          <t>Classification</t>
        </is>
      </c>
    </row>
    <row r="1127">
      <c r="A1127" s="2" t="inlineStr">
        <is>
          <t>Downer</t>
        </is>
      </c>
      <c r="B1127" s="2" t="inlineStr">
        <is>
          <t>FSA Southern Deployment EU Subcontractors</t>
        </is>
      </c>
      <c r="C1127" s="2" t="inlineStr">
        <is>
          <t>Other</t>
        </is>
      </c>
      <c r="D1127" s="2" t="inlineStr">
        <is>
          <t>L9.DNZ.810.20943</t>
        </is>
      </c>
      <c r="E1127" s="2" t="inlineStr">
        <is>
          <t>L9.DNZ.810.20943</t>
        </is>
      </c>
      <c r="M1127" s="2" t="inlineStr">
        <is>
          <t>Auckland City</t>
        </is>
      </c>
      <c r="N1127" s="2" t="inlineStr">
        <is>
          <t>New Zealand</t>
        </is>
      </c>
      <c r="P1127" s="2" t="inlineStr">
        <is>
          <t>Operational Control</t>
        </is>
      </c>
      <c r="Q1127" s="2" t="inlineStr">
        <is>
          <t>Operational Control</t>
        </is>
      </c>
      <c r="R1127" s="2" t="inlineStr">
        <is>
          <t>Energy and Utilities (EU)</t>
        </is>
      </c>
      <c r="S1127" s="2" t="inlineStr">
        <is>
          <t>Downer</t>
        </is>
      </c>
      <c r="T1127" s="2" t="n">
        <v>100</v>
      </c>
      <c r="W1127" s="2" t="inlineStr">
        <is>
          <t>Classification</t>
        </is>
      </c>
    </row>
    <row r="1128">
      <c r="A1128" s="2" t="inlineStr">
        <is>
          <t>Downer</t>
        </is>
      </c>
      <c r="B1128" s="2" t="inlineStr">
        <is>
          <t>FSA Southern ISP Build EU Subcontractors</t>
        </is>
      </c>
      <c r="C1128" s="2" t="inlineStr">
        <is>
          <t>Other</t>
        </is>
      </c>
      <c r="D1128" s="2" t="inlineStr">
        <is>
          <t>L9.DNZ.810.20955</t>
        </is>
      </c>
      <c r="E1128" s="2" t="inlineStr">
        <is>
          <t>L9.DNZ.810.20955</t>
        </is>
      </c>
      <c r="M1128" s="2" t="inlineStr">
        <is>
          <t>Auckland City</t>
        </is>
      </c>
      <c r="N1128" s="2" t="inlineStr">
        <is>
          <t>New Zealand</t>
        </is>
      </c>
      <c r="P1128" s="2" t="inlineStr">
        <is>
          <t>Operational Control</t>
        </is>
      </c>
      <c r="Q1128" s="2" t="inlineStr">
        <is>
          <t>Operational Control</t>
        </is>
      </c>
      <c r="R1128" s="2" t="inlineStr">
        <is>
          <t>Energy and Utilities (EU)</t>
        </is>
      </c>
      <c r="S1128" s="2" t="inlineStr">
        <is>
          <t>Downer</t>
        </is>
      </c>
      <c r="T1128" s="2" t="n">
        <v>100</v>
      </c>
      <c r="W1128" s="2" t="inlineStr">
        <is>
          <t>Classification</t>
        </is>
      </c>
    </row>
    <row r="1129">
      <c r="A1129" s="2" t="inlineStr">
        <is>
          <t>Downer</t>
        </is>
      </c>
      <c r="B1129" s="2" t="inlineStr">
        <is>
          <t>FSA Southern ISP Maintain EU Subcontractors</t>
        </is>
      </c>
      <c r="C1129" s="2" t="inlineStr">
        <is>
          <t>Other</t>
        </is>
      </c>
      <c r="D1129" s="2" t="inlineStr">
        <is>
          <t>L9.DNZ.810.20936</t>
        </is>
      </c>
      <c r="E1129" s="2" t="inlineStr">
        <is>
          <t>L9.DNZ.810.20936</t>
        </is>
      </c>
      <c r="M1129" s="2" t="inlineStr">
        <is>
          <t>Auckland City</t>
        </is>
      </c>
      <c r="N1129" s="2" t="inlineStr">
        <is>
          <t>New Zealand</t>
        </is>
      </c>
      <c r="P1129" s="2" t="inlineStr">
        <is>
          <t>Operational Control</t>
        </is>
      </c>
      <c r="Q1129" s="2" t="inlineStr">
        <is>
          <t>Operational Control</t>
        </is>
      </c>
      <c r="R1129" s="2" t="inlineStr">
        <is>
          <t>Energy and Utilities (EU)</t>
        </is>
      </c>
      <c r="S1129" s="2" t="inlineStr">
        <is>
          <t>Downer</t>
        </is>
      </c>
      <c r="T1129" s="2" t="n">
        <v>100</v>
      </c>
      <c r="W1129" s="2" t="inlineStr">
        <is>
          <t>Classification</t>
        </is>
      </c>
    </row>
    <row r="1130">
      <c r="A1130" s="2" t="inlineStr">
        <is>
          <t>Downer</t>
        </is>
      </c>
      <c r="B1130" s="2" t="inlineStr">
        <is>
          <t>FSA Southern Proactive EU Subcontractors</t>
        </is>
      </c>
      <c r="C1130" s="2" t="inlineStr">
        <is>
          <t>Other</t>
        </is>
      </c>
      <c r="D1130" s="2" t="inlineStr">
        <is>
          <t>L9.DNZ.810.20949</t>
        </is>
      </c>
      <c r="E1130" s="2" t="inlineStr">
        <is>
          <t>L9.DNZ.810.20949</t>
        </is>
      </c>
      <c r="M1130" s="2" t="inlineStr">
        <is>
          <t>Auckland City</t>
        </is>
      </c>
      <c r="N1130" s="2" t="inlineStr">
        <is>
          <t>New Zealand</t>
        </is>
      </c>
      <c r="P1130" s="2" t="inlineStr">
        <is>
          <t>Operational Control</t>
        </is>
      </c>
      <c r="Q1130" s="2" t="inlineStr">
        <is>
          <t>Operational Control</t>
        </is>
      </c>
      <c r="R1130" s="2" t="inlineStr">
        <is>
          <t>Energy and Utilities (EU)</t>
        </is>
      </c>
      <c r="S1130" s="2" t="inlineStr">
        <is>
          <t>Downer</t>
        </is>
      </c>
      <c r="T1130" s="2" t="n">
        <v>100</v>
      </c>
      <c r="W1130" s="2" t="inlineStr">
        <is>
          <t>Classification</t>
        </is>
      </c>
    </row>
    <row r="1131">
      <c r="A1131" s="2" t="inlineStr">
        <is>
          <t>Downer</t>
        </is>
      </c>
      <c r="B1131" s="2" t="inlineStr">
        <is>
          <t>FSA Taranaki Maintain EU Subcontractors</t>
        </is>
      </c>
      <c r="C1131" s="2" t="inlineStr">
        <is>
          <t>Other</t>
        </is>
      </c>
      <c r="D1131" s="2" t="inlineStr">
        <is>
          <t>L9.DNZ.810.20934</t>
        </is>
      </c>
      <c r="E1131" s="2" t="inlineStr">
        <is>
          <t>L9.DNZ.810.20934</t>
        </is>
      </c>
      <c r="F1131" s="2" t="inlineStr">
        <is>
          <t>L9.DNZ.810.20934</t>
        </is>
      </c>
      <c r="M1131" s="2" t="inlineStr">
        <is>
          <t>Auckland</t>
        </is>
      </c>
      <c r="N1131" s="2" t="inlineStr">
        <is>
          <t>New Zealand</t>
        </is>
      </c>
      <c r="P1131" s="2" t="inlineStr">
        <is>
          <t>Operational Control</t>
        </is>
      </c>
      <c r="Q1131" s="2" t="inlineStr">
        <is>
          <t>Operational Control</t>
        </is>
      </c>
      <c r="R1131" s="2" t="inlineStr">
        <is>
          <t>Energy and Utilities (EU)</t>
        </is>
      </c>
      <c r="S1131" s="2" t="inlineStr">
        <is>
          <t>Downer</t>
        </is>
      </c>
      <c r="T1131" s="2" t="n">
        <v>100</v>
      </c>
      <c r="W1131" s="2" t="inlineStr">
        <is>
          <t>Classification</t>
        </is>
      </c>
    </row>
    <row r="1132">
      <c r="A1132" s="2" t="inlineStr">
        <is>
          <t>Downer</t>
        </is>
      </c>
      <c r="B1132" s="2" t="inlineStr">
        <is>
          <t>FSA Tauranga Maintain EU Subcontractors</t>
        </is>
      </c>
      <c r="C1132" s="2" t="inlineStr">
        <is>
          <t>Other</t>
        </is>
      </c>
      <c r="D1132" s="2" t="inlineStr">
        <is>
          <t>L9.DNZ.810.20933</t>
        </is>
      </c>
      <c r="E1132" s="2" t="inlineStr">
        <is>
          <t>L9.DNZ.810.20933</t>
        </is>
      </c>
      <c r="M1132" s="2" t="inlineStr">
        <is>
          <t>Auckland City</t>
        </is>
      </c>
      <c r="N1132" s="2" t="inlineStr">
        <is>
          <t>New Zealand</t>
        </is>
      </c>
      <c r="P1132" s="2" t="inlineStr">
        <is>
          <t>Operational Control</t>
        </is>
      </c>
      <c r="Q1132" s="2" t="inlineStr">
        <is>
          <t>Operational Control</t>
        </is>
      </c>
      <c r="R1132" s="2" t="inlineStr">
        <is>
          <t>Energy and Utilities (EU)</t>
        </is>
      </c>
      <c r="S1132" s="2" t="inlineStr">
        <is>
          <t>Downer</t>
        </is>
      </c>
      <c r="T1132" s="2" t="n">
        <v>100</v>
      </c>
      <c r="W1132" s="2" t="inlineStr">
        <is>
          <t>Classification</t>
        </is>
      </c>
    </row>
    <row r="1133">
      <c r="A1133" s="2" t="inlineStr">
        <is>
          <t>Downer</t>
        </is>
      </c>
      <c r="B1133" s="2" t="inlineStr">
        <is>
          <t>FSA Thames/Coromandel Maintain EU Subcontractors</t>
        </is>
      </c>
      <c r="C1133" s="2" t="inlineStr">
        <is>
          <t>Other</t>
        </is>
      </c>
      <c r="D1133" s="2" t="inlineStr">
        <is>
          <t>L9.DNZ.810.20935</t>
        </is>
      </c>
      <c r="E1133" s="2" t="inlineStr">
        <is>
          <t>L9.DNZ.810.20935</t>
        </is>
      </c>
      <c r="M1133" s="2" t="inlineStr">
        <is>
          <t>Auckland City</t>
        </is>
      </c>
      <c r="N1133" s="2" t="inlineStr">
        <is>
          <t>New Zealand</t>
        </is>
      </c>
      <c r="P1133" s="2" t="inlineStr">
        <is>
          <t>Operational Control</t>
        </is>
      </c>
      <c r="Q1133" s="2" t="inlineStr">
        <is>
          <t>Operational Control</t>
        </is>
      </c>
      <c r="R1133" s="2" t="inlineStr">
        <is>
          <t>Energy and Utilities (EU)</t>
        </is>
      </c>
      <c r="S1133" s="2" t="inlineStr">
        <is>
          <t>Downer</t>
        </is>
      </c>
      <c r="T1133" s="2" t="n">
        <v>100</v>
      </c>
      <c r="W1133" s="2" t="inlineStr">
        <is>
          <t>Classification</t>
        </is>
      </c>
    </row>
    <row r="1134">
      <c r="A1134" s="2" t="inlineStr">
        <is>
          <t>Downer</t>
        </is>
      </c>
      <c r="B1134" s="2" t="inlineStr">
        <is>
          <t>FSA Upper Sth Island Build EU Subcontractors</t>
        </is>
      </c>
      <c r="C1134" s="2" t="inlineStr">
        <is>
          <t>Other</t>
        </is>
      </c>
      <c r="D1134" s="2" t="inlineStr">
        <is>
          <t>L9.DNZ.810.20834</t>
        </is>
      </c>
      <c r="E1134" s="2" t="inlineStr">
        <is>
          <t>L9.DNZ.810.20834</t>
        </is>
      </c>
      <c r="M1134" s="2" t="inlineStr">
        <is>
          <t>Auckland City</t>
        </is>
      </c>
      <c r="N1134" s="2" t="inlineStr">
        <is>
          <t>New Zealand</t>
        </is>
      </c>
      <c r="P1134" s="2" t="inlineStr">
        <is>
          <t>Operational Control</t>
        </is>
      </c>
      <c r="Q1134" s="2" t="inlineStr">
        <is>
          <t>Operational Control</t>
        </is>
      </c>
      <c r="R1134" s="2" t="inlineStr">
        <is>
          <t>Energy and Utilities (EU)</t>
        </is>
      </c>
      <c r="S1134" s="2" t="inlineStr">
        <is>
          <t>Downer</t>
        </is>
      </c>
      <c r="T1134" s="2" t="n">
        <v>100</v>
      </c>
      <c r="W1134" s="2" t="inlineStr">
        <is>
          <t>Classification</t>
        </is>
      </c>
    </row>
    <row r="1135">
      <c r="A1135" s="2" t="inlineStr">
        <is>
          <t>Downer</t>
        </is>
      </c>
      <c r="B1135" s="2" t="inlineStr">
        <is>
          <t>FSA Upper Sth Island ISP Build EU Subcontractors</t>
        </is>
      </c>
      <c r="C1135" s="2" t="inlineStr">
        <is>
          <t>Other</t>
        </is>
      </c>
      <c r="D1135" s="2" t="inlineStr">
        <is>
          <t>L9.DNZ.810.20956</t>
        </is>
      </c>
      <c r="E1135" s="2" t="inlineStr">
        <is>
          <t>L9.DNZ.810.20956</t>
        </is>
      </c>
      <c r="F1135" s="2" t="inlineStr">
        <is>
          <t>L9.DNZ.810.20956</t>
        </is>
      </c>
      <c r="M1135" s="2" t="inlineStr">
        <is>
          <t>Auckland</t>
        </is>
      </c>
      <c r="N1135" s="2" t="inlineStr">
        <is>
          <t>New Zealand</t>
        </is>
      </c>
      <c r="P1135" s="2" t="inlineStr">
        <is>
          <t>Operational Control</t>
        </is>
      </c>
      <c r="Q1135" s="2" t="inlineStr">
        <is>
          <t>Operational Control</t>
        </is>
      </c>
      <c r="R1135" s="2" t="inlineStr">
        <is>
          <t>Energy and Utilities (EU)</t>
        </is>
      </c>
      <c r="S1135" s="2" t="inlineStr">
        <is>
          <t>Downer</t>
        </is>
      </c>
      <c r="T1135" s="2" t="n">
        <v>100</v>
      </c>
      <c r="W1135" s="2" t="inlineStr">
        <is>
          <t>Classification</t>
        </is>
      </c>
    </row>
    <row r="1136">
      <c r="A1136" s="2" t="inlineStr">
        <is>
          <t>Downer</t>
        </is>
      </c>
      <c r="B1136" s="2" t="inlineStr">
        <is>
          <t>FSA Upper Sth Island ISP Mtce EU Subcontractors</t>
        </is>
      </c>
      <c r="C1136" s="2" t="inlineStr">
        <is>
          <t>Other</t>
        </is>
      </c>
      <c r="D1136" s="2" t="inlineStr">
        <is>
          <t>L9.DNZ.810.20937</t>
        </is>
      </c>
      <c r="E1136" s="2" t="inlineStr">
        <is>
          <t>L9.DNZ.810.20937</t>
        </is>
      </c>
      <c r="M1136" s="2" t="inlineStr">
        <is>
          <t>Auckland City</t>
        </is>
      </c>
      <c r="N1136" s="2" t="inlineStr">
        <is>
          <t>New Zealand</t>
        </is>
      </c>
      <c r="P1136" s="2" t="inlineStr">
        <is>
          <t>Operational Control</t>
        </is>
      </c>
      <c r="Q1136" s="2" t="inlineStr">
        <is>
          <t>Operational Control</t>
        </is>
      </c>
      <c r="R1136" s="2" t="inlineStr">
        <is>
          <t>Energy and Utilities (EU)</t>
        </is>
      </c>
      <c r="S1136" s="2" t="inlineStr">
        <is>
          <t>Downer</t>
        </is>
      </c>
      <c r="T1136" s="2" t="n">
        <v>100</v>
      </c>
      <c r="W1136" s="2" t="inlineStr">
        <is>
          <t>Classification</t>
        </is>
      </c>
    </row>
    <row r="1137">
      <c r="A1137" s="2" t="inlineStr">
        <is>
          <t>Downer</t>
        </is>
      </c>
      <c r="B1137" s="2" t="inlineStr">
        <is>
          <t>FSA Upper Sth Island Proactive EU Subcontractors</t>
        </is>
      </c>
      <c r="C1137" s="2" t="inlineStr">
        <is>
          <t>Other</t>
        </is>
      </c>
      <c r="D1137" s="2" t="inlineStr">
        <is>
          <t>L9.DNZ.810.20950</t>
        </is>
      </c>
      <c r="E1137" s="2" t="inlineStr">
        <is>
          <t>L9.DNZ.810.20950</t>
        </is>
      </c>
      <c r="M1137" s="2" t="inlineStr">
        <is>
          <t>Auckland City</t>
        </is>
      </c>
      <c r="N1137" s="2" t="inlineStr">
        <is>
          <t>New Zealand</t>
        </is>
      </c>
      <c r="P1137" s="2" t="inlineStr">
        <is>
          <t>Operational Control</t>
        </is>
      </c>
      <c r="Q1137" s="2" t="inlineStr">
        <is>
          <t>Operational Control</t>
        </is>
      </c>
      <c r="R1137" s="2" t="inlineStr">
        <is>
          <t>Energy and Utilities (EU)</t>
        </is>
      </c>
      <c r="S1137" s="2" t="inlineStr">
        <is>
          <t>Downer</t>
        </is>
      </c>
      <c r="T1137" s="2" t="n">
        <v>100</v>
      </c>
      <c r="W1137" s="2" t="inlineStr">
        <is>
          <t>Classification</t>
        </is>
      </c>
    </row>
    <row r="1138">
      <c r="A1138" s="2" t="inlineStr">
        <is>
          <t>Downer</t>
        </is>
      </c>
      <c r="B1138" s="2" t="inlineStr">
        <is>
          <t>FSA Uppr Sth Island Deployment EU Subcontractors</t>
        </is>
      </c>
      <c r="C1138" s="2" t="inlineStr">
        <is>
          <t>Other</t>
        </is>
      </c>
      <c r="D1138" s="2" t="inlineStr">
        <is>
          <t>L9.DNZ.810.20944</t>
        </is>
      </c>
      <c r="E1138" s="2" t="inlineStr">
        <is>
          <t>L9.DNZ.810.20944</t>
        </is>
      </c>
      <c r="M1138" s="2" t="inlineStr">
        <is>
          <t>Auckland City</t>
        </is>
      </c>
      <c r="N1138" s="2" t="inlineStr">
        <is>
          <t>New Zealand</t>
        </is>
      </c>
      <c r="P1138" s="2" t="inlineStr">
        <is>
          <t>Operational Control</t>
        </is>
      </c>
      <c r="Q1138" s="2" t="inlineStr">
        <is>
          <t>Operational Control</t>
        </is>
      </c>
      <c r="R1138" s="2" t="inlineStr">
        <is>
          <t>Energy and Utilities (EU)</t>
        </is>
      </c>
      <c r="S1138" s="2" t="inlineStr">
        <is>
          <t>Downer</t>
        </is>
      </c>
      <c r="T1138" s="2" t="n">
        <v>100</v>
      </c>
      <c r="W1138" s="2" t="inlineStr">
        <is>
          <t>Classification</t>
        </is>
      </c>
    </row>
    <row r="1139">
      <c r="A1139" s="2" t="inlineStr">
        <is>
          <t>Downer</t>
        </is>
      </c>
      <c r="B1139" s="2" t="inlineStr">
        <is>
          <t>FSA Waikato Build EU Subcontractors</t>
        </is>
      </c>
      <c r="C1139" s="2" t="inlineStr">
        <is>
          <t>Other</t>
        </is>
      </c>
      <c r="D1139" s="2" t="inlineStr">
        <is>
          <t>L9.DNZ.810.20851</t>
        </is>
      </c>
      <c r="E1139" s="2" t="inlineStr">
        <is>
          <t>L9.DNZ.810.20851</t>
        </is>
      </c>
      <c r="M1139" s="2" t="inlineStr">
        <is>
          <t>Auckland City</t>
        </is>
      </c>
      <c r="N1139" s="2" t="inlineStr">
        <is>
          <t>New Zealand</t>
        </is>
      </c>
      <c r="P1139" s="2" t="inlineStr">
        <is>
          <t>Operational Control</t>
        </is>
      </c>
      <c r="Q1139" s="2" t="inlineStr">
        <is>
          <t>Operational Control</t>
        </is>
      </c>
      <c r="R1139" s="2" t="inlineStr">
        <is>
          <t>Energy and Utilities (EU)</t>
        </is>
      </c>
      <c r="S1139" s="2" t="inlineStr">
        <is>
          <t>Downer</t>
        </is>
      </c>
      <c r="T1139" s="2" t="n">
        <v>100</v>
      </c>
      <c r="W1139" s="2" t="inlineStr">
        <is>
          <t>Classification</t>
        </is>
      </c>
    </row>
    <row r="1140">
      <c r="A1140" s="2" t="inlineStr">
        <is>
          <t>Downer</t>
        </is>
      </c>
      <c r="B1140" s="2" t="inlineStr">
        <is>
          <t>FSA Wellington Deployment EU Subcontractors</t>
        </is>
      </c>
      <c r="C1140" s="2" t="inlineStr">
        <is>
          <t>Other</t>
        </is>
      </c>
      <c r="D1140" s="2" t="inlineStr">
        <is>
          <t>L9.DNZ.810.20945</t>
        </is>
      </c>
      <c r="E1140" s="2" t="inlineStr">
        <is>
          <t>L9.DNZ.810.20945</t>
        </is>
      </c>
      <c r="M1140" s="2" t="inlineStr">
        <is>
          <t>Auckland City</t>
        </is>
      </c>
      <c r="N1140" s="2" t="inlineStr">
        <is>
          <t>New Zealand</t>
        </is>
      </c>
      <c r="P1140" s="2" t="inlineStr">
        <is>
          <t>Operational Control</t>
        </is>
      </c>
      <c r="Q1140" s="2" t="inlineStr">
        <is>
          <t>Operational Control</t>
        </is>
      </c>
      <c r="R1140" s="2" t="inlineStr">
        <is>
          <t>Energy and Utilities (EU)</t>
        </is>
      </c>
      <c r="S1140" s="2" t="inlineStr">
        <is>
          <t>Downer</t>
        </is>
      </c>
      <c r="T1140" s="2" t="n">
        <v>100</v>
      </c>
      <c r="W1140" s="2" t="inlineStr">
        <is>
          <t>Classification</t>
        </is>
      </c>
    </row>
    <row r="1141">
      <c r="A1141" s="2" t="inlineStr">
        <is>
          <t>Downer</t>
        </is>
      </c>
      <c r="B1141" s="2" t="inlineStr">
        <is>
          <t>FSA Wellington ISP Build EU Subcontractors</t>
        </is>
      </c>
      <c r="C1141" s="2" t="inlineStr">
        <is>
          <t>Other</t>
        </is>
      </c>
      <c r="D1141" s="2" t="inlineStr">
        <is>
          <t>L9.DNZ.810.20957</t>
        </is>
      </c>
      <c r="E1141" s="2" t="inlineStr">
        <is>
          <t>L9.DNZ.810.20957</t>
        </is>
      </c>
      <c r="F1141" s="2" t="inlineStr">
        <is>
          <t>L9.DNZ.810.20957</t>
        </is>
      </c>
      <c r="M1141" s="2" t="inlineStr">
        <is>
          <t>Auckland</t>
        </is>
      </c>
      <c r="N1141" s="2" t="inlineStr">
        <is>
          <t>New Zealand</t>
        </is>
      </c>
      <c r="P1141" s="2" t="inlineStr">
        <is>
          <t>Operational Control</t>
        </is>
      </c>
      <c r="Q1141" s="2" t="inlineStr">
        <is>
          <t>Operational Control</t>
        </is>
      </c>
      <c r="R1141" s="2" t="inlineStr">
        <is>
          <t>Energy and Utilities (EU)</t>
        </is>
      </c>
      <c r="S1141" s="2" t="inlineStr">
        <is>
          <t>Downer</t>
        </is>
      </c>
      <c r="T1141" s="2" t="n">
        <v>100</v>
      </c>
      <c r="W1141" s="2" t="inlineStr">
        <is>
          <t>Classification</t>
        </is>
      </c>
    </row>
    <row r="1142">
      <c r="A1142" s="2" t="inlineStr">
        <is>
          <t>Downer</t>
        </is>
      </c>
      <c r="B1142" s="2" t="inlineStr">
        <is>
          <t>FSA Wellington Maintain EU Subcontractors</t>
        </is>
      </c>
      <c r="C1142" s="2" t="inlineStr">
        <is>
          <t>Other</t>
        </is>
      </c>
      <c r="D1142" s="2" t="inlineStr">
        <is>
          <t>L9.DNZ.810.20928</t>
        </is>
      </c>
      <c r="E1142" s="2" t="inlineStr">
        <is>
          <t>L9.DNZ.810.20928</t>
        </is>
      </c>
      <c r="M1142" s="2" t="inlineStr">
        <is>
          <t>Auckland City</t>
        </is>
      </c>
      <c r="N1142" s="2" t="inlineStr">
        <is>
          <t>New Zealand</t>
        </is>
      </c>
      <c r="P1142" s="2" t="inlineStr">
        <is>
          <t>Operational Control</t>
        </is>
      </c>
      <c r="Q1142" s="2" t="inlineStr">
        <is>
          <t>Operational Control</t>
        </is>
      </c>
      <c r="R1142" s="2" t="inlineStr">
        <is>
          <t>Energy and Utilities (EU)</t>
        </is>
      </c>
      <c r="S1142" s="2" t="inlineStr">
        <is>
          <t>Downer</t>
        </is>
      </c>
      <c r="T1142" s="2" t="n">
        <v>100</v>
      </c>
      <c r="W1142" s="2" t="inlineStr">
        <is>
          <t>Classification</t>
        </is>
      </c>
    </row>
    <row r="1143">
      <c r="A1143" s="2" t="inlineStr">
        <is>
          <t>Downer</t>
        </is>
      </c>
      <c r="B1143" s="2" t="inlineStr">
        <is>
          <t>FSA Wellington Proactive EU Subcontractors</t>
        </is>
      </c>
      <c r="C1143" s="2" t="inlineStr">
        <is>
          <t>Other</t>
        </is>
      </c>
      <c r="D1143" s="2" t="inlineStr">
        <is>
          <t>L9.DNZ.810.20951</t>
        </is>
      </c>
      <c r="E1143" s="2" t="inlineStr">
        <is>
          <t>L9.DNZ.810.20951</t>
        </is>
      </c>
      <c r="M1143" s="2" t="inlineStr">
        <is>
          <t>Auckland City</t>
        </is>
      </c>
      <c r="N1143" s="2" t="inlineStr">
        <is>
          <t>New Zealand</t>
        </is>
      </c>
      <c r="P1143" s="2" t="inlineStr">
        <is>
          <t>Operational Control</t>
        </is>
      </c>
      <c r="Q1143" s="2" t="inlineStr">
        <is>
          <t>Operational Control</t>
        </is>
      </c>
      <c r="R1143" s="2" t="inlineStr">
        <is>
          <t>Energy and Utilities (EU)</t>
        </is>
      </c>
      <c r="S1143" s="2" t="inlineStr">
        <is>
          <t>Downer</t>
        </is>
      </c>
      <c r="T1143" s="2" t="n">
        <v>100</v>
      </c>
      <c r="W1143" s="2" t="inlineStr">
        <is>
          <t>Classification</t>
        </is>
      </c>
    </row>
    <row r="1144">
      <c r="A1144" s="2" t="inlineStr">
        <is>
          <t>Downer</t>
        </is>
      </c>
      <c r="B1144" s="2" t="inlineStr">
        <is>
          <t>FSA West Coast Maintain EU Subcontractors</t>
        </is>
      </c>
      <c r="C1144" s="2" t="inlineStr">
        <is>
          <t>Other</t>
        </is>
      </c>
      <c r="D1144" s="2" t="inlineStr">
        <is>
          <t>L9.DNZ.810.20925</t>
        </is>
      </c>
      <c r="E1144" s="2" t="inlineStr">
        <is>
          <t>L9.DNZ.810.20925</t>
        </is>
      </c>
      <c r="M1144" s="2" t="inlineStr">
        <is>
          <t>Auckland City</t>
        </is>
      </c>
      <c r="N1144" s="2" t="inlineStr">
        <is>
          <t>New Zealand</t>
        </is>
      </c>
      <c r="P1144" s="2" t="inlineStr">
        <is>
          <t>Operational Control</t>
        </is>
      </c>
      <c r="Q1144" s="2" t="inlineStr">
        <is>
          <t>Operational Control</t>
        </is>
      </c>
      <c r="R1144" s="2" t="inlineStr">
        <is>
          <t>Energy and Utilities (EU)</t>
        </is>
      </c>
      <c r="S1144" s="2" t="inlineStr">
        <is>
          <t>Downer</t>
        </is>
      </c>
      <c r="T1144" s="2" t="n">
        <v>100</v>
      </c>
      <c r="W1144" s="2" t="inlineStr">
        <is>
          <t>Classification</t>
        </is>
      </c>
    </row>
    <row r="1145">
      <c r="A1145" s="2" t="inlineStr">
        <is>
          <t>Downer</t>
        </is>
      </c>
      <c r="B1145" s="2" t="inlineStr">
        <is>
          <t>FSA Wstn Nth Island Deployment EU Subcontractors</t>
        </is>
      </c>
      <c r="C1145" s="2" t="inlineStr">
        <is>
          <t>Other</t>
        </is>
      </c>
      <c r="D1145" s="2" t="inlineStr">
        <is>
          <t>L9.DNZ.810.20948</t>
        </is>
      </c>
      <c r="E1145" s="2" t="inlineStr">
        <is>
          <t>L9.DNZ.810.20948</t>
        </is>
      </c>
      <c r="M1145" s="2" t="inlineStr">
        <is>
          <t>Auckland City</t>
        </is>
      </c>
      <c r="N1145" s="2" t="inlineStr">
        <is>
          <t>New Zealand</t>
        </is>
      </c>
      <c r="P1145" s="2" t="inlineStr">
        <is>
          <t>Operational Control</t>
        </is>
      </c>
      <c r="Q1145" s="2" t="inlineStr">
        <is>
          <t>Operational Control</t>
        </is>
      </c>
      <c r="R1145" s="2" t="inlineStr">
        <is>
          <t>Energy and Utilities (EU)</t>
        </is>
      </c>
      <c r="S1145" s="2" t="inlineStr">
        <is>
          <t>Downer</t>
        </is>
      </c>
      <c r="T1145" s="2" t="n">
        <v>100</v>
      </c>
      <c r="W1145" s="2" t="inlineStr">
        <is>
          <t>Classification</t>
        </is>
      </c>
    </row>
    <row r="1146">
      <c r="A1146" s="2" t="inlineStr">
        <is>
          <t>Downer</t>
        </is>
      </c>
      <c r="B1146" s="2" t="inlineStr">
        <is>
          <t>FSA Wstn Nth Island ISP Build EU Subcontractors</t>
        </is>
      </c>
      <c r="C1146" s="2" t="inlineStr">
        <is>
          <t>Other</t>
        </is>
      </c>
      <c r="D1146" s="2" t="inlineStr">
        <is>
          <t>L9.DNZ.810.20960</t>
        </is>
      </c>
      <c r="E1146" s="2" t="inlineStr">
        <is>
          <t>L9.DNZ.810.20960</t>
        </is>
      </c>
      <c r="F1146" s="2" t="inlineStr">
        <is>
          <t>L9.DNZ.810.20960</t>
        </is>
      </c>
      <c r="M1146" s="2" t="inlineStr">
        <is>
          <t>Auckland</t>
        </is>
      </c>
      <c r="N1146" s="2" t="inlineStr">
        <is>
          <t>New Zealand</t>
        </is>
      </c>
      <c r="P1146" s="2" t="inlineStr">
        <is>
          <t>Operational Control</t>
        </is>
      </c>
      <c r="Q1146" s="2" t="inlineStr">
        <is>
          <t>Operational Control</t>
        </is>
      </c>
      <c r="R1146" s="2" t="inlineStr">
        <is>
          <t>Energy and Utilities (EU)</t>
        </is>
      </c>
      <c r="S1146" s="2" t="inlineStr">
        <is>
          <t>Downer</t>
        </is>
      </c>
      <c r="T1146" s="2" t="n">
        <v>100</v>
      </c>
      <c r="W1146" s="2" t="inlineStr">
        <is>
          <t>Classification</t>
        </is>
      </c>
    </row>
    <row r="1147">
      <c r="A1147" s="2" t="inlineStr">
        <is>
          <t>Downer</t>
        </is>
      </c>
      <c r="B1147" s="2" t="inlineStr">
        <is>
          <t>FSA Wstn Nth Island ISP Mtce EU Subcontractors</t>
        </is>
      </c>
      <c r="C1147" s="2" t="inlineStr">
        <is>
          <t>Other</t>
        </is>
      </c>
      <c r="D1147" s="2" t="inlineStr">
        <is>
          <t>L9.DNZ.810.20941</t>
        </is>
      </c>
      <c r="E1147" s="2" t="inlineStr">
        <is>
          <t>L9.DNZ.810.20941</t>
        </is>
      </c>
      <c r="F1147" s="2" t="inlineStr">
        <is>
          <t>L9.DNZ.810.20941</t>
        </is>
      </c>
      <c r="M1147" s="2" t="inlineStr">
        <is>
          <t>Auckland</t>
        </is>
      </c>
      <c r="N1147" s="2" t="inlineStr">
        <is>
          <t>New Zealand</t>
        </is>
      </c>
      <c r="P1147" s="2" t="inlineStr">
        <is>
          <t>Operational Control</t>
        </is>
      </c>
      <c r="Q1147" s="2" t="inlineStr">
        <is>
          <t>Operational Control</t>
        </is>
      </c>
      <c r="R1147" s="2" t="inlineStr">
        <is>
          <t>Energy and Utilities (EU)</t>
        </is>
      </c>
      <c r="S1147" s="2" t="inlineStr">
        <is>
          <t>Downer</t>
        </is>
      </c>
      <c r="T1147" s="2" t="n">
        <v>100</v>
      </c>
      <c r="W1147" s="2" t="inlineStr">
        <is>
          <t>Classification</t>
        </is>
      </c>
    </row>
    <row r="1148">
      <c r="A1148" s="2" t="inlineStr">
        <is>
          <t>Downer</t>
        </is>
      </c>
      <c r="B1148" s="2" t="inlineStr">
        <is>
          <t>FSA Wstn Nth Island Proactive EU Subcontractors</t>
        </is>
      </c>
      <c r="C1148" s="2" t="inlineStr">
        <is>
          <t>Other</t>
        </is>
      </c>
      <c r="D1148" s="2" t="inlineStr">
        <is>
          <t>L9.DNZ.810.20954</t>
        </is>
      </c>
      <c r="E1148" s="2" t="inlineStr">
        <is>
          <t>L9.DNZ.810.20954</t>
        </is>
      </c>
      <c r="M1148" s="2" t="inlineStr">
        <is>
          <t>Auckland City</t>
        </is>
      </c>
      <c r="N1148" s="2" t="inlineStr">
        <is>
          <t>New Zealand</t>
        </is>
      </c>
      <c r="P1148" s="2" t="inlineStr">
        <is>
          <t>Operational Control</t>
        </is>
      </c>
      <c r="Q1148" s="2" t="inlineStr">
        <is>
          <t>Operational Control</t>
        </is>
      </c>
      <c r="R1148" s="2" t="inlineStr">
        <is>
          <t>Energy and Utilities (EU)</t>
        </is>
      </c>
      <c r="S1148" s="2" t="inlineStr">
        <is>
          <t>Downer</t>
        </is>
      </c>
      <c r="T1148" s="2" t="n">
        <v>100</v>
      </c>
      <c r="W1148" s="2" t="inlineStr">
        <is>
          <t>Classification</t>
        </is>
      </c>
    </row>
    <row r="1149">
      <c r="A1149" s="2" t="inlineStr">
        <is>
          <t>Downer</t>
        </is>
      </c>
      <c r="B1149" s="2" t="inlineStr">
        <is>
          <t>FSC Central Deployment EU Subcontractors</t>
        </is>
      </c>
      <c r="C1149" s="2" t="inlineStr">
        <is>
          <t>Other</t>
        </is>
      </c>
      <c r="D1149" s="2" t="inlineStr">
        <is>
          <t>L9.DNZ.810.20780</t>
        </is>
      </c>
      <c r="E1149" s="2" t="inlineStr">
        <is>
          <t>L9.DNZ.810.20780</t>
        </is>
      </c>
      <c r="M1149" s="2" t="inlineStr">
        <is>
          <t>Auckland City</t>
        </is>
      </c>
      <c r="N1149" s="2" t="inlineStr">
        <is>
          <t>New Zealand</t>
        </is>
      </c>
      <c r="P1149" s="2" t="inlineStr">
        <is>
          <t>Operational Control</t>
        </is>
      </c>
      <c r="Q1149" s="2" t="inlineStr">
        <is>
          <t>Operational Control</t>
        </is>
      </c>
      <c r="R1149" s="2" t="inlineStr">
        <is>
          <t>Energy and Utilities (EU)</t>
        </is>
      </c>
      <c r="S1149" s="2" t="inlineStr">
        <is>
          <t>Downer</t>
        </is>
      </c>
      <c r="T1149" s="2" t="n">
        <v>100</v>
      </c>
      <c r="W1149" s="2" t="inlineStr">
        <is>
          <t>Classification</t>
        </is>
      </c>
    </row>
    <row r="1150">
      <c r="A1150" s="2" t="inlineStr">
        <is>
          <t>Downer</t>
        </is>
      </c>
      <c r="B1150" s="2" t="inlineStr">
        <is>
          <t>FSC Central Proactive EU Subcontractors</t>
        </is>
      </c>
      <c r="C1150" s="2" t="inlineStr">
        <is>
          <t>Other</t>
        </is>
      </c>
      <c r="D1150" s="2" t="inlineStr">
        <is>
          <t>L9.DNZ.810.20588</t>
        </is>
      </c>
      <c r="E1150" s="2" t="inlineStr">
        <is>
          <t>L9.DNZ.810.20588</t>
        </is>
      </c>
      <c r="M1150" s="2" t="inlineStr">
        <is>
          <t>Auckland City</t>
        </is>
      </c>
      <c r="N1150" s="2" t="inlineStr">
        <is>
          <t>New Zealand</t>
        </is>
      </c>
      <c r="P1150" s="2" t="inlineStr">
        <is>
          <t>Operational Control</t>
        </is>
      </c>
      <c r="Q1150" s="2" t="inlineStr">
        <is>
          <t>Operational Control</t>
        </is>
      </c>
      <c r="R1150" s="2" t="inlineStr">
        <is>
          <t>Energy and Utilities (EU)</t>
        </is>
      </c>
      <c r="S1150" s="2" t="inlineStr">
        <is>
          <t>Downer</t>
        </is>
      </c>
      <c r="T1150" s="2" t="n">
        <v>100</v>
      </c>
      <c r="W1150" s="2" t="inlineStr">
        <is>
          <t>Classification</t>
        </is>
      </c>
    </row>
    <row r="1151">
      <c r="A1151" s="2" t="inlineStr">
        <is>
          <t>Downer</t>
        </is>
      </c>
      <c r="B1151" s="2" t="inlineStr">
        <is>
          <t>FSC Southern Deployment EU Subcontractors</t>
        </is>
      </c>
      <c r="C1151" s="2" t="inlineStr">
        <is>
          <t>Other</t>
        </is>
      </c>
      <c r="D1151" s="2" t="inlineStr">
        <is>
          <t>L9.DNZ.810.20903</t>
        </is>
      </c>
      <c r="E1151" s="2" t="inlineStr">
        <is>
          <t>L9.DNZ.810.20903</t>
        </is>
      </c>
      <c r="M1151" s="2" t="inlineStr">
        <is>
          <t>Auckland City</t>
        </is>
      </c>
      <c r="N1151" s="2" t="inlineStr">
        <is>
          <t>New Zealand</t>
        </is>
      </c>
      <c r="P1151" s="2" t="inlineStr">
        <is>
          <t>Operational Control</t>
        </is>
      </c>
      <c r="Q1151" s="2" t="inlineStr">
        <is>
          <t>Operational Control</t>
        </is>
      </c>
      <c r="R1151" s="2" t="inlineStr">
        <is>
          <t>Energy and Utilities (EU)</t>
        </is>
      </c>
      <c r="S1151" s="2" t="inlineStr">
        <is>
          <t>Downer</t>
        </is>
      </c>
      <c r="T1151" s="2" t="n">
        <v>100</v>
      </c>
      <c r="W1151" s="2" t="inlineStr">
        <is>
          <t>Classification</t>
        </is>
      </c>
    </row>
    <row r="1152">
      <c r="A1152" s="2" t="inlineStr">
        <is>
          <t>Downer</t>
        </is>
      </c>
      <c r="B1152" s="2" t="inlineStr">
        <is>
          <t>FSC Wellington Deployment EU Subcontractors</t>
        </is>
      </c>
      <c r="C1152" s="2" t="inlineStr">
        <is>
          <t>Other</t>
        </is>
      </c>
      <c r="D1152" s="2" t="inlineStr">
        <is>
          <t>L9.DNZ.810.20879</t>
        </is>
      </c>
      <c r="E1152" s="2" t="inlineStr">
        <is>
          <t>L9.DNZ.810.20879</t>
        </is>
      </c>
      <c r="M1152" s="2" t="inlineStr">
        <is>
          <t>Auckland City</t>
        </is>
      </c>
      <c r="N1152" s="2" t="inlineStr">
        <is>
          <t>New Zealand</t>
        </is>
      </c>
      <c r="P1152" s="2" t="inlineStr">
        <is>
          <t>Operational Control</t>
        </is>
      </c>
      <c r="Q1152" s="2" t="inlineStr">
        <is>
          <t>Operational Control</t>
        </is>
      </c>
      <c r="R1152" s="2" t="inlineStr">
        <is>
          <t>Energy and Utilities (EU)</t>
        </is>
      </c>
      <c r="S1152" s="2" t="inlineStr">
        <is>
          <t>Downer</t>
        </is>
      </c>
      <c r="T1152" s="2" t="n">
        <v>100</v>
      </c>
      <c r="W1152" s="2" t="inlineStr">
        <is>
          <t>Classification</t>
        </is>
      </c>
    </row>
    <row r="1153">
      <c r="A1153" s="2" t="inlineStr">
        <is>
          <t>Downer</t>
        </is>
      </c>
      <c r="B1153" s="2" t="inlineStr">
        <is>
          <t>FSNI HEAD OFFICE</t>
        </is>
      </c>
      <c r="C1153" s="2" t="inlineStr">
        <is>
          <t>Other</t>
        </is>
      </c>
      <c r="D1153" s="2" t="inlineStr">
        <is>
          <t>L9.DNZ.HA0385</t>
        </is>
      </c>
      <c r="E1153" s="2" t="inlineStr">
        <is>
          <t>JP_HA0385</t>
        </is>
      </c>
      <c r="F1153" s="2" t="inlineStr">
        <is>
          <t>JP_HA0385</t>
        </is>
      </c>
      <c r="M1153" s="2" t="inlineStr">
        <is>
          <t>Wellington</t>
        </is>
      </c>
      <c r="N1153" s="2" t="inlineStr">
        <is>
          <t>New Zealand</t>
        </is>
      </c>
      <c r="P1153" s="2" t="inlineStr">
        <is>
          <t>Operational Control</t>
        </is>
      </c>
      <c r="Q1153" s="2" t="inlineStr">
        <is>
          <t>Operational Control</t>
        </is>
      </c>
      <c r="R1153" s="2" t="inlineStr">
        <is>
          <t>Transport &amp; Infrastructure (T&amp;I)</t>
        </is>
      </c>
      <c r="S1153" s="2" t="inlineStr">
        <is>
          <t>Downer</t>
        </is>
      </c>
      <c r="T1153" s="2" t="n">
        <v>100</v>
      </c>
      <c r="W1153" s="2" t="inlineStr">
        <is>
          <t>Classification</t>
        </is>
      </c>
    </row>
    <row r="1154">
      <c r="A1154" s="2" t="inlineStr">
        <is>
          <t>Downer</t>
        </is>
      </c>
      <c r="B1154" s="2" t="inlineStr">
        <is>
          <t>FTTC - Construction EU Subcontractors</t>
        </is>
      </c>
      <c r="C1154" s="2" t="inlineStr">
        <is>
          <t>Other</t>
        </is>
      </c>
      <c r="D1154" s="2" t="inlineStr">
        <is>
          <t>L9.EMS.410.15677</t>
        </is>
      </c>
      <c r="E1154" s="2" t="inlineStr">
        <is>
          <t>L9.EMS.410.15677</t>
        </is>
      </c>
      <c r="M1154" s="2" t="inlineStr">
        <is>
          <t>North Ryde</t>
        </is>
      </c>
      <c r="N1154" s="2" t="inlineStr">
        <is>
          <t>Australia</t>
        </is>
      </c>
      <c r="P1154" s="2" t="inlineStr">
        <is>
          <t>Operational Control</t>
        </is>
      </c>
      <c r="Q1154" s="2" t="inlineStr">
        <is>
          <t>Operational Control</t>
        </is>
      </c>
      <c r="R1154" s="2" t="inlineStr">
        <is>
          <t>Energy and Utilities (EU)</t>
        </is>
      </c>
      <c r="S1154" s="2" t="inlineStr">
        <is>
          <t>Downer</t>
        </is>
      </c>
      <c r="T1154" s="2" t="n">
        <v>100</v>
      </c>
      <c r="W1154" s="2" t="inlineStr">
        <is>
          <t>Classification</t>
        </is>
      </c>
    </row>
    <row r="1155">
      <c r="A1155" s="2" t="inlineStr">
        <is>
          <t>Downer</t>
        </is>
      </c>
      <c r="B1155" s="2" t="inlineStr">
        <is>
          <t>Fuel Cards - ADS-3197 - Asset &amp; Development Servic</t>
        </is>
      </c>
      <c r="C1155" s="2" t="inlineStr">
        <is>
          <t>Fleet Fuel</t>
        </is>
      </c>
      <c r="D1155" s="2" t="inlineStr">
        <is>
          <t>L9.J.300005</t>
        </is>
      </c>
      <c r="E1155" s="2" t="inlineStr">
        <is>
          <t>FCF3197</t>
        </is>
      </c>
      <c r="G1155" s="2" t="inlineStr">
        <is>
          <t>OMS fuel data-Australia</t>
        </is>
      </c>
      <c r="M1155" s="2" t="inlineStr">
        <is>
          <t>Western Australia</t>
        </is>
      </c>
      <c r="N1155" s="2" t="inlineStr">
        <is>
          <t>Australia</t>
        </is>
      </c>
      <c r="P1155" s="2" t="inlineStr">
        <is>
          <t>Operational Control</t>
        </is>
      </c>
      <c r="Q1155" s="2" t="inlineStr">
        <is>
          <t>Operational Control</t>
        </is>
      </c>
      <c r="R1155" s="2" t="inlineStr">
        <is>
          <t>Asset &amp; Development Services (Baseline)</t>
        </is>
      </c>
      <c r="S1155" s="2" t="inlineStr">
        <is>
          <t>Downer</t>
        </is>
      </c>
      <c r="T1155" s="2" t="n">
        <v>100</v>
      </c>
      <c r="V1155" s="11" t="n">
        <v>45107</v>
      </c>
      <c r="W1155" s="2" t="inlineStr">
        <is>
          <t>Classification</t>
        </is>
      </c>
      <c r="Z1155" s="2" t="n">
        <v>310</v>
      </c>
    </row>
    <row r="1156">
      <c r="A1156" s="2" t="inlineStr">
        <is>
          <t>Downer</t>
        </is>
      </c>
      <c r="B1156" s="2" t="inlineStr">
        <is>
          <t>Fuel Cards - COR-101 - CEO office</t>
        </is>
      </c>
      <c r="C1156" s="2" t="inlineStr">
        <is>
          <t>Fleet Fuel</t>
        </is>
      </c>
      <c r="D1156" s="2" t="inlineStr">
        <is>
          <t>L9.J.100202</t>
        </is>
      </c>
      <c r="E1156" s="2" t="inlineStr">
        <is>
          <t>FCC101</t>
        </is>
      </c>
      <c r="M1156" s="2" t="inlineStr">
        <is>
          <t>New South Wales</t>
        </is>
      </c>
      <c r="N1156" s="2" t="inlineStr">
        <is>
          <t>Australia</t>
        </is>
      </c>
      <c r="P1156" s="2" t="inlineStr">
        <is>
          <t>Operational Control</t>
        </is>
      </c>
      <c r="Q1156" s="2" t="inlineStr">
        <is>
          <t>Operational Control</t>
        </is>
      </c>
      <c r="R1156" s="2" t="inlineStr">
        <is>
          <t>Corporate</t>
        </is>
      </c>
      <c r="S1156" s="2" t="inlineStr">
        <is>
          <t>Downer</t>
        </is>
      </c>
      <c r="T1156" s="2" t="n">
        <v>100</v>
      </c>
      <c r="W1156" s="2" t="inlineStr">
        <is>
          <t>Classification</t>
        </is>
      </c>
    </row>
    <row r="1157">
      <c r="A1157" s="2" t="inlineStr">
        <is>
          <t>Downer</t>
        </is>
      </c>
      <c r="B1157" s="2" t="inlineStr">
        <is>
          <t>Fuel Cards - COR-101 - Corporate HO</t>
        </is>
      </c>
      <c r="C1157" s="2" t="inlineStr">
        <is>
          <t>Fleet Fuel</t>
        </is>
      </c>
      <c r="D1157" s="2" t="inlineStr">
        <is>
          <t>L9.WAU.003010</t>
        </is>
      </c>
      <c r="E1157" s="2" t="inlineStr">
        <is>
          <t>L9.WAU.003010</t>
        </is>
      </c>
      <c r="M1157" s="2" t="inlineStr">
        <is>
          <t>North Ryde</t>
        </is>
      </c>
      <c r="N1157" s="2" t="inlineStr">
        <is>
          <t>Australia</t>
        </is>
      </c>
      <c r="P1157" s="2" t="inlineStr">
        <is>
          <t>Operational Control</t>
        </is>
      </c>
      <c r="Q1157" s="2" t="inlineStr">
        <is>
          <t>Operational Control</t>
        </is>
      </c>
      <c r="R1157" s="2" t="inlineStr">
        <is>
          <t>Corporate</t>
        </is>
      </c>
      <c r="S1157" s="2" t="inlineStr">
        <is>
          <t>Downer</t>
        </is>
      </c>
      <c r="T1157" s="2" t="n">
        <v>100</v>
      </c>
      <c r="W1157" s="2" t="inlineStr">
        <is>
          <t>Classification</t>
        </is>
      </c>
    </row>
    <row r="1158">
      <c r="A1158" s="2" t="inlineStr">
        <is>
          <t>Downer</t>
        </is>
      </c>
      <c r="B1158" s="2" t="inlineStr">
        <is>
          <t>Fuel Cards - COR-103 - Group Services</t>
        </is>
      </c>
      <c r="C1158" s="2" t="inlineStr">
        <is>
          <t>Fleet Fuel</t>
        </is>
      </c>
      <c r="D1158" s="2" t="inlineStr">
        <is>
          <t>L9.J.109102</t>
        </is>
      </c>
      <c r="E1158" s="2" t="inlineStr">
        <is>
          <t>L9.J.109102</t>
        </is>
      </c>
      <c r="M1158" s="2" t="inlineStr">
        <is>
          <t>North Ryde</t>
        </is>
      </c>
      <c r="N1158" s="2" t="inlineStr">
        <is>
          <t>Australia</t>
        </is>
      </c>
      <c r="P1158" s="2" t="inlineStr">
        <is>
          <t>Operational Control</t>
        </is>
      </c>
      <c r="Q1158" s="2" t="inlineStr">
        <is>
          <t>Operational Control</t>
        </is>
      </c>
      <c r="R1158" s="2" t="inlineStr">
        <is>
          <t>Corporate</t>
        </is>
      </c>
      <c r="S1158" s="2" t="inlineStr">
        <is>
          <t>Downer</t>
        </is>
      </c>
      <c r="T1158" s="2" t="n">
        <v>100</v>
      </c>
      <c r="W1158" s="2" t="inlineStr">
        <is>
          <t>Classification</t>
        </is>
      </c>
    </row>
    <row r="1159">
      <c r="A1159" s="2" t="inlineStr">
        <is>
          <t>Downer</t>
        </is>
      </c>
      <c r="B1159" s="2" t="inlineStr">
        <is>
          <t>Fuel Cards - COR-354 - CFO Office</t>
        </is>
      </c>
      <c r="C1159" s="2" t="inlineStr">
        <is>
          <t>Fleet Fuel</t>
        </is>
      </c>
      <c r="D1159" s="2" t="inlineStr">
        <is>
          <t>L9.J.362990</t>
        </is>
      </c>
      <c r="E1159" s="2" t="inlineStr">
        <is>
          <t>FCC354</t>
        </is>
      </c>
      <c r="G1159" s="2" t="inlineStr">
        <is>
          <t>Will need to move to 354 when group is available.</t>
        </is>
      </c>
      <c r="M1159" s="2" t="inlineStr">
        <is>
          <t>New South Wales</t>
        </is>
      </c>
      <c r="N1159" s="2" t="inlineStr">
        <is>
          <t>Australia</t>
        </is>
      </c>
      <c r="P1159" s="2" t="inlineStr">
        <is>
          <t>Operational Control</t>
        </is>
      </c>
      <c r="Q1159" s="2" t="inlineStr">
        <is>
          <t>Operational Control</t>
        </is>
      </c>
      <c r="R1159" s="2" t="inlineStr">
        <is>
          <t>Corporate</t>
        </is>
      </c>
      <c r="S1159" s="2" t="inlineStr">
        <is>
          <t>Downer</t>
        </is>
      </c>
      <c r="T1159" s="2" t="n">
        <v>100</v>
      </c>
      <c r="W1159" s="2" t="inlineStr">
        <is>
          <t>Classification</t>
        </is>
      </c>
    </row>
    <row r="1160">
      <c r="A1160" s="2" t="inlineStr">
        <is>
          <t>Downer</t>
        </is>
      </c>
      <c r="B1160" s="2" t="inlineStr">
        <is>
          <t>Fuel Cards - DNZ-NZH-Historical</t>
        </is>
      </c>
      <c r="C1160" s="2" t="inlineStr">
        <is>
          <t>Fleet Fuel</t>
        </is>
      </c>
      <c r="D1160" s="2" t="inlineStr">
        <is>
          <t>L9.DNZJ.1220</t>
        </is>
      </c>
      <c r="E1160" s="2" t="inlineStr">
        <is>
          <t>L9.DNZJ.1220</t>
        </is>
      </c>
      <c r="M1160" s="2" t="inlineStr">
        <is>
          <t>North Ryde</t>
        </is>
      </c>
      <c r="N1160" s="2" t="inlineStr">
        <is>
          <t>Australia</t>
        </is>
      </c>
      <c r="P1160" s="2" t="inlineStr">
        <is>
          <t>Operational Control</t>
        </is>
      </c>
      <c r="Q1160" s="2" t="inlineStr">
        <is>
          <t>Operational Control</t>
        </is>
      </c>
      <c r="R1160" s="2" t="inlineStr">
        <is>
          <t>Corporate</t>
        </is>
      </c>
      <c r="S1160" s="2" t="inlineStr">
        <is>
          <t>Downer</t>
        </is>
      </c>
      <c r="T1160" s="2" t="n">
        <v>100</v>
      </c>
      <c r="W1160" s="2" t="inlineStr">
        <is>
          <t>Classification</t>
        </is>
      </c>
    </row>
    <row r="1161">
      <c r="A1161" s="2" t="inlineStr">
        <is>
          <t>Downer</t>
        </is>
      </c>
      <c r="B1161" s="2" t="inlineStr">
        <is>
          <t>Fuel Cards - DOW-JVS-Joint Ventures</t>
        </is>
      </c>
      <c r="C1161" s="2" t="inlineStr">
        <is>
          <t>Fleet Fuel</t>
        </is>
      </c>
      <c r="D1161" s="2" t="inlineStr">
        <is>
          <t>L9.WAU.001501</t>
        </is>
      </c>
      <c r="E1161" s="2" t="inlineStr">
        <is>
          <t>L9.WAU.001501</t>
        </is>
      </c>
      <c r="M1161" s="2" t="inlineStr">
        <is>
          <t>North Ryde</t>
        </is>
      </c>
      <c r="N1161" s="2" t="inlineStr">
        <is>
          <t>Australia</t>
        </is>
      </c>
      <c r="P1161" s="2" t="inlineStr">
        <is>
          <t>Operational Control</t>
        </is>
      </c>
      <c r="Q1161" s="2" t="inlineStr">
        <is>
          <t>Operational Control</t>
        </is>
      </c>
      <c r="R1161" s="2" t="inlineStr">
        <is>
          <t>Joint Ventures</t>
        </is>
      </c>
      <c r="S1161" s="2" t="inlineStr">
        <is>
          <t>Downer</t>
        </is>
      </c>
      <c r="T1161" s="2" t="n">
        <v>100</v>
      </c>
      <c r="W1161" s="2" t="inlineStr">
        <is>
          <t>Classification</t>
        </is>
      </c>
    </row>
    <row r="1162">
      <c r="A1162" s="2" t="inlineStr">
        <is>
          <t>Downer</t>
        </is>
      </c>
      <c r="B1162" s="2" t="inlineStr">
        <is>
          <t>Fuel Cards - DT-201 - DT Infrastructure</t>
        </is>
      </c>
      <c r="C1162" s="2" t="inlineStr">
        <is>
          <t>Fleet Fuel</t>
        </is>
      </c>
      <c r="D1162" s="2" t="inlineStr">
        <is>
          <t>L9.J.201</t>
        </is>
      </c>
      <c r="E1162" s="2" t="inlineStr">
        <is>
          <t>L9.J.201</t>
        </is>
      </c>
      <c r="M1162" s="2" t="inlineStr">
        <is>
          <t>North Ryde</t>
        </is>
      </c>
      <c r="N1162" s="2" t="inlineStr">
        <is>
          <t>Australia</t>
        </is>
      </c>
      <c r="P1162" s="2" t="inlineStr">
        <is>
          <t>Operational Control</t>
        </is>
      </c>
      <c r="Q1162" s="2" t="inlineStr">
        <is>
          <t>Operational Control</t>
        </is>
      </c>
      <c r="R1162" s="2" t="inlineStr">
        <is>
          <t>DT Infrastructure (pre Sept 23 divestment)</t>
        </is>
      </c>
      <c r="S1162" s="2" t="inlineStr">
        <is>
          <t>Downer</t>
        </is>
      </c>
      <c r="T1162" s="2" t="n">
        <v>100</v>
      </c>
      <c r="W1162" s="2" t="inlineStr">
        <is>
          <t>Classification</t>
        </is>
      </c>
    </row>
    <row r="1163">
      <c r="A1163" s="2" t="inlineStr">
        <is>
          <t>Downer</t>
        </is>
      </c>
      <c r="B1163" s="2" t="inlineStr">
        <is>
          <t>Fuel Cards - EU-242 - Utilities Legacy &amp; Other</t>
        </is>
      </c>
      <c r="C1163" s="2" t="inlineStr">
        <is>
          <t>Fleet Fuel</t>
        </is>
      </c>
      <c r="D1163" s="2" t="inlineStr">
        <is>
          <t>L9.J.230102</t>
        </is>
      </c>
      <c r="E1163" s="2" t="inlineStr">
        <is>
          <t>L9.J.230102</t>
        </is>
      </c>
      <c r="M1163" s="2" t="inlineStr">
        <is>
          <t>North Ryde</t>
        </is>
      </c>
      <c r="N1163" s="2" t="inlineStr">
        <is>
          <t>Australia</t>
        </is>
      </c>
      <c r="P1163" s="2" t="inlineStr">
        <is>
          <t>Operational Control</t>
        </is>
      </c>
      <c r="Q1163" s="2" t="inlineStr">
        <is>
          <t>Operational Control</t>
        </is>
      </c>
      <c r="R1163" s="2" t="inlineStr">
        <is>
          <t>Energy and Utilities (EU)</t>
        </is>
      </c>
      <c r="S1163" s="2" t="inlineStr">
        <is>
          <t>Downer</t>
        </is>
      </c>
      <c r="T1163" s="2" t="n">
        <v>100</v>
      </c>
      <c r="W1163" s="2" t="inlineStr">
        <is>
          <t>Classification</t>
        </is>
      </c>
    </row>
    <row r="1164">
      <c r="A1164" s="2" t="inlineStr">
        <is>
          <t>Downer</t>
        </is>
      </c>
      <c r="B1164" s="2" t="inlineStr">
        <is>
          <t>Fuel Cards - EU-243 - Utilities Management</t>
        </is>
      </c>
      <c r="C1164" s="2" t="inlineStr">
        <is>
          <t>Fleet Fuel</t>
        </is>
      </c>
      <c r="D1164" s="2" t="inlineStr">
        <is>
          <t>L9.J.241101</t>
        </is>
      </c>
      <c r="E1164" s="2" t="inlineStr">
        <is>
          <t>L9.J.241101</t>
        </is>
      </c>
      <c r="M1164" s="2" t="inlineStr">
        <is>
          <t>North Ryde</t>
        </is>
      </c>
      <c r="N1164" s="2" t="inlineStr">
        <is>
          <t>Australia</t>
        </is>
      </c>
      <c r="P1164" s="2" t="inlineStr">
        <is>
          <t>Operational Control</t>
        </is>
      </c>
      <c r="Q1164" s="2" t="inlineStr">
        <is>
          <t>Operational Control</t>
        </is>
      </c>
      <c r="R1164" s="2" t="inlineStr">
        <is>
          <t>Energy and Utilities (EU)</t>
        </is>
      </c>
      <c r="S1164" s="2" t="inlineStr">
        <is>
          <t>Downer</t>
        </is>
      </c>
      <c r="T1164" s="2" t="n">
        <v>100</v>
      </c>
      <c r="W1164" s="2" t="inlineStr">
        <is>
          <t>Classification</t>
        </is>
      </c>
    </row>
    <row r="1165">
      <c r="A1165" s="2" t="inlineStr">
        <is>
          <t>Downer</t>
        </is>
      </c>
      <c r="B1165" s="2" t="inlineStr">
        <is>
          <t>Fuel Cards - EU-245 - Technology &amp; Comms Services</t>
        </is>
      </c>
      <c r="C1165" s="2" t="inlineStr">
        <is>
          <t>Fleet Fuel</t>
        </is>
      </c>
      <c r="D1165" s="2" t="inlineStr">
        <is>
          <t>L9.J.23440001</t>
        </is>
      </c>
      <c r="E1165" s="2" t="inlineStr">
        <is>
          <t>L9.J.23440001</t>
        </is>
      </c>
      <c r="M1165" s="2" t="inlineStr">
        <is>
          <t>North Ryde</t>
        </is>
      </c>
      <c r="N1165" s="2" t="inlineStr">
        <is>
          <t>Australia</t>
        </is>
      </c>
      <c r="P1165" s="2" t="inlineStr">
        <is>
          <t>Operational Control</t>
        </is>
      </c>
      <c r="Q1165" s="2" t="inlineStr">
        <is>
          <t>Operational Control</t>
        </is>
      </c>
      <c r="R1165" s="2" t="inlineStr">
        <is>
          <t>Energy and Utilities (EU)</t>
        </is>
      </c>
      <c r="S1165" s="2" t="inlineStr">
        <is>
          <t>Downer</t>
        </is>
      </c>
      <c r="T1165" s="2" t="n">
        <v>100</v>
      </c>
      <c r="W1165" s="2" t="inlineStr">
        <is>
          <t>Classification</t>
        </is>
      </c>
    </row>
    <row r="1166">
      <c r="A1166" s="2" t="inlineStr">
        <is>
          <t>Downer</t>
        </is>
      </c>
      <c r="B1166" s="2" t="inlineStr">
        <is>
          <t>Fuel Cards - EU-246 - Energy Networks</t>
        </is>
      </c>
      <c r="C1166" s="2" t="inlineStr">
        <is>
          <t>Fleet Fuel</t>
        </is>
      </c>
      <c r="D1166" s="2" t="inlineStr">
        <is>
          <t>L9.J.22910013</t>
        </is>
      </c>
      <c r="E1166" s="2" t="inlineStr">
        <is>
          <t>L9.J.22910013</t>
        </is>
      </c>
      <c r="M1166" s="2" t="inlineStr">
        <is>
          <t>North Ryde</t>
        </is>
      </c>
      <c r="N1166" s="2" t="inlineStr">
        <is>
          <t>Australia</t>
        </is>
      </c>
      <c r="P1166" s="2" t="inlineStr">
        <is>
          <t>Operational Control</t>
        </is>
      </c>
      <c r="Q1166" s="2" t="inlineStr">
        <is>
          <t>Operational Control</t>
        </is>
      </c>
      <c r="R1166" s="2" t="inlineStr">
        <is>
          <t>Energy and Utilities (EU)</t>
        </is>
      </c>
      <c r="S1166" s="2" t="inlineStr">
        <is>
          <t>Downer</t>
        </is>
      </c>
      <c r="T1166" s="2" t="n">
        <v>100</v>
      </c>
      <c r="W1166" s="2" t="inlineStr">
        <is>
          <t>Classification</t>
        </is>
      </c>
    </row>
    <row r="1167">
      <c r="A1167" s="2" t="inlineStr">
        <is>
          <t>Downer</t>
        </is>
      </c>
      <c r="B1167" s="2" t="inlineStr">
        <is>
          <t>Fuel Cards - EU-252 - Strategy &amp; Growth</t>
        </is>
      </c>
      <c r="C1167" s="2" t="inlineStr">
        <is>
          <t>Fleet Fuel</t>
        </is>
      </c>
      <c r="D1167" s="2" t="inlineStr">
        <is>
          <t>L9.J.2411000407</t>
        </is>
      </c>
      <c r="E1167" s="2" t="inlineStr">
        <is>
          <t>L9.J.2411000407</t>
        </is>
      </c>
      <c r="M1167" s="2" t="inlineStr">
        <is>
          <t>North Ryde</t>
        </is>
      </c>
      <c r="N1167" s="2" t="inlineStr">
        <is>
          <t>Australia</t>
        </is>
      </c>
      <c r="P1167" s="2" t="inlineStr">
        <is>
          <t>Operational Control</t>
        </is>
      </c>
      <c r="Q1167" s="2" t="inlineStr">
        <is>
          <t>Operational Control</t>
        </is>
      </c>
      <c r="R1167" s="2" t="inlineStr">
        <is>
          <t>Energy and Utilities (EU)</t>
        </is>
      </c>
      <c r="S1167" s="2" t="inlineStr">
        <is>
          <t>Downer</t>
        </is>
      </c>
      <c r="T1167" s="2" t="n">
        <v>100</v>
      </c>
      <c r="W1167" s="2" t="inlineStr">
        <is>
          <t>Classification</t>
        </is>
      </c>
    </row>
    <row r="1168">
      <c r="A1168" s="2" t="inlineStr">
        <is>
          <t>Downer</t>
        </is>
      </c>
      <c r="B1168" s="2" t="inlineStr">
        <is>
          <t>Fuel Cards - EU-253 - Water Services</t>
        </is>
      </c>
      <c r="C1168" s="2" t="inlineStr">
        <is>
          <t>Fleet Fuel</t>
        </is>
      </c>
      <c r="D1168" s="2" t="inlineStr">
        <is>
          <t>L9.J.23020005</t>
        </is>
      </c>
      <c r="E1168" s="2" t="inlineStr">
        <is>
          <t>L9.J.23020005</t>
        </is>
      </c>
      <c r="M1168" s="2" t="inlineStr">
        <is>
          <t>North Ryde</t>
        </is>
      </c>
      <c r="N1168" s="2" t="inlineStr">
        <is>
          <t>Australia</t>
        </is>
      </c>
      <c r="P1168" s="2" t="inlineStr">
        <is>
          <t>Operational Control</t>
        </is>
      </c>
      <c r="Q1168" s="2" t="inlineStr">
        <is>
          <t>Operational Control</t>
        </is>
      </c>
      <c r="R1168" s="2" t="inlineStr">
        <is>
          <t>Energy and Utilities (EU)</t>
        </is>
      </c>
      <c r="S1168" s="2" t="inlineStr">
        <is>
          <t>Downer</t>
        </is>
      </c>
      <c r="T1168" s="2" t="n">
        <v>100</v>
      </c>
      <c r="W1168" s="2" t="inlineStr">
        <is>
          <t>Classification</t>
        </is>
      </c>
    </row>
    <row r="1169">
      <c r="A1169" s="2" t="inlineStr">
        <is>
          <t>Downer</t>
        </is>
      </c>
      <c r="B1169" s="2" t="inlineStr">
        <is>
          <t>Fuel Cards - EU-3195.121 - Utilities Power, Gas &amp; Comms</t>
        </is>
      </c>
      <c r="C1169" s="2" t="inlineStr">
        <is>
          <t>Fleet Fuel</t>
        </is>
      </c>
      <c r="D1169" s="2" t="inlineStr">
        <is>
          <t>L9.S.13000917</t>
        </is>
      </c>
      <c r="E1169" s="2" t="inlineStr">
        <is>
          <t>L9.S.13000917</t>
        </is>
      </c>
      <c r="M1169" s="2" t="inlineStr">
        <is>
          <t>North Ryde</t>
        </is>
      </c>
      <c r="N1169" s="2" t="inlineStr">
        <is>
          <t>Australia</t>
        </is>
      </c>
      <c r="P1169" s="2" t="inlineStr">
        <is>
          <t>Operational Control</t>
        </is>
      </c>
      <c r="Q1169" s="2" t="inlineStr">
        <is>
          <t>Operational Control</t>
        </is>
      </c>
      <c r="R1169" s="2" t="inlineStr">
        <is>
          <t>Energy and Utilities (EU)</t>
        </is>
      </c>
      <c r="S1169" s="2" t="inlineStr">
        <is>
          <t>Downer</t>
        </is>
      </c>
      <c r="T1169" s="2" t="n">
        <v>100</v>
      </c>
      <c r="W1169" s="2" t="inlineStr">
        <is>
          <t>Classification</t>
        </is>
      </c>
    </row>
    <row r="1170">
      <c r="A1170" s="2" t="inlineStr">
        <is>
          <t>Downer</t>
        </is>
      </c>
      <c r="B1170" s="2" t="inlineStr">
        <is>
          <t>Fuel Cards - EU-360 - Power Transmission &amp; Storage</t>
        </is>
      </c>
      <c r="C1170" s="2" t="inlineStr">
        <is>
          <t>Fleet Fuel</t>
        </is>
      </c>
      <c r="D1170" s="2" t="inlineStr">
        <is>
          <t>L9.J.371003</t>
        </is>
      </c>
      <c r="E1170" s="2" t="inlineStr">
        <is>
          <t>L9.J.371003</t>
        </is>
      </c>
      <c r="M1170" s="2" t="inlineStr">
        <is>
          <t>North Ryde</t>
        </is>
      </c>
      <c r="N1170" s="2" t="inlineStr">
        <is>
          <t>Australia</t>
        </is>
      </c>
      <c r="P1170" s="2" t="inlineStr">
        <is>
          <t>Operational Control</t>
        </is>
      </c>
      <c r="Q1170" s="2" t="inlineStr">
        <is>
          <t>Operational Control</t>
        </is>
      </c>
      <c r="R1170" s="2" t="inlineStr">
        <is>
          <t>Energy and Utilities (EU)</t>
        </is>
      </c>
      <c r="S1170" s="2" t="inlineStr">
        <is>
          <t>Downer</t>
        </is>
      </c>
      <c r="T1170" s="2" t="n">
        <v>100</v>
      </c>
      <c r="W1170" s="2" t="inlineStr">
        <is>
          <t>Classification</t>
        </is>
      </c>
    </row>
    <row r="1171">
      <c r="A1171" s="2" t="inlineStr">
        <is>
          <t>Downer</t>
        </is>
      </c>
      <c r="B1171" s="2" t="inlineStr">
        <is>
          <t>Fuel Cards - EU-362 - I&amp;PG - East</t>
        </is>
      </c>
      <c r="C1171" s="2" t="inlineStr">
        <is>
          <t>Fleet Fuel</t>
        </is>
      </c>
      <c r="D1171" s="2" t="inlineStr">
        <is>
          <t>L9.J.38210104</t>
        </is>
      </c>
      <c r="E1171" s="2" t="inlineStr">
        <is>
          <t>L9.J.38210104</t>
        </is>
      </c>
      <c r="G1171" s="2" t="inlineStr">
        <is>
          <t>Previously named: Fuel Cards - IE-362 - I&amp;E - East</t>
        </is>
      </c>
      <c r="M1171" s="2" t="inlineStr">
        <is>
          <t>North Ryde</t>
        </is>
      </c>
      <c r="N1171" s="2" t="inlineStr">
        <is>
          <t>Australia</t>
        </is>
      </c>
      <c r="P1171" s="2" t="inlineStr">
        <is>
          <t>Operational Control</t>
        </is>
      </c>
      <c r="Q1171" s="2" t="inlineStr">
        <is>
          <t>Operational Control</t>
        </is>
      </c>
      <c r="R1171" s="2" t="inlineStr">
        <is>
          <t>Energy and Utilities (EU)</t>
        </is>
      </c>
      <c r="S1171" s="2" t="inlineStr">
        <is>
          <t>Downer</t>
        </is>
      </c>
      <c r="T1171" s="2" t="n">
        <v>100</v>
      </c>
      <c r="W1171" s="2" t="inlineStr">
        <is>
          <t>Classification</t>
        </is>
      </c>
    </row>
    <row r="1172">
      <c r="A1172" s="2" t="inlineStr">
        <is>
          <t>Downer</t>
        </is>
      </c>
      <c r="B1172" s="2" t="inlineStr">
        <is>
          <t>Fuel Cards - EU-363 - Future Energy and Integrated Gas 01</t>
        </is>
      </c>
      <c r="C1172" s="2" t="inlineStr">
        <is>
          <t>Fleet Fuel</t>
        </is>
      </c>
      <c r="D1172" s="2" t="inlineStr">
        <is>
          <t>L9.J.24130117</t>
        </is>
      </c>
      <c r="E1172" s="2" t="inlineStr">
        <is>
          <t>L9.J.24130117</t>
        </is>
      </c>
      <c r="G1172" s="2" t="inlineStr">
        <is>
          <t>Previously named: Fuel Cards - IE-363 - Future Energy Solutions</t>
        </is>
      </c>
      <c r="M1172" s="2" t="inlineStr">
        <is>
          <t>North Ryde</t>
        </is>
      </c>
      <c r="N1172" s="2" t="inlineStr">
        <is>
          <t>Australia</t>
        </is>
      </c>
      <c r="P1172" s="2" t="inlineStr">
        <is>
          <t>Operational Control</t>
        </is>
      </c>
      <c r="Q1172" s="2" t="inlineStr">
        <is>
          <t>Operational Control</t>
        </is>
      </c>
      <c r="R1172" s="2" t="inlineStr">
        <is>
          <t>Energy and Utilities (EU)</t>
        </is>
      </c>
      <c r="S1172" s="2" t="inlineStr">
        <is>
          <t>Downer</t>
        </is>
      </c>
      <c r="T1172" s="2" t="n">
        <v>100</v>
      </c>
      <c r="W1172" s="2" t="inlineStr">
        <is>
          <t>Classification</t>
        </is>
      </c>
    </row>
    <row r="1173">
      <c r="A1173" s="2" t="inlineStr">
        <is>
          <t>Downer</t>
        </is>
      </c>
      <c r="B1173" s="2" t="inlineStr">
        <is>
          <t>Fuel Cards - EU-363 - Future Energy and Integrated Gas 02</t>
        </is>
      </c>
      <c r="C1173" s="2" t="inlineStr">
        <is>
          <t>Fleet Fuel</t>
        </is>
      </c>
      <c r="D1173" s="2" t="inlineStr">
        <is>
          <t>L9.J.38250003</t>
        </is>
      </c>
      <c r="E1173" s="2" t="inlineStr">
        <is>
          <t>L9.J.38250003</t>
        </is>
      </c>
      <c r="G1173" s="2" t="inlineStr">
        <is>
          <t>Previously named: Fuel Cards - IE-364 - Integrated Gas</t>
        </is>
      </c>
      <c r="M1173" s="2" t="inlineStr">
        <is>
          <t>North Ryde</t>
        </is>
      </c>
      <c r="N1173" s="2" t="inlineStr">
        <is>
          <t>Australia</t>
        </is>
      </c>
      <c r="P1173" s="2" t="inlineStr">
        <is>
          <t>Operational Control</t>
        </is>
      </c>
      <c r="Q1173" s="2" t="inlineStr">
        <is>
          <t>Operational Control</t>
        </is>
      </c>
      <c r="R1173" s="2" t="inlineStr">
        <is>
          <t>Energy and Utilities (EU)</t>
        </is>
      </c>
      <c r="S1173" s="2" t="inlineStr">
        <is>
          <t>Downer</t>
        </is>
      </c>
      <c r="T1173" s="2" t="n">
        <v>100</v>
      </c>
      <c r="W1173" s="2" t="inlineStr">
        <is>
          <t>Classification</t>
        </is>
      </c>
    </row>
    <row r="1174">
      <c r="A1174" s="2" t="inlineStr">
        <is>
          <t>Downer</t>
        </is>
      </c>
      <c r="B1174" s="2" t="inlineStr">
        <is>
          <t>Fuel Cards - EU-365 - I&amp;PG - West 01</t>
        </is>
      </c>
      <c r="C1174" s="2" t="inlineStr">
        <is>
          <t>Fleet Fuel</t>
        </is>
      </c>
      <c r="D1174" s="2" t="inlineStr">
        <is>
          <t>L9.J.38130005</t>
        </is>
      </c>
      <c r="E1174" s="2" t="inlineStr">
        <is>
          <t>L9.J.38130005</t>
        </is>
      </c>
      <c r="G1174" s="2" t="inlineStr">
        <is>
          <t>Previously named: Fuel Cards - IE-365 - I&amp;E - West</t>
        </is>
      </c>
      <c r="M1174" s="2" t="inlineStr">
        <is>
          <t>North Ryde</t>
        </is>
      </c>
      <c r="N1174" s="2" t="inlineStr">
        <is>
          <t>Australia</t>
        </is>
      </c>
      <c r="P1174" s="2" t="inlineStr">
        <is>
          <t>Operational Control</t>
        </is>
      </c>
      <c r="Q1174" s="2" t="inlineStr">
        <is>
          <t>Operational Control</t>
        </is>
      </c>
      <c r="R1174" s="2" t="inlineStr">
        <is>
          <t>Energy and Utilities (EU)</t>
        </is>
      </c>
      <c r="S1174" s="2" t="inlineStr">
        <is>
          <t>Downer</t>
        </is>
      </c>
      <c r="T1174" s="2" t="n">
        <v>100</v>
      </c>
      <c r="W1174" s="2" t="inlineStr">
        <is>
          <t>Classification</t>
        </is>
      </c>
    </row>
    <row r="1175">
      <c r="A1175" s="2" t="inlineStr">
        <is>
          <t>Downer</t>
        </is>
      </c>
      <c r="B1175" s="2" t="inlineStr">
        <is>
          <t>Fuel Cards - EU-365 - I&amp;PG - West 02</t>
        </is>
      </c>
      <c r="C1175" s="2" t="inlineStr">
        <is>
          <t>Fleet Fuel</t>
        </is>
      </c>
      <c r="D1175" s="2" t="inlineStr">
        <is>
          <t>L9.J.38225116</t>
        </is>
      </c>
      <c r="E1175" s="2" t="inlineStr">
        <is>
          <t>FCF365</t>
        </is>
      </c>
      <c r="G1175" s="2" t="inlineStr">
        <is>
          <t>Previously named: Fuel Cards - IE-365 - Industrial &amp; Marine</t>
        </is>
      </c>
      <c r="M1175" s="2" t="inlineStr">
        <is>
          <t>Western Australia</t>
        </is>
      </c>
      <c r="N1175" s="2" t="inlineStr">
        <is>
          <t>Australia</t>
        </is>
      </c>
      <c r="P1175" s="2" t="inlineStr">
        <is>
          <t>Operational Control</t>
        </is>
      </c>
      <c r="Q1175" s="2" t="inlineStr">
        <is>
          <t>Operational Control</t>
        </is>
      </c>
      <c r="R1175" s="2" t="inlineStr">
        <is>
          <t>Energy and Utilities (EU)</t>
        </is>
      </c>
      <c r="S1175" s="2" t="inlineStr">
        <is>
          <t>Downer</t>
        </is>
      </c>
      <c r="T1175" s="2" t="n">
        <v>100</v>
      </c>
      <c r="W1175" s="2" t="inlineStr">
        <is>
          <t>Classification</t>
        </is>
      </c>
    </row>
    <row r="1176">
      <c r="A1176" s="2" t="inlineStr">
        <is>
          <t>Downer</t>
        </is>
      </c>
      <c r="B1176" s="2" t="inlineStr">
        <is>
          <t>Fuel Cards - EU-366 - I&amp;E - Support 01</t>
        </is>
      </c>
      <c r="C1176" s="2" t="inlineStr">
        <is>
          <t>Fleet Fuel</t>
        </is>
      </c>
      <c r="D1176" s="2" t="inlineStr">
        <is>
          <t>L9.J.381160</t>
        </is>
      </c>
      <c r="E1176" s="2" t="inlineStr">
        <is>
          <t>FCF363</t>
        </is>
      </c>
      <c r="G1176" s="2" t="inlineStr">
        <is>
          <t>Previously named: Fuel Cards - IE-363 - Power &amp; Energy</t>
        </is>
      </c>
      <c r="M1176" s="2" t="inlineStr">
        <is>
          <t>Western Australia</t>
        </is>
      </c>
      <c r="N1176" s="2" t="inlineStr">
        <is>
          <t>Australia</t>
        </is>
      </c>
      <c r="P1176" s="2" t="inlineStr">
        <is>
          <t>Operational Control</t>
        </is>
      </c>
      <c r="Q1176" s="2" t="inlineStr">
        <is>
          <t>Operational Control</t>
        </is>
      </c>
      <c r="R1176" s="2" t="inlineStr">
        <is>
          <t>Energy and Utilities (EU)</t>
        </is>
      </c>
      <c r="S1176" s="2" t="inlineStr">
        <is>
          <t>Downer</t>
        </is>
      </c>
      <c r="T1176" s="2" t="n">
        <v>100</v>
      </c>
      <c r="W1176" s="2" t="inlineStr">
        <is>
          <t>Classification</t>
        </is>
      </c>
    </row>
    <row r="1177">
      <c r="A1177" s="2" t="inlineStr">
        <is>
          <t>Downer</t>
        </is>
      </c>
      <c r="B1177" s="2" t="inlineStr">
        <is>
          <t>Fuel Cards - EU-366 - I&amp;E - Support 02</t>
        </is>
      </c>
      <c r="C1177" s="2" t="inlineStr">
        <is>
          <t>Fleet Fuel</t>
        </is>
      </c>
      <c r="D1177" s="2" t="inlineStr">
        <is>
          <t>L9.J.382010</t>
        </is>
      </c>
      <c r="E1177" s="2" t="inlineStr">
        <is>
          <t>FCF366</t>
        </is>
      </c>
      <c r="G1177" s="2" t="inlineStr">
        <is>
          <t>Previously named: Fuel Cards - IE-366 - AS Business Support</t>
        </is>
      </c>
      <c r="M1177" s="2" t="inlineStr">
        <is>
          <t>Western Australia</t>
        </is>
      </c>
      <c r="N1177" s="2" t="inlineStr">
        <is>
          <t>Australia</t>
        </is>
      </c>
      <c r="P1177" s="2" t="inlineStr">
        <is>
          <t>Operational Control</t>
        </is>
      </c>
      <c r="Q1177" s="2" t="inlineStr">
        <is>
          <t>Operational Control</t>
        </is>
      </c>
      <c r="R1177" s="2" t="inlineStr">
        <is>
          <t>Energy and Utilities (EU)</t>
        </is>
      </c>
      <c r="S1177" s="2" t="inlineStr">
        <is>
          <t>Downer</t>
        </is>
      </c>
      <c r="T1177" s="2" t="n">
        <v>100</v>
      </c>
      <c r="W1177" s="2" t="inlineStr">
        <is>
          <t>Classification</t>
        </is>
      </c>
    </row>
    <row r="1178">
      <c r="A1178" s="2" t="inlineStr">
        <is>
          <t>Downer</t>
        </is>
      </c>
      <c r="B1178" s="2" t="inlineStr">
        <is>
          <t>Fuel Cards - EU-366 - I&amp;E - Support 03</t>
        </is>
      </c>
      <c r="C1178" s="2" t="inlineStr">
        <is>
          <t>Fleet Fuel</t>
        </is>
      </c>
      <c r="D1178" s="2" t="inlineStr">
        <is>
          <t>L9.J.382157</t>
        </is>
      </c>
      <c r="E1178" s="2" t="inlineStr">
        <is>
          <t>L9.J.382157</t>
        </is>
      </c>
      <c r="G1178" s="2" t="inlineStr">
        <is>
          <t>Previously named: Fuel Cards - IE-366 - I&amp;E - Support</t>
        </is>
      </c>
      <c r="M1178" s="2" t="inlineStr">
        <is>
          <t>North Ryde</t>
        </is>
      </c>
      <c r="N1178" s="2" t="inlineStr">
        <is>
          <t>Australia</t>
        </is>
      </c>
      <c r="P1178" s="2" t="inlineStr">
        <is>
          <t>Operational Control</t>
        </is>
      </c>
      <c r="Q1178" s="2" t="inlineStr">
        <is>
          <t>Operational Control</t>
        </is>
      </c>
      <c r="R1178" s="2" t="inlineStr">
        <is>
          <t>Energy and Utilities (EU)</t>
        </is>
      </c>
      <c r="S1178" s="2" t="inlineStr">
        <is>
          <t>Downer</t>
        </is>
      </c>
      <c r="T1178" s="2" t="n">
        <v>100</v>
      </c>
      <c r="W1178" s="2" t="inlineStr">
        <is>
          <t>Classification</t>
        </is>
      </c>
    </row>
    <row r="1179">
      <c r="A1179" s="2" t="inlineStr">
        <is>
          <t>Downer</t>
        </is>
      </c>
      <c r="B1179" s="2" t="inlineStr">
        <is>
          <t>Fuel Cards - IE-357 - Mineral Technologies</t>
        </is>
      </c>
      <c r="C1179" s="2" t="inlineStr">
        <is>
          <t>Fleet Fuel</t>
        </is>
      </c>
      <c r="D1179" s="2" t="inlineStr">
        <is>
          <t>L9.MIN.8010.ADMI.OFF</t>
        </is>
      </c>
      <c r="E1179" s="2" t="inlineStr">
        <is>
          <t>L9.MIN.8010.ADMI.OFF</t>
        </is>
      </c>
      <c r="M1179" s="2" t="inlineStr">
        <is>
          <t>North Ryde</t>
        </is>
      </c>
      <c r="N1179" s="2" t="inlineStr">
        <is>
          <t>Australia</t>
        </is>
      </c>
      <c r="P1179" s="2" t="inlineStr">
        <is>
          <t>Operational Control</t>
        </is>
      </c>
      <c r="Q1179" s="2" t="inlineStr">
        <is>
          <t>Operational Control</t>
        </is>
      </c>
      <c r="R1179" s="2" t="inlineStr">
        <is>
          <t>Energy and Utilities (EU)</t>
        </is>
      </c>
      <c r="S1179" s="2" t="inlineStr">
        <is>
          <t>Downer</t>
        </is>
      </c>
      <c r="T1179" s="2" t="n">
        <v>100</v>
      </c>
      <c r="W1179" s="2" t="inlineStr">
        <is>
          <t>Classification</t>
        </is>
      </c>
    </row>
    <row r="1180">
      <c r="A1180" s="2" t="inlineStr">
        <is>
          <t>Downer</t>
        </is>
      </c>
      <c r="B1180" s="2" t="inlineStr">
        <is>
          <t>Fuel Cards - IP-205 - Rail Infrastructure</t>
        </is>
      </c>
      <c r="C1180" s="2" t="inlineStr">
        <is>
          <t>Fleet Fuel</t>
        </is>
      </c>
      <c r="D1180" s="2" t="inlineStr">
        <is>
          <t>L9.D.201422</t>
        </is>
      </c>
      <c r="E1180" s="2" t="inlineStr">
        <is>
          <t>L9.D.201422</t>
        </is>
      </c>
      <c r="M1180" s="2" t="inlineStr">
        <is>
          <t>New South Wales</t>
        </is>
      </c>
      <c r="N1180" s="2" t="inlineStr">
        <is>
          <t>Australia</t>
        </is>
      </c>
      <c r="P1180" s="2" t="inlineStr">
        <is>
          <t>Operational Control</t>
        </is>
      </c>
      <c r="Q1180" s="2" t="inlineStr">
        <is>
          <t>Operational Control</t>
        </is>
      </c>
      <c r="R1180" s="2" t="inlineStr">
        <is>
          <t>DT Infrastructure (pre Sept 23 divestment)</t>
        </is>
      </c>
      <c r="S1180" s="2" t="inlineStr">
        <is>
          <t>Downer</t>
        </is>
      </c>
      <c r="T1180" s="2" t="n">
        <v>100</v>
      </c>
      <c r="V1180" s="11" t="n">
        <v>45199</v>
      </c>
      <c r="W1180" s="2" t="inlineStr">
        <is>
          <t>Classification</t>
        </is>
      </c>
    </row>
    <row r="1181">
      <c r="A1181" s="2" t="inlineStr">
        <is>
          <t>Downer</t>
        </is>
      </c>
      <c r="B1181" s="2" t="inlineStr">
        <is>
          <t>Fuel Cards - RTS-705 - Rolling Stock</t>
        </is>
      </c>
      <c r="C1181" s="2" t="inlineStr">
        <is>
          <t>Fleet Fuel</t>
        </is>
      </c>
      <c r="D1181" s="2" t="inlineStr">
        <is>
          <t>L9.J.709001</t>
        </is>
      </c>
      <c r="E1181" s="2" t="inlineStr">
        <is>
          <t>L9.J.709001</t>
        </is>
      </c>
      <c r="M1181" s="2" t="inlineStr">
        <is>
          <t>New South Wales</t>
        </is>
      </c>
      <c r="N1181" s="2" t="inlineStr">
        <is>
          <t>Australia</t>
        </is>
      </c>
      <c r="P1181" s="2" t="inlineStr">
        <is>
          <t>Operational Control</t>
        </is>
      </c>
      <c r="Q1181" s="2" t="inlineStr">
        <is>
          <t>Operational Control</t>
        </is>
      </c>
      <c r="R1181" s="2" t="inlineStr">
        <is>
          <t>Rail &amp; Transit Systems (RTS)</t>
        </is>
      </c>
      <c r="S1181" s="2" t="inlineStr">
        <is>
          <t>Downer</t>
        </is>
      </c>
      <c r="T1181" s="2" t="n">
        <v>100</v>
      </c>
      <c r="W1181" s="2" t="inlineStr">
        <is>
          <t>Classification</t>
        </is>
      </c>
    </row>
    <row r="1182">
      <c r="A1182" s="2" t="inlineStr">
        <is>
          <t>Downer</t>
        </is>
      </c>
      <c r="B1182" s="2" t="inlineStr">
        <is>
          <t>Fuel Cards - RTS-706 - Rail MPM</t>
        </is>
      </c>
      <c r="C1182" s="2" t="inlineStr">
        <is>
          <t>Fleet Fuel</t>
        </is>
      </c>
      <c r="D1182" s="2" t="inlineStr">
        <is>
          <t>L9.J.70700016</t>
        </is>
      </c>
      <c r="E1182" s="2" t="inlineStr">
        <is>
          <t>L9.J.70700016</t>
        </is>
      </c>
      <c r="M1182" s="2" t="inlineStr">
        <is>
          <t>North Ryde</t>
        </is>
      </c>
      <c r="N1182" s="2" t="inlineStr">
        <is>
          <t>Australia</t>
        </is>
      </c>
      <c r="P1182" s="2" t="inlineStr">
        <is>
          <t>Operational Control</t>
        </is>
      </c>
      <c r="Q1182" s="2" t="inlineStr">
        <is>
          <t>Operational Control</t>
        </is>
      </c>
      <c r="R1182" s="2" t="inlineStr">
        <is>
          <t>Rail &amp; Transit Systems (RTS)</t>
        </is>
      </c>
      <c r="S1182" s="2" t="inlineStr">
        <is>
          <t>Downer</t>
        </is>
      </c>
      <c r="T1182" s="2" t="n">
        <v>100</v>
      </c>
      <c r="W1182" s="2" t="inlineStr">
        <is>
          <t>Classification</t>
        </is>
      </c>
    </row>
    <row r="1183">
      <c r="A1183" s="2" t="inlineStr">
        <is>
          <t>Downer</t>
        </is>
      </c>
      <c r="B1183" s="2" t="inlineStr">
        <is>
          <t>Fuel Cards - SI-0012 - Base &amp; Estate Management</t>
        </is>
      </c>
      <c r="C1183" s="2" t="inlineStr">
        <is>
          <t>Fleet Fuel</t>
        </is>
      </c>
      <c r="D1183" s="2" t="inlineStr">
        <is>
          <t>L9.S.14000496</t>
        </is>
      </c>
      <c r="E1183" s="2" t="inlineStr">
        <is>
          <t>L9.S.14000496</t>
        </is>
      </c>
      <c r="M1183" s="2" t="inlineStr">
        <is>
          <t>North Ryde</t>
        </is>
      </c>
      <c r="N1183" s="2" t="inlineStr">
        <is>
          <t>Australia</t>
        </is>
      </c>
      <c r="P1183" s="2" t="inlineStr">
        <is>
          <t>Operational Control</t>
        </is>
      </c>
      <c r="Q1183" s="2" t="inlineStr">
        <is>
          <t>Operational Control</t>
        </is>
      </c>
      <c r="R1183" s="2" t="inlineStr">
        <is>
          <t>Social Infra &amp; Citizen Serv (SICS)</t>
        </is>
      </c>
      <c r="S1183" s="2" t="inlineStr">
        <is>
          <t>Downer</t>
        </is>
      </c>
      <c r="T1183" s="2" t="n">
        <v>100</v>
      </c>
      <c r="W1183" s="2" t="inlineStr">
        <is>
          <t>Classification</t>
        </is>
      </c>
    </row>
    <row r="1184">
      <c r="A1184" s="2" t="inlineStr">
        <is>
          <t>Downer</t>
        </is>
      </c>
      <c r="B1184" s="2" t="inlineStr">
        <is>
          <t>Fuel Cards - SI-0012 - Defence</t>
        </is>
      </c>
      <c r="C1184" s="2" t="inlineStr">
        <is>
          <t>Fleet Fuel</t>
        </is>
      </c>
      <c r="D1184" s="2" t="inlineStr">
        <is>
          <t>L9.S.13000771</t>
        </is>
      </c>
      <c r="E1184" s="2" t="inlineStr">
        <is>
          <t>L9.S.13000771</t>
        </is>
      </c>
      <c r="M1184" s="2" t="inlineStr">
        <is>
          <t>New South Wales</t>
        </is>
      </c>
      <c r="N1184" s="2" t="inlineStr">
        <is>
          <t>Australia</t>
        </is>
      </c>
      <c r="P1184" s="2" t="inlineStr">
        <is>
          <t>Operational Control</t>
        </is>
      </c>
      <c r="Q1184" s="2" t="inlineStr">
        <is>
          <t>Operational Control</t>
        </is>
      </c>
      <c r="R1184" s="2" t="inlineStr">
        <is>
          <t>Social Infra &amp; Citizen Serv (SICS)</t>
        </is>
      </c>
      <c r="S1184" s="2" t="inlineStr">
        <is>
          <t>Downer</t>
        </is>
      </c>
      <c r="T1184" s="2" t="n">
        <v>100</v>
      </c>
      <c r="W1184" s="2" t="inlineStr">
        <is>
          <t>Classification</t>
        </is>
      </c>
    </row>
    <row r="1185">
      <c r="A1185" s="2" t="inlineStr">
        <is>
          <t>Downer</t>
        </is>
      </c>
      <c r="B1185" s="2" t="inlineStr">
        <is>
          <t>Fuel Cards - SI-3174 - Government &amp; IFM</t>
        </is>
      </c>
      <c r="C1185" s="2" t="inlineStr">
        <is>
          <t>Fleet Fuel</t>
        </is>
      </c>
      <c r="D1185" s="2" t="inlineStr">
        <is>
          <t>L9.S.13000854</t>
        </is>
      </c>
      <c r="E1185" s="2" t="inlineStr">
        <is>
          <t>L9.S.13000854</t>
        </is>
      </c>
      <c r="M1185" s="2" t="inlineStr">
        <is>
          <t>North Ryde</t>
        </is>
      </c>
      <c r="N1185" s="2" t="inlineStr">
        <is>
          <t>Australia</t>
        </is>
      </c>
      <c r="P1185" s="2" t="inlineStr">
        <is>
          <t>Operational Control</t>
        </is>
      </c>
      <c r="Q1185" s="2" t="inlineStr">
        <is>
          <t>Operational Control</t>
        </is>
      </c>
      <c r="R1185" s="2" t="inlineStr">
        <is>
          <t>Social Infra &amp; Citizen Serv (SICS)</t>
        </is>
      </c>
      <c r="S1185" s="2" t="inlineStr">
        <is>
          <t>Downer</t>
        </is>
      </c>
      <c r="T1185" s="2" t="n">
        <v>100</v>
      </c>
      <c r="W1185" s="2" t="inlineStr">
        <is>
          <t>Classification</t>
        </is>
      </c>
    </row>
    <row r="1186">
      <c r="A1186" s="2" t="inlineStr">
        <is>
          <t>Downer</t>
        </is>
      </c>
      <c r="B1186" s="2" t="inlineStr">
        <is>
          <t>Fuel Cards - SI-3175 - Health and Education</t>
        </is>
      </c>
      <c r="C1186" s="2" t="inlineStr">
        <is>
          <t>Fleet Fuel</t>
        </is>
      </c>
      <c r="D1186" s="2" t="inlineStr">
        <is>
          <t>L9.S.13000910</t>
        </is>
      </c>
      <c r="E1186" s="2" t="inlineStr">
        <is>
          <t>L9.S.13000910</t>
        </is>
      </c>
      <c r="M1186" s="2" t="inlineStr">
        <is>
          <t>North Ryde</t>
        </is>
      </c>
      <c r="N1186" s="2" t="inlineStr">
        <is>
          <t>Australia</t>
        </is>
      </c>
      <c r="P1186" s="2" t="inlineStr">
        <is>
          <t>Operational Control</t>
        </is>
      </c>
      <c r="Q1186" s="2" t="inlineStr">
        <is>
          <t>Operational Control</t>
        </is>
      </c>
      <c r="R1186" s="2" t="inlineStr">
        <is>
          <t>Social Infra &amp; Citizen Serv (SICS)</t>
        </is>
      </c>
      <c r="S1186" s="2" t="inlineStr">
        <is>
          <t>Downer</t>
        </is>
      </c>
      <c r="T1186" s="2" t="n">
        <v>100</v>
      </c>
      <c r="W1186" s="2" t="inlineStr">
        <is>
          <t>Classification</t>
        </is>
      </c>
    </row>
    <row r="1187">
      <c r="A1187" s="2" t="inlineStr">
        <is>
          <t>Downer</t>
        </is>
      </c>
      <c r="B1187" s="2" t="inlineStr">
        <is>
          <t>Fuel Cards - SI-3176 - Precinct Upgrade &amp; New Ener</t>
        </is>
      </c>
      <c r="C1187" s="2" t="inlineStr">
        <is>
          <t>Fleet Fuel</t>
        </is>
      </c>
      <c r="D1187" s="2" t="inlineStr">
        <is>
          <t>L9.S.13001519</t>
        </is>
      </c>
      <c r="E1187" s="2" t="inlineStr">
        <is>
          <t>L9.S.13001519</t>
        </is>
      </c>
      <c r="M1187" s="2" t="inlineStr">
        <is>
          <t>North Ryde</t>
        </is>
      </c>
      <c r="N1187" s="2" t="inlineStr">
        <is>
          <t>Australia</t>
        </is>
      </c>
      <c r="P1187" s="2" t="inlineStr">
        <is>
          <t>Operational Control</t>
        </is>
      </c>
      <c r="Q1187" s="2" t="inlineStr">
        <is>
          <t>Operational Control</t>
        </is>
      </c>
      <c r="R1187" s="2" t="inlineStr">
        <is>
          <t>Social Infra &amp; Citizen Serv (SICS)</t>
        </is>
      </c>
      <c r="S1187" s="2" t="inlineStr">
        <is>
          <t>Downer</t>
        </is>
      </c>
      <c r="T1187" s="2" t="n">
        <v>100</v>
      </c>
      <c r="W1187" s="2" t="inlineStr">
        <is>
          <t>Classification</t>
        </is>
      </c>
    </row>
    <row r="1188">
      <c r="A1188" s="2" t="inlineStr">
        <is>
          <t>Downer</t>
        </is>
      </c>
      <c r="B1188" s="2" t="inlineStr">
        <is>
          <t>Fuel Cards - SPT-3199 - Corporate Australia</t>
        </is>
      </c>
      <c r="C1188" s="2" t="inlineStr">
        <is>
          <t>Fleet Fuel</t>
        </is>
      </c>
      <c r="D1188" s="2" t="inlineStr">
        <is>
          <t>L9.S.12000332</t>
        </is>
      </c>
      <c r="E1188" s="2" t="inlineStr">
        <is>
          <t>L9.S.12000332</t>
        </is>
      </c>
      <c r="M1188" s="2" t="inlineStr">
        <is>
          <t>North Ryde</t>
        </is>
      </c>
      <c r="N1188" s="2" t="inlineStr">
        <is>
          <t>Australia</t>
        </is>
      </c>
      <c r="P1188" s="2" t="inlineStr">
        <is>
          <t>Operational Control</t>
        </is>
      </c>
      <c r="Q1188" s="2" t="inlineStr">
        <is>
          <t>Operational Control</t>
        </is>
      </c>
      <c r="R1188" s="2" t="inlineStr">
        <is>
          <t>Social Infra &amp; Citizen Serv (SICS)</t>
        </is>
      </c>
      <c r="S1188" s="2" t="inlineStr">
        <is>
          <t>Downer</t>
        </is>
      </c>
      <c r="T1188" s="2" t="n">
        <v>100</v>
      </c>
      <c r="W1188" s="2" t="inlineStr">
        <is>
          <t>Classification</t>
        </is>
      </c>
    </row>
    <row r="1189">
      <c r="A1189" s="2" t="inlineStr">
        <is>
          <t>Downer</t>
        </is>
      </c>
      <c r="B1189" s="2" t="inlineStr">
        <is>
          <t>Fuel Cards - TI-171 - TI-HO Office 01</t>
        </is>
      </c>
      <c r="C1189" s="2" t="inlineStr">
        <is>
          <t>Fleet Fuel</t>
        </is>
      </c>
      <c r="D1189" s="2" t="inlineStr">
        <is>
          <t>L9.J.170834</t>
        </is>
      </c>
      <c r="E1189" s="2" t="inlineStr">
        <is>
          <t>FCR171</t>
        </is>
      </c>
      <c r="G1189" s="2" t="inlineStr">
        <is>
          <t>Previous named: Fuel Cards - TI-171 - RO-HO Office</t>
        </is>
      </c>
      <c r="M1189" s="2" t="inlineStr">
        <is>
          <t>Victoria</t>
        </is>
      </c>
      <c r="N1189" s="2" t="inlineStr">
        <is>
          <t>Australia</t>
        </is>
      </c>
      <c r="P1189" s="2" t="inlineStr">
        <is>
          <t>Operational Control</t>
        </is>
      </c>
      <c r="Q1189" s="2" t="inlineStr">
        <is>
          <t>Operational Control</t>
        </is>
      </c>
      <c r="R1189" s="2" t="inlineStr">
        <is>
          <t>Transport &amp; Infrastructure (T&amp;I)</t>
        </is>
      </c>
      <c r="S1189" s="2" t="inlineStr">
        <is>
          <t>Downer</t>
        </is>
      </c>
      <c r="T1189" s="2" t="n">
        <v>100</v>
      </c>
      <c r="W1189" s="2" t="inlineStr">
        <is>
          <t>Classification</t>
        </is>
      </c>
    </row>
    <row r="1190">
      <c r="A1190" s="2" t="inlineStr">
        <is>
          <t>Downer</t>
        </is>
      </c>
      <c r="B1190" s="2" t="inlineStr">
        <is>
          <t>Fuel Cards - TI-171 - TI-HO Office 02</t>
        </is>
      </c>
      <c r="C1190" s="2" t="inlineStr">
        <is>
          <t>Fleet Fuel</t>
        </is>
      </c>
      <c r="D1190" s="2" t="inlineStr">
        <is>
          <t>L9.J.170821</t>
        </is>
      </c>
      <c r="E1190" s="2" t="inlineStr">
        <is>
          <t>L9.J.170821</t>
        </is>
      </c>
      <c r="G1190" s="2" t="inlineStr">
        <is>
          <t>Previously named: Fuel Cards - TI-172 - Transport &amp; Infrastructure H</t>
        </is>
      </c>
      <c r="M1190" s="2" t="inlineStr">
        <is>
          <t>North Ryde</t>
        </is>
      </c>
      <c r="N1190" s="2" t="inlineStr">
        <is>
          <t>Australia</t>
        </is>
      </c>
      <c r="P1190" s="2" t="inlineStr">
        <is>
          <t>Operational Control</t>
        </is>
      </c>
      <c r="Q1190" s="2" t="inlineStr">
        <is>
          <t>Operational Control</t>
        </is>
      </c>
      <c r="R1190" s="2" t="inlineStr">
        <is>
          <t>Transport &amp; Infrastructure (T&amp;I)</t>
        </is>
      </c>
      <c r="S1190" s="2" t="inlineStr">
        <is>
          <t>Downer</t>
        </is>
      </c>
      <c r="T1190" s="2" t="n">
        <v>100</v>
      </c>
      <c r="W1190" s="2" t="inlineStr">
        <is>
          <t>Classification</t>
        </is>
      </c>
    </row>
    <row r="1191">
      <c r="A1191" s="2" t="inlineStr">
        <is>
          <t>Downer</t>
        </is>
      </c>
      <c r="B1191" s="2" t="inlineStr">
        <is>
          <t>Fuel Cards - TI-174 - Maintenance &amp; ITS</t>
        </is>
      </c>
      <c r="C1191" s="2" t="inlineStr">
        <is>
          <t>Fleet Fuel</t>
        </is>
      </c>
      <c r="D1191" s="2" t="inlineStr">
        <is>
          <t>L9.J.170278</t>
        </is>
      </c>
      <c r="E1191" s="2" t="inlineStr">
        <is>
          <t>FCR174</t>
        </is>
      </c>
      <c r="G1191" s="2" t="inlineStr">
        <is>
          <t>Previously named: Fuel Cards - TI-174 - DM Roads</t>
        </is>
      </c>
      <c r="M1191" s="2" t="inlineStr">
        <is>
          <t>South Australia</t>
        </is>
      </c>
      <c r="N1191" s="2" t="inlineStr">
        <is>
          <t>Australia</t>
        </is>
      </c>
      <c r="P1191" s="2" t="inlineStr">
        <is>
          <t>Operational Control</t>
        </is>
      </c>
      <c r="Q1191" s="2" t="inlineStr">
        <is>
          <t>Operational Control</t>
        </is>
      </c>
      <c r="R1191" s="2" t="inlineStr">
        <is>
          <t>Transport &amp; Infrastructure (T&amp;I)</t>
        </is>
      </c>
      <c r="S1191" s="2" t="inlineStr">
        <is>
          <t>Downer</t>
        </is>
      </c>
      <c r="T1191" s="2" t="n">
        <v>100</v>
      </c>
      <c r="W1191" s="2" t="inlineStr">
        <is>
          <t>Classification</t>
        </is>
      </c>
    </row>
    <row r="1192">
      <c r="A1192" s="2" t="inlineStr">
        <is>
          <t>Downer</t>
        </is>
      </c>
      <c r="B1192" s="2" t="inlineStr">
        <is>
          <t>Fuel Cards - TI-187 - Asphalt &amp; Products 01</t>
        </is>
      </c>
      <c r="C1192" s="2" t="inlineStr">
        <is>
          <t>Fleet Fuel</t>
        </is>
      </c>
      <c r="D1192" s="2" t="inlineStr">
        <is>
          <t>L9.J.170321</t>
        </is>
      </c>
      <c r="E1192" s="2" t="inlineStr">
        <is>
          <t>L9.J.170321</t>
        </is>
      </c>
      <c r="G1192" s="2" t="inlineStr">
        <is>
          <t>Previously named: Fuel Cards - TI-173 - National Ops AU</t>
        </is>
      </c>
      <c r="M1192" s="2" t="inlineStr">
        <is>
          <t>North Ryde</t>
        </is>
      </c>
      <c r="N1192" s="2" t="inlineStr">
        <is>
          <t>Australia</t>
        </is>
      </c>
      <c r="P1192" s="2" t="inlineStr">
        <is>
          <t>Operational Control</t>
        </is>
      </c>
      <c r="Q1192" s="2" t="inlineStr">
        <is>
          <t>Operational Control</t>
        </is>
      </c>
      <c r="R1192" s="2" t="inlineStr">
        <is>
          <t>Transport &amp; Infrastructure (T&amp;I)</t>
        </is>
      </c>
      <c r="S1192" s="2" t="inlineStr">
        <is>
          <t>Downer</t>
        </is>
      </c>
      <c r="T1192" s="2" t="n">
        <v>100</v>
      </c>
      <c r="W1192" s="2" t="inlineStr">
        <is>
          <t>Classification</t>
        </is>
      </c>
    </row>
    <row r="1193">
      <c r="A1193" s="2" t="inlineStr">
        <is>
          <t>Downer</t>
        </is>
      </c>
      <c r="B1193" s="2" t="inlineStr">
        <is>
          <t>Fuel Cards - TI-187 - Asphalt &amp; Products 03</t>
        </is>
      </c>
      <c r="C1193" s="2" t="inlineStr">
        <is>
          <t>Fleet Fuel</t>
        </is>
      </c>
      <c r="D1193" s="2" t="inlineStr">
        <is>
          <t>L9.J.170325</t>
        </is>
      </c>
      <c r="E1193" s="2" t="inlineStr">
        <is>
          <t>FCR178</t>
        </is>
      </c>
      <c r="G1193" s="2" t="inlineStr">
        <is>
          <t>Previously named: Fuel Cards - TI-178 - Tasmania Operations</t>
        </is>
      </c>
      <c r="M1193" s="2" t="inlineStr">
        <is>
          <t>Queensland</t>
        </is>
      </c>
      <c r="N1193" s="2" t="inlineStr">
        <is>
          <t>Australia</t>
        </is>
      </c>
      <c r="P1193" s="2" t="inlineStr">
        <is>
          <t>Operational Control</t>
        </is>
      </c>
      <c r="Q1193" s="2" t="inlineStr">
        <is>
          <t>Operational Control</t>
        </is>
      </c>
      <c r="R1193" s="2" t="inlineStr">
        <is>
          <t>Transport &amp; Infrastructure (T&amp;I)</t>
        </is>
      </c>
      <c r="S1193" s="2" t="inlineStr">
        <is>
          <t>Downer</t>
        </is>
      </c>
      <c r="T1193" s="2" t="n">
        <v>100</v>
      </c>
      <c r="W1193" s="2" t="inlineStr">
        <is>
          <t>Classification</t>
        </is>
      </c>
    </row>
    <row r="1194">
      <c r="A1194" s="2" t="inlineStr">
        <is>
          <t>Downer</t>
        </is>
      </c>
      <c r="B1194" s="2" t="inlineStr">
        <is>
          <t>Fuel Cards - TI-188 - Pavement Rehab &amp; Civils</t>
        </is>
      </c>
      <c r="C1194" s="2" t="inlineStr">
        <is>
          <t>Fleet Fuel</t>
        </is>
      </c>
      <c r="D1194" s="2" t="inlineStr">
        <is>
          <t>L9.J.170968</t>
        </is>
      </c>
      <c r="E1194" s="2" t="n">
        <v>170968</v>
      </c>
      <c r="G1194" s="2" t="inlineStr">
        <is>
          <t>TI-170968 - Pave Rehab &amp; Civils Admin</t>
        </is>
      </c>
      <c r="M1194" s="2" t="inlineStr">
        <is>
          <t>North Ryde</t>
        </is>
      </c>
      <c r="N1194" s="2" t="inlineStr">
        <is>
          <t>Australia</t>
        </is>
      </c>
      <c r="P1194" s="2" t="inlineStr">
        <is>
          <t>Operational Control</t>
        </is>
      </c>
      <c r="Q1194" s="2" t="inlineStr">
        <is>
          <t>Operational Control</t>
        </is>
      </c>
      <c r="R1194" s="2" t="inlineStr">
        <is>
          <t>Transport &amp; Infrastructure (T&amp;I)</t>
        </is>
      </c>
      <c r="S1194" s="2" t="inlineStr">
        <is>
          <t>Downer</t>
        </is>
      </c>
      <c r="T1194" s="2" t="n">
        <v>100</v>
      </c>
      <c r="W1194" s="2" t="inlineStr">
        <is>
          <t>Classification</t>
        </is>
      </c>
    </row>
    <row r="1195">
      <c r="A1195" s="2" t="inlineStr">
        <is>
          <t>Downer</t>
        </is>
      </c>
      <c r="B1195" s="2" t="inlineStr">
        <is>
          <t>Fuel Cards - TI-189 - Specialised Pavements &amp; Projec</t>
        </is>
      </c>
      <c r="C1195" s="2" t="inlineStr">
        <is>
          <t>Other</t>
        </is>
      </c>
      <c r="D1195" s="2" t="inlineStr">
        <is>
          <t>L9.J.17093326</t>
        </is>
      </c>
      <c r="E1195" s="2" t="inlineStr">
        <is>
          <t>L9.J.17093326</t>
        </is>
      </c>
      <c r="M1195" s="2" t="inlineStr">
        <is>
          <t>North Ryde</t>
        </is>
      </c>
      <c r="N1195" s="2" t="inlineStr">
        <is>
          <t>Australia</t>
        </is>
      </c>
      <c r="P1195" s="2" t="inlineStr">
        <is>
          <t>Operational Control</t>
        </is>
      </c>
      <c r="Q1195" s="2" t="inlineStr">
        <is>
          <t>Operational Control</t>
        </is>
      </c>
      <c r="R1195" s="2" t="inlineStr">
        <is>
          <t>Transport &amp; Infrastructure (T&amp;I)</t>
        </is>
      </c>
      <c r="S1195" s="2" t="inlineStr">
        <is>
          <t>Downer</t>
        </is>
      </c>
      <c r="T1195" s="2" t="n">
        <v>100</v>
      </c>
      <c r="W1195" s="2" t="inlineStr">
        <is>
          <t>Classification</t>
        </is>
      </c>
    </row>
    <row r="1196">
      <c r="A1196" s="2" t="inlineStr">
        <is>
          <t>Downer</t>
        </is>
      </c>
      <c r="B1196" s="2" t="inlineStr">
        <is>
          <t>Fuel Cards - TI-190 - Thin Surfacing</t>
        </is>
      </c>
      <c r="C1196" s="2" t="inlineStr">
        <is>
          <t>Fleet Fuel</t>
        </is>
      </c>
      <c r="D1196" s="2" t="inlineStr">
        <is>
          <t>L9.J.170526</t>
        </is>
      </c>
      <c r="E1196" s="2" t="inlineStr">
        <is>
          <t>FCR175</t>
        </is>
      </c>
      <c r="G1196" s="2" t="inlineStr">
        <is>
          <t>Previously named: Fuel Cards - TI-175 - National Bituminous Product</t>
        </is>
      </c>
      <c r="M1196" s="2" t="inlineStr">
        <is>
          <t>Northern Territory</t>
        </is>
      </c>
      <c r="N1196" s="2" t="inlineStr">
        <is>
          <t>Australia</t>
        </is>
      </c>
      <c r="P1196" s="2" t="inlineStr">
        <is>
          <t>Operational Control</t>
        </is>
      </c>
      <c r="Q1196" s="2" t="inlineStr">
        <is>
          <t>Operational Control</t>
        </is>
      </c>
      <c r="R1196" s="2" t="inlineStr">
        <is>
          <t>Transport &amp; Infrastructure (T&amp;I)</t>
        </is>
      </c>
      <c r="S1196" s="2" t="inlineStr">
        <is>
          <t>Downer</t>
        </is>
      </c>
      <c r="T1196" s="2" t="n">
        <v>100</v>
      </c>
      <c r="W1196" s="2" t="inlineStr">
        <is>
          <t>Classification</t>
        </is>
      </c>
    </row>
    <row r="1197">
      <c r="A1197" s="2" t="inlineStr">
        <is>
          <t>Downer</t>
        </is>
      </c>
      <c r="B1197" s="2" t="inlineStr">
        <is>
          <t>Fuel Cards - TI-191 - T&amp;I AU Management</t>
        </is>
      </c>
      <c r="C1197" s="2" t="inlineStr">
        <is>
          <t>Fleet Fuel</t>
        </is>
      </c>
      <c r="D1197" s="2" t="inlineStr">
        <is>
          <t>L9.J.170123</t>
        </is>
      </c>
      <c r="E1197" s="2" t="inlineStr">
        <is>
          <t>FCR173</t>
        </is>
      </c>
      <c r="G1197" s="2" t="inlineStr">
        <is>
          <t>Previously named: Fuel Cards - TI-173 - Pavements</t>
        </is>
      </c>
      <c r="M1197" s="2" t="inlineStr">
        <is>
          <t>Queensland</t>
        </is>
      </c>
      <c r="N1197" s="2" t="inlineStr">
        <is>
          <t>Australia</t>
        </is>
      </c>
      <c r="P1197" s="2" t="inlineStr">
        <is>
          <t>Operational Control</t>
        </is>
      </c>
      <c r="Q1197" s="2" t="inlineStr">
        <is>
          <t>Operational Control</t>
        </is>
      </c>
      <c r="R1197" s="2" t="inlineStr">
        <is>
          <t>Transport &amp; Infrastructure (T&amp;I)</t>
        </is>
      </c>
      <c r="S1197" s="2" t="inlineStr">
        <is>
          <t>Downer</t>
        </is>
      </c>
      <c r="T1197" s="2" t="n">
        <v>100</v>
      </c>
      <c r="W1197" s="2" t="inlineStr">
        <is>
          <t>Classification</t>
        </is>
      </c>
    </row>
    <row r="1198">
      <c r="A1198" s="2" t="inlineStr">
        <is>
          <t>Downer</t>
        </is>
      </c>
      <c r="B1198" s="2" t="inlineStr">
        <is>
          <t>Fuel Cards - TI-192 - AU Fleet &amp; TI 01</t>
        </is>
      </c>
      <c r="C1198" s="2" t="inlineStr">
        <is>
          <t>Fleet Fuel</t>
        </is>
      </c>
      <c r="D1198" s="2" t="inlineStr">
        <is>
          <t>L9.J.170136</t>
        </is>
      </c>
      <c r="E1198" s="2" t="inlineStr">
        <is>
          <t>L9.J.170136</t>
        </is>
      </c>
      <c r="G1198" s="2" t="inlineStr">
        <is>
          <t>Previously named: Fuel Cards - TI-174 - ANZ Operations</t>
        </is>
      </c>
      <c r="M1198" s="2" t="inlineStr">
        <is>
          <t>North Ryde</t>
        </is>
      </c>
      <c r="N1198" s="2" t="inlineStr">
        <is>
          <t>Australia</t>
        </is>
      </c>
      <c r="P1198" s="2" t="inlineStr">
        <is>
          <t>Operational Control</t>
        </is>
      </c>
      <c r="Q1198" s="2" t="inlineStr">
        <is>
          <t>Operational Control</t>
        </is>
      </c>
      <c r="R1198" s="2" t="inlineStr">
        <is>
          <t>Transport &amp; Infrastructure (T&amp;I)</t>
        </is>
      </c>
      <c r="S1198" s="2" t="inlineStr">
        <is>
          <t>Downer</t>
        </is>
      </c>
      <c r="T1198" s="2" t="n">
        <v>100</v>
      </c>
      <c r="W1198" s="2" t="inlineStr">
        <is>
          <t>Classification</t>
        </is>
      </c>
    </row>
    <row r="1199">
      <c r="A1199" s="2" t="inlineStr">
        <is>
          <t>Downer</t>
        </is>
      </c>
      <c r="B1199" s="2" t="inlineStr">
        <is>
          <t>Fuel Cards - TI-192 - AU Fleet &amp; TI 02</t>
        </is>
      </c>
      <c r="C1199" s="2" t="inlineStr">
        <is>
          <t>Fleet Fuel</t>
        </is>
      </c>
      <c r="D1199" s="2" t="inlineStr">
        <is>
          <t>L9.J.170691</t>
        </is>
      </c>
      <c r="E1199" s="2" t="inlineStr">
        <is>
          <t>FCR176</t>
        </is>
      </c>
      <c r="G1199" s="2" t="inlineStr">
        <is>
          <t>Previously named: Fuel Cards - TI-176 - Plant &amp; Equipment</t>
        </is>
      </c>
      <c r="M1199" s="2" t="inlineStr">
        <is>
          <t>Western Australia</t>
        </is>
      </c>
      <c r="N1199" s="2" t="inlineStr">
        <is>
          <t>Australia</t>
        </is>
      </c>
      <c r="P1199" s="2" t="inlineStr">
        <is>
          <t>Operational Control</t>
        </is>
      </c>
      <c r="Q1199" s="2" t="inlineStr">
        <is>
          <t>Operational Control</t>
        </is>
      </c>
      <c r="R1199" s="2" t="inlineStr">
        <is>
          <t>Transport &amp; Infrastructure (T&amp;I)</t>
        </is>
      </c>
      <c r="S1199" s="2" t="inlineStr">
        <is>
          <t>Downer</t>
        </is>
      </c>
      <c r="T1199" s="2" t="n">
        <v>100</v>
      </c>
      <c r="W1199" s="2" t="inlineStr">
        <is>
          <t>Classification</t>
        </is>
      </c>
    </row>
    <row r="1200">
      <c r="A1200" s="2" t="inlineStr">
        <is>
          <t>Downer</t>
        </is>
      </c>
      <c r="B1200" s="2" t="inlineStr">
        <is>
          <t>Fuel Cards - TI-193 - AU Fleet - Fleet</t>
        </is>
      </c>
      <c r="C1200" s="2" t="inlineStr">
        <is>
          <t>Fleet Fuel</t>
        </is>
      </c>
      <c r="D1200" s="2" t="inlineStr">
        <is>
          <t>L9.J.170802</t>
        </is>
      </c>
      <c r="E1200" s="2" t="n">
        <v>170802</v>
      </c>
      <c r="M1200" s="2" t="inlineStr">
        <is>
          <t>North Ryde</t>
        </is>
      </c>
      <c r="N1200" s="2" t="inlineStr">
        <is>
          <t>Australia</t>
        </is>
      </c>
      <c r="P1200" s="2" t="inlineStr">
        <is>
          <t>Operational Control</t>
        </is>
      </c>
      <c r="Q1200" s="2" t="inlineStr">
        <is>
          <t>Operational Control</t>
        </is>
      </c>
      <c r="R1200" s="2" t="inlineStr">
        <is>
          <t>Transport &amp; Infrastructure (T&amp;I)</t>
        </is>
      </c>
      <c r="S1200" s="2" t="inlineStr">
        <is>
          <t>Downer</t>
        </is>
      </c>
      <c r="T1200" s="2" t="n">
        <v>100</v>
      </c>
      <c r="W1200" s="2" t="inlineStr">
        <is>
          <t>Classification</t>
        </is>
      </c>
    </row>
    <row r="1201">
      <c r="A1201" s="2" t="inlineStr">
        <is>
          <t>Downer</t>
        </is>
      </c>
      <c r="B1201" s="2" t="inlineStr">
        <is>
          <t>Fuel Cards - UTIL-242 Utilities Legacy &amp; Other</t>
        </is>
      </c>
      <c r="C1201" s="2" t="inlineStr">
        <is>
          <t>Fleet Fuel</t>
        </is>
      </c>
      <c r="D1201" s="2" t="inlineStr">
        <is>
          <t>L9.DUA.301100</t>
        </is>
      </c>
      <c r="E1201" s="2" t="inlineStr">
        <is>
          <t>FCU242</t>
        </is>
      </c>
      <c r="M1201" s="2" t="inlineStr">
        <is>
          <t>New South Wales</t>
        </is>
      </c>
      <c r="N1201" s="2" t="inlineStr">
        <is>
          <t>Australia</t>
        </is>
      </c>
      <c r="P1201" s="2" t="inlineStr">
        <is>
          <t>Operational Control</t>
        </is>
      </c>
      <c r="Q1201" s="2" t="inlineStr">
        <is>
          <t>Operational Control</t>
        </is>
      </c>
      <c r="R1201" s="2" t="inlineStr">
        <is>
          <t>Energy and Utilities (EU)</t>
        </is>
      </c>
      <c r="S1201" s="2" t="inlineStr">
        <is>
          <t>Downer</t>
        </is>
      </c>
      <c r="T1201" s="2" t="n">
        <v>100</v>
      </c>
      <c r="W1201" s="2" t="inlineStr">
        <is>
          <t>Classification</t>
        </is>
      </c>
    </row>
    <row r="1202">
      <c r="A1202" s="2" t="inlineStr">
        <is>
          <t>Downer</t>
        </is>
      </c>
      <c r="B1202" s="2" t="inlineStr">
        <is>
          <t>Fuel Cards - UTIL-243 Utilities Management</t>
        </is>
      </c>
      <c r="C1202" s="2" t="inlineStr">
        <is>
          <t>Fleet Fuel</t>
        </is>
      </c>
      <c r="D1202" s="2" t="inlineStr">
        <is>
          <t>L9.DUA.12010</t>
        </is>
      </c>
      <c r="E1202" s="2" t="inlineStr">
        <is>
          <t>FCU243</t>
        </is>
      </c>
      <c r="M1202" s="2" t="inlineStr">
        <is>
          <t>New South Wales</t>
        </is>
      </c>
      <c r="N1202" s="2" t="inlineStr">
        <is>
          <t>Australia</t>
        </is>
      </c>
      <c r="P1202" s="2" t="inlineStr">
        <is>
          <t>Operational Control</t>
        </is>
      </c>
      <c r="Q1202" s="2" t="inlineStr">
        <is>
          <t>Operational Control</t>
        </is>
      </c>
      <c r="R1202" s="2" t="inlineStr">
        <is>
          <t>Energy and Utilities (EU)</t>
        </is>
      </c>
      <c r="S1202" s="2" t="inlineStr">
        <is>
          <t>Downer</t>
        </is>
      </c>
      <c r="T1202" s="2" t="n">
        <v>100</v>
      </c>
      <c r="W1202" s="2" t="inlineStr">
        <is>
          <t>Classification</t>
        </is>
      </c>
    </row>
    <row r="1203">
      <c r="A1203" s="2" t="inlineStr">
        <is>
          <t>Downer</t>
        </is>
      </c>
      <c r="B1203" s="2" t="inlineStr">
        <is>
          <t>Fuel Cards - UTIL-245 - Technology &amp; Comms Service</t>
        </is>
      </c>
      <c r="C1203" s="2" t="inlineStr">
        <is>
          <t>Fleet Fuel</t>
        </is>
      </c>
      <c r="D1203" s="2" t="inlineStr">
        <is>
          <t>L9.J.23440160</t>
        </is>
      </c>
      <c r="E1203" s="2" t="inlineStr">
        <is>
          <t>FCU245</t>
        </is>
      </c>
      <c r="M1203" s="2" t="inlineStr">
        <is>
          <t>Victoria</t>
        </is>
      </c>
      <c r="N1203" s="2" t="inlineStr">
        <is>
          <t>Australia</t>
        </is>
      </c>
      <c r="P1203" s="2" t="inlineStr">
        <is>
          <t>Operational Control</t>
        </is>
      </c>
      <c r="Q1203" s="2" t="inlineStr">
        <is>
          <t>Operational Control</t>
        </is>
      </c>
      <c r="R1203" s="2" t="inlineStr">
        <is>
          <t>Energy and Utilities (EU)</t>
        </is>
      </c>
      <c r="S1203" s="2" t="inlineStr">
        <is>
          <t>Downer</t>
        </is>
      </c>
      <c r="T1203" s="2" t="n">
        <v>100</v>
      </c>
      <c r="W1203" s="2" t="inlineStr">
        <is>
          <t>Classification</t>
        </is>
      </c>
    </row>
    <row r="1204">
      <c r="A1204" s="2" t="inlineStr">
        <is>
          <t>Downer</t>
        </is>
      </c>
      <c r="B1204" s="2" t="inlineStr">
        <is>
          <t>Fuel Cards - UTIL-246 - Power&amp;Gas Distribution Net</t>
        </is>
      </c>
      <c r="C1204" s="2" t="inlineStr">
        <is>
          <t>Fleet Fuel</t>
        </is>
      </c>
      <c r="D1204" s="2" t="inlineStr">
        <is>
          <t>L9.J.229250</t>
        </is>
      </c>
      <c r="E1204" s="2" t="inlineStr">
        <is>
          <t>FCU246</t>
        </is>
      </c>
      <c r="M1204" s="2" t="inlineStr">
        <is>
          <t>Victoria</t>
        </is>
      </c>
      <c r="N1204" s="2" t="inlineStr">
        <is>
          <t>Australia</t>
        </is>
      </c>
      <c r="P1204" s="2" t="inlineStr">
        <is>
          <t>Operational Control</t>
        </is>
      </c>
      <c r="Q1204" s="2" t="inlineStr">
        <is>
          <t>Operational Control</t>
        </is>
      </c>
      <c r="R1204" s="2" t="inlineStr">
        <is>
          <t>Energy and Utilities (EU)</t>
        </is>
      </c>
      <c r="S1204" s="2" t="inlineStr">
        <is>
          <t>Downer</t>
        </is>
      </c>
      <c r="T1204" s="2" t="n">
        <v>100</v>
      </c>
      <c r="W1204" s="2" t="inlineStr">
        <is>
          <t>Classification</t>
        </is>
      </c>
    </row>
    <row r="1205">
      <c r="A1205" s="2" t="inlineStr">
        <is>
          <t>Downer</t>
        </is>
      </c>
      <c r="B1205" s="2" t="inlineStr">
        <is>
          <t>Fuel Cards - UTIL-252 - Water Services Projects NS</t>
        </is>
      </c>
      <c r="C1205" s="2" t="inlineStr">
        <is>
          <t>Fleet Fuel</t>
        </is>
      </c>
      <c r="D1205" s="2" t="inlineStr">
        <is>
          <t>L9.J.241607</t>
        </is>
      </c>
      <c r="E1205" s="2" t="inlineStr">
        <is>
          <t>FCU252</t>
        </is>
      </c>
      <c r="M1205" s="2" t="inlineStr">
        <is>
          <t>New South Wales</t>
        </is>
      </c>
      <c r="N1205" s="2" t="inlineStr">
        <is>
          <t>Australia</t>
        </is>
      </c>
      <c r="P1205" s="2" t="inlineStr">
        <is>
          <t>Operational Control</t>
        </is>
      </c>
      <c r="Q1205" s="2" t="inlineStr">
        <is>
          <t>Operational Control</t>
        </is>
      </c>
      <c r="R1205" s="2" t="inlineStr">
        <is>
          <t>Energy and Utilities (EU)</t>
        </is>
      </c>
      <c r="S1205" s="2" t="inlineStr">
        <is>
          <t>Downer</t>
        </is>
      </c>
      <c r="T1205" s="2" t="n">
        <v>100</v>
      </c>
      <c r="W1205" s="2" t="inlineStr">
        <is>
          <t>Classification</t>
        </is>
      </c>
    </row>
    <row r="1206">
      <c r="A1206" s="2" t="inlineStr">
        <is>
          <t>Downer</t>
        </is>
      </c>
      <c r="B1206" s="2" t="inlineStr">
        <is>
          <t>Fuel Cards - UTIL-253 - Water Services Programs</t>
        </is>
      </c>
      <c r="C1206" s="2" t="inlineStr">
        <is>
          <t>Fleet Fuel</t>
        </is>
      </c>
      <c r="D1206" s="2" t="inlineStr">
        <is>
          <t>L9.J.241503</t>
        </is>
      </c>
      <c r="E1206" s="2" t="inlineStr">
        <is>
          <t>FCU253</t>
        </is>
      </c>
      <c r="G1206" s="2" t="inlineStr">
        <is>
          <t>Needs to move to new group (253) when created</t>
        </is>
      </c>
      <c r="M1206" s="2" t="inlineStr">
        <is>
          <t>New South Wales</t>
        </is>
      </c>
      <c r="N1206" s="2" t="inlineStr">
        <is>
          <t>Australia</t>
        </is>
      </c>
      <c r="P1206" s="2" t="inlineStr">
        <is>
          <t>Operational Control</t>
        </is>
      </c>
      <c r="Q1206" s="2" t="inlineStr">
        <is>
          <t>Operational Control</t>
        </is>
      </c>
      <c r="R1206" s="2" t="inlineStr">
        <is>
          <t>Energy and Utilities (EU)</t>
        </is>
      </c>
      <c r="S1206" s="2" t="inlineStr">
        <is>
          <t>Downer</t>
        </is>
      </c>
      <c r="T1206" s="2" t="n">
        <v>100</v>
      </c>
      <c r="W1206" s="2" t="inlineStr">
        <is>
          <t>Classification</t>
        </is>
      </c>
    </row>
    <row r="1207">
      <c r="A1207" s="2" t="inlineStr">
        <is>
          <t>Downer</t>
        </is>
      </c>
      <c r="B1207" s="2" t="inlineStr">
        <is>
          <t>Fuel Cards - UTIL-359 - Engineering</t>
        </is>
      </c>
      <c r="C1207" s="2" t="inlineStr">
        <is>
          <t>Fleet Fuel</t>
        </is>
      </c>
      <c r="D1207" s="2" t="inlineStr">
        <is>
          <t>L9.J.377102</t>
        </is>
      </c>
      <c r="E1207" s="2" t="inlineStr">
        <is>
          <t>FCI359</t>
        </is>
      </c>
      <c r="M1207" s="2" t="inlineStr">
        <is>
          <t>New South Wales</t>
        </is>
      </c>
      <c r="N1207" s="2" t="inlineStr">
        <is>
          <t>Australia</t>
        </is>
      </c>
      <c r="P1207" s="2" t="inlineStr">
        <is>
          <t>Operational Control</t>
        </is>
      </c>
      <c r="Q1207" s="2" t="inlineStr">
        <is>
          <t>Operational Control</t>
        </is>
      </c>
      <c r="R1207" s="2" t="inlineStr">
        <is>
          <t>Energy and Utilities (EU)</t>
        </is>
      </c>
      <c r="S1207" s="2" t="inlineStr">
        <is>
          <t>Downer</t>
        </is>
      </c>
      <c r="T1207" s="2" t="n">
        <v>100</v>
      </c>
      <c r="W1207" s="2" t="inlineStr">
        <is>
          <t>Classification</t>
        </is>
      </c>
    </row>
    <row r="1208">
      <c r="A1208" s="2" t="inlineStr">
        <is>
          <t>Downer</t>
        </is>
      </c>
      <c r="B1208" s="2" t="inlineStr">
        <is>
          <t>Fuel Cards - UTIL-360 - Power Systems</t>
        </is>
      </c>
      <c r="C1208" s="2" t="inlineStr">
        <is>
          <t>Fleet Fuel</t>
        </is>
      </c>
      <c r="D1208" s="2" t="inlineStr">
        <is>
          <t>L9.J.37210031</t>
        </is>
      </c>
      <c r="E1208" s="2" t="inlineStr">
        <is>
          <t>FCI360</t>
        </is>
      </c>
      <c r="M1208" s="2" t="inlineStr">
        <is>
          <t>New South Wales</t>
        </is>
      </c>
      <c r="N1208" s="2" t="inlineStr">
        <is>
          <t>Australia</t>
        </is>
      </c>
      <c r="P1208" s="2" t="inlineStr">
        <is>
          <t>Operational Control</t>
        </is>
      </c>
      <c r="Q1208" s="2" t="inlineStr">
        <is>
          <t>Operational Control</t>
        </is>
      </c>
      <c r="R1208" s="2" t="inlineStr">
        <is>
          <t>Energy and Utilities (EU)</t>
        </is>
      </c>
      <c r="S1208" s="2" t="inlineStr">
        <is>
          <t>Downer</t>
        </is>
      </c>
      <c r="T1208" s="2" t="n">
        <v>100</v>
      </c>
      <c r="W1208" s="2" t="inlineStr">
        <is>
          <t>Classification</t>
        </is>
      </c>
      <c r="Z1208" s="2" t="n">
        <v>310</v>
      </c>
    </row>
    <row r="1209">
      <c r="A1209" s="2" t="inlineStr">
        <is>
          <t>Downer</t>
        </is>
      </c>
      <c r="B1209" s="2" t="inlineStr">
        <is>
          <t>Fuel MT-997</t>
        </is>
      </c>
      <c r="C1209" s="2" t="inlineStr">
        <is>
          <t>Fleet Fuel</t>
        </is>
      </c>
      <c r="D1209" s="2" t="inlineStr">
        <is>
          <t>L9.ENG.982.11.805</t>
        </is>
      </c>
      <c r="M1209" s="2" t="inlineStr">
        <is>
          <t>New South Wales</t>
        </is>
      </c>
      <c r="N1209" s="2" t="inlineStr">
        <is>
          <t>Australia</t>
        </is>
      </c>
      <c r="P1209" s="2" t="inlineStr">
        <is>
          <t>Operational Control</t>
        </is>
      </c>
      <c r="Q1209" s="2" t="inlineStr">
        <is>
          <t>Operational Control</t>
        </is>
      </c>
      <c r="R1209" s="2" t="inlineStr">
        <is>
          <t>Energy and Utilities (EU)</t>
        </is>
      </c>
      <c r="S1209" s="2" t="inlineStr">
        <is>
          <t>Downer</t>
        </is>
      </c>
      <c r="T1209" s="2" t="n">
        <v>100</v>
      </c>
      <c r="W1209" s="2" t="inlineStr">
        <is>
          <t>Classification</t>
        </is>
      </c>
    </row>
    <row r="1210">
      <c r="A1210" s="2" t="inlineStr">
        <is>
          <t>Downer</t>
        </is>
      </c>
      <c r="B1210" s="2" t="inlineStr">
        <is>
          <t>Future Energy Projects EU Subcontractors</t>
        </is>
      </c>
      <c r="C1210" s="2" t="inlineStr">
        <is>
          <t>Other</t>
        </is>
      </c>
      <c r="D1210" s="2" t="inlineStr">
        <is>
          <t>L9.J.382111</t>
        </is>
      </c>
      <c r="E1210" s="2" t="inlineStr">
        <is>
          <t>L9.J.382111</t>
        </is>
      </c>
      <c r="M1210" s="2" t="inlineStr">
        <is>
          <t>North Ryde</t>
        </is>
      </c>
      <c r="N1210" s="2" t="inlineStr">
        <is>
          <t>Australia</t>
        </is>
      </c>
      <c r="P1210" s="2" t="inlineStr">
        <is>
          <t>Operational Control</t>
        </is>
      </c>
      <c r="Q1210" s="2" t="inlineStr">
        <is>
          <t>Operational Control</t>
        </is>
      </c>
      <c r="R1210" s="2" t="inlineStr">
        <is>
          <t>Energy and Utilities (EU)</t>
        </is>
      </c>
      <c r="S1210" s="2" t="inlineStr">
        <is>
          <t>Downer</t>
        </is>
      </c>
      <c r="T1210" s="2" t="n">
        <v>100</v>
      </c>
      <c r="W1210" s="2" t="inlineStr">
        <is>
          <t>Classification</t>
        </is>
      </c>
    </row>
    <row r="1211">
      <c r="A1211" s="2" t="inlineStr">
        <is>
          <t>Downer</t>
        </is>
      </c>
      <c r="B1211" s="2" t="inlineStr">
        <is>
          <t>FY25 Bay Of Plenty Proactive EU Subcontractors</t>
        </is>
      </c>
      <c r="C1211" s="2" t="inlineStr">
        <is>
          <t>Other</t>
        </is>
      </c>
      <c r="D1211" s="2" t="inlineStr">
        <is>
          <t>L9.DNZ.810.21124</t>
        </is>
      </c>
      <c r="E1211" s="2" t="inlineStr">
        <is>
          <t>L9.DNZ.810.21124</t>
        </is>
      </c>
      <c r="F1211" s="2" t="inlineStr">
        <is>
          <t>L9.DNZ.810.21124</t>
        </is>
      </c>
      <c r="M1211" s="2" t="inlineStr">
        <is>
          <t>Auckland</t>
        </is>
      </c>
      <c r="N1211" s="2" t="inlineStr">
        <is>
          <t>New Zealand</t>
        </is>
      </c>
      <c r="P1211" s="2" t="inlineStr">
        <is>
          <t>Operational Control</t>
        </is>
      </c>
      <c r="Q1211" s="2" t="inlineStr">
        <is>
          <t>Operational Control</t>
        </is>
      </c>
      <c r="R1211" s="2" t="inlineStr">
        <is>
          <t>Energy and Utilities (EU)</t>
        </is>
      </c>
      <c r="S1211" s="2" t="inlineStr">
        <is>
          <t>Downer</t>
        </is>
      </c>
      <c r="T1211" s="2" t="n">
        <v>100</v>
      </c>
      <c r="W1211" s="2" t="inlineStr">
        <is>
          <t>Classification</t>
        </is>
      </c>
    </row>
    <row r="1212">
      <c r="A1212" s="2" t="inlineStr">
        <is>
          <t>Downer</t>
        </is>
      </c>
      <c r="B1212" s="2" t="inlineStr">
        <is>
          <t>Gas Hutt Valley Cvl Direct OH</t>
        </is>
      </c>
      <c r="C1212" s="2" t="inlineStr">
        <is>
          <t>Other</t>
        </is>
      </c>
      <c r="D1212" s="2" t="inlineStr">
        <is>
          <t>L9.DUN.50132</t>
        </is>
      </c>
      <c r="E1212" s="2" t="inlineStr">
        <is>
          <t>PG50132</t>
        </is>
      </c>
      <c r="H1212" s="2" t="inlineStr">
        <is>
          <t>130 Kerrs Road</t>
        </is>
      </c>
      <c r="I1212" s="2" t="inlineStr">
        <is>
          <t>Wiri</t>
        </is>
      </c>
      <c r="J1212" s="2" t="inlineStr">
        <is>
          <t>Auckland</t>
        </is>
      </c>
      <c r="K1212" s="2" t="n">
        <v>2104</v>
      </c>
      <c r="L1212" s="2" t="inlineStr">
        <is>
          <t>New Zealand</t>
        </is>
      </c>
      <c r="M1212" s="2" t="inlineStr">
        <is>
          <t>Manurewa</t>
        </is>
      </c>
      <c r="N1212" s="2" t="inlineStr">
        <is>
          <t>New Zealand</t>
        </is>
      </c>
      <c r="P1212" s="2" t="inlineStr">
        <is>
          <t>Operational Control</t>
        </is>
      </c>
      <c r="Q1212" s="2" t="inlineStr">
        <is>
          <t>Operational Control</t>
        </is>
      </c>
      <c r="R1212" s="2" t="inlineStr">
        <is>
          <t>Energy and Utilities (EU)</t>
        </is>
      </c>
      <c r="S1212" s="2" t="inlineStr">
        <is>
          <t>Downer</t>
        </is>
      </c>
      <c r="T1212" s="2" t="n">
        <v>100</v>
      </c>
      <c r="W1212" s="2" t="inlineStr">
        <is>
          <t>Classification</t>
        </is>
      </c>
      <c r="X1212" s="2" t="n">
        <v>-37.0083</v>
      </c>
      <c r="Y1212" s="2" t="n">
        <v>174.8705</v>
      </c>
    </row>
    <row r="1213">
      <c r="A1213" s="2" t="inlineStr">
        <is>
          <t>Downer</t>
        </is>
      </c>
      <c r="B1213" s="2" t="inlineStr">
        <is>
          <t>Gas Hutt Valley Indirect OH</t>
        </is>
      </c>
      <c r="C1213" s="2" t="inlineStr">
        <is>
          <t>Other</t>
        </is>
      </c>
      <c r="D1213" s="2" t="inlineStr">
        <is>
          <t>L9.DUN.50130</t>
        </is>
      </c>
      <c r="E1213" s="2" t="inlineStr">
        <is>
          <t>PG50130</t>
        </is>
      </c>
      <c r="H1213" s="2" t="inlineStr">
        <is>
          <t>130 Kerrs Road</t>
        </is>
      </c>
      <c r="I1213" s="2" t="inlineStr">
        <is>
          <t>Wiri</t>
        </is>
      </c>
      <c r="J1213" s="2" t="inlineStr">
        <is>
          <t>Auckland</t>
        </is>
      </c>
      <c r="K1213" s="2" t="n">
        <v>2104</v>
      </c>
      <c r="L1213" s="2" t="inlineStr">
        <is>
          <t>New Zealand</t>
        </is>
      </c>
      <c r="M1213" s="2" t="inlineStr">
        <is>
          <t>Manurewa</t>
        </is>
      </c>
      <c r="N1213" s="2" t="inlineStr">
        <is>
          <t>New Zealand</t>
        </is>
      </c>
      <c r="P1213" s="2" t="inlineStr">
        <is>
          <t>Operational Control</t>
        </is>
      </c>
      <c r="Q1213" s="2" t="inlineStr">
        <is>
          <t>Operational Control</t>
        </is>
      </c>
      <c r="R1213" s="2" t="inlineStr">
        <is>
          <t>Energy and Utilities (EU)</t>
        </is>
      </c>
      <c r="S1213" s="2" t="inlineStr">
        <is>
          <t>Downer</t>
        </is>
      </c>
      <c r="T1213" s="2" t="n">
        <v>100</v>
      </c>
      <c r="W1213" s="2" t="inlineStr">
        <is>
          <t>Classification</t>
        </is>
      </c>
      <c r="X1213" s="2" t="n">
        <v>-37.0083</v>
      </c>
      <c r="Y1213" s="2" t="n">
        <v>174.8705</v>
      </c>
    </row>
    <row r="1214">
      <c r="A1214" s="2" t="inlineStr">
        <is>
          <t>Downer</t>
        </is>
      </c>
      <c r="B1214" s="2" t="inlineStr">
        <is>
          <t>Gas Hutt Valley Tech Direct OH</t>
        </is>
      </c>
      <c r="C1214" s="2" t="inlineStr">
        <is>
          <t>Other</t>
        </is>
      </c>
      <c r="D1214" s="2" t="inlineStr">
        <is>
          <t>L9.DUN.50131</t>
        </is>
      </c>
      <c r="E1214" s="2" t="inlineStr">
        <is>
          <t>PG50131</t>
        </is>
      </c>
      <c r="H1214" s="2" t="inlineStr">
        <is>
          <t>130 Kerrs Road</t>
        </is>
      </c>
      <c r="I1214" s="2" t="inlineStr">
        <is>
          <t>Wiri</t>
        </is>
      </c>
      <c r="J1214" s="2" t="inlineStr">
        <is>
          <t>Auckland</t>
        </is>
      </c>
      <c r="K1214" s="2" t="n">
        <v>2104</v>
      </c>
      <c r="L1214" s="2" t="inlineStr">
        <is>
          <t>New Zealand</t>
        </is>
      </c>
      <c r="M1214" s="2" t="inlineStr">
        <is>
          <t>Manurewa</t>
        </is>
      </c>
      <c r="N1214" s="2" t="inlineStr">
        <is>
          <t>New Zealand</t>
        </is>
      </c>
      <c r="P1214" s="2" t="inlineStr">
        <is>
          <t>Operational Control</t>
        </is>
      </c>
      <c r="Q1214" s="2" t="inlineStr">
        <is>
          <t>Operational Control</t>
        </is>
      </c>
      <c r="R1214" s="2" t="inlineStr">
        <is>
          <t>Energy and Utilities (EU)</t>
        </is>
      </c>
      <c r="S1214" s="2" t="inlineStr">
        <is>
          <t>Downer</t>
        </is>
      </c>
      <c r="T1214" s="2" t="n">
        <v>100</v>
      </c>
      <c r="W1214" s="2" t="inlineStr">
        <is>
          <t>Classification</t>
        </is>
      </c>
      <c r="X1214" s="2" t="n">
        <v>-37.0083</v>
      </c>
      <c r="Y1214" s="2" t="n">
        <v>174.8705</v>
      </c>
    </row>
    <row r="1215">
      <c r="A1215" s="2" t="inlineStr">
        <is>
          <t>Downer</t>
        </is>
      </c>
      <c r="B1215" s="2" t="inlineStr">
        <is>
          <t>Gas Projects Indirect OH</t>
        </is>
      </c>
      <c r="C1215" s="2" t="inlineStr">
        <is>
          <t>Other</t>
        </is>
      </c>
      <c r="D1215" s="2" t="inlineStr">
        <is>
          <t>L9.DUN.50110</t>
        </is>
      </c>
      <c r="E1215" s="2" t="inlineStr">
        <is>
          <t>PG50110</t>
        </is>
      </c>
      <c r="H1215" s="2" t="inlineStr">
        <is>
          <t>130 Kerrs Road</t>
        </is>
      </c>
      <c r="I1215" s="2" t="inlineStr">
        <is>
          <t>Wiri</t>
        </is>
      </c>
      <c r="J1215" s="2" t="inlineStr">
        <is>
          <t>Auckland</t>
        </is>
      </c>
      <c r="K1215" s="2" t="n">
        <v>2104</v>
      </c>
      <c r="L1215" s="2" t="inlineStr">
        <is>
          <t>New Zealand</t>
        </is>
      </c>
      <c r="M1215" s="2" t="inlineStr">
        <is>
          <t>Manurewa</t>
        </is>
      </c>
      <c r="N1215" s="2" t="inlineStr">
        <is>
          <t>New Zealand</t>
        </is>
      </c>
      <c r="P1215" s="2" t="inlineStr">
        <is>
          <t>Operational Control</t>
        </is>
      </c>
      <c r="Q1215" s="2" t="inlineStr">
        <is>
          <t>Operational Control</t>
        </is>
      </c>
      <c r="R1215" s="2" t="inlineStr">
        <is>
          <t>Energy and Utilities (EU)</t>
        </is>
      </c>
      <c r="S1215" s="2" t="inlineStr">
        <is>
          <t>Downer</t>
        </is>
      </c>
      <c r="T1215" s="2" t="n">
        <v>100</v>
      </c>
      <c r="W1215" s="2" t="inlineStr">
        <is>
          <t>Classification</t>
        </is>
      </c>
      <c r="X1215" s="2" t="n">
        <v>-37.0083</v>
      </c>
      <c r="Y1215" s="2" t="n">
        <v>174.8705</v>
      </c>
    </row>
    <row r="1216">
      <c r="A1216" s="2" t="inlineStr">
        <is>
          <t>Downer</t>
        </is>
      </c>
      <c r="B1216" s="2" t="inlineStr">
        <is>
          <t>Gas Projects PM/Des Direct OH</t>
        </is>
      </c>
      <c r="C1216" s="2" t="inlineStr">
        <is>
          <t>Other</t>
        </is>
      </c>
      <c r="D1216" s="2" t="inlineStr">
        <is>
          <t>L9.DUN.50113</t>
        </is>
      </c>
      <c r="E1216" s="2" t="inlineStr">
        <is>
          <t>PG50113</t>
        </is>
      </c>
      <c r="H1216" s="2" t="inlineStr">
        <is>
          <t>130 Kerrs Road</t>
        </is>
      </c>
      <c r="I1216" s="2" t="inlineStr">
        <is>
          <t>Wiri</t>
        </is>
      </c>
      <c r="J1216" s="2" t="inlineStr">
        <is>
          <t>Auckland</t>
        </is>
      </c>
      <c r="K1216" s="2" t="n">
        <v>2104</v>
      </c>
      <c r="L1216" s="2" t="inlineStr">
        <is>
          <t>New Zealand</t>
        </is>
      </c>
      <c r="M1216" s="2" t="inlineStr">
        <is>
          <t>Manurewa</t>
        </is>
      </c>
      <c r="N1216" s="2" t="inlineStr">
        <is>
          <t>New Zealand</t>
        </is>
      </c>
      <c r="P1216" s="2" t="inlineStr">
        <is>
          <t>Operational Control</t>
        </is>
      </c>
      <c r="Q1216" s="2" t="inlineStr">
        <is>
          <t>Operational Control</t>
        </is>
      </c>
      <c r="R1216" s="2" t="inlineStr">
        <is>
          <t>Energy and Utilities (EU)</t>
        </is>
      </c>
      <c r="S1216" s="2" t="inlineStr">
        <is>
          <t>Downer</t>
        </is>
      </c>
      <c r="T1216" s="2" t="n">
        <v>100</v>
      </c>
      <c r="W1216" s="2" t="inlineStr">
        <is>
          <t>Classification</t>
        </is>
      </c>
      <c r="X1216" s="2" t="n">
        <v>-37.0083</v>
      </c>
      <c r="Y1216" s="2" t="n">
        <v>174.8705</v>
      </c>
    </row>
    <row r="1217">
      <c r="A1217" s="2" t="inlineStr">
        <is>
          <t>Downer</t>
        </is>
      </c>
      <c r="B1217" s="2" t="inlineStr">
        <is>
          <t>Gas Vector AMS Direct OH</t>
        </is>
      </c>
      <c r="C1217" s="2" t="inlineStr">
        <is>
          <t>Other</t>
        </is>
      </c>
      <c r="D1217" s="2" t="inlineStr">
        <is>
          <t>L9.DUN.50211</t>
        </is>
      </c>
      <c r="E1217" s="2" t="inlineStr">
        <is>
          <t>PG50211</t>
        </is>
      </c>
      <c r="H1217" s="2" t="inlineStr">
        <is>
          <t>130 Kerrs Road</t>
        </is>
      </c>
      <c r="I1217" s="2" t="inlineStr">
        <is>
          <t>Wiri</t>
        </is>
      </c>
      <c r="J1217" s="2" t="inlineStr">
        <is>
          <t>Auckland</t>
        </is>
      </c>
      <c r="K1217" s="2" t="n">
        <v>2104</v>
      </c>
      <c r="L1217" s="2" t="inlineStr">
        <is>
          <t>New Zealand</t>
        </is>
      </c>
      <c r="M1217" s="2" t="inlineStr">
        <is>
          <t>Manurewa</t>
        </is>
      </c>
      <c r="N1217" s="2" t="inlineStr">
        <is>
          <t>New Zealand</t>
        </is>
      </c>
      <c r="P1217" s="2" t="inlineStr">
        <is>
          <t>Operational Control</t>
        </is>
      </c>
      <c r="Q1217" s="2" t="inlineStr">
        <is>
          <t>Operational Control</t>
        </is>
      </c>
      <c r="R1217" s="2" t="inlineStr">
        <is>
          <t>Energy and Utilities (EU)</t>
        </is>
      </c>
      <c r="S1217" s="2" t="inlineStr">
        <is>
          <t>Downer</t>
        </is>
      </c>
      <c r="T1217" s="2" t="n">
        <v>100</v>
      </c>
      <c r="W1217" s="2" t="inlineStr">
        <is>
          <t>Classification</t>
        </is>
      </c>
      <c r="X1217" s="2" t="n">
        <v>-37.0083</v>
      </c>
      <c r="Y1217" s="2" t="n">
        <v>174.8705</v>
      </c>
    </row>
    <row r="1218">
      <c r="A1218" s="2" t="inlineStr">
        <is>
          <t>Downer</t>
        </is>
      </c>
      <c r="B1218" s="2" t="inlineStr">
        <is>
          <t>Gas Vector AMS Indirect OH</t>
        </is>
      </c>
      <c r="C1218" s="2" t="inlineStr">
        <is>
          <t>Other</t>
        </is>
      </c>
      <c r="D1218" s="2" t="inlineStr">
        <is>
          <t>L9.DUN.50210</t>
        </is>
      </c>
      <c r="E1218" s="2" t="inlineStr">
        <is>
          <t>PG50210</t>
        </is>
      </c>
      <c r="M1218" s="2" t="inlineStr">
        <is>
          <t>Manurewa</t>
        </is>
      </c>
      <c r="N1218" s="2" t="inlineStr">
        <is>
          <t>New Zealand</t>
        </is>
      </c>
      <c r="P1218" s="2" t="inlineStr">
        <is>
          <t>Operational Control</t>
        </is>
      </c>
      <c r="Q1218" s="2" t="inlineStr">
        <is>
          <t>Operational Control</t>
        </is>
      </c>
      <c r="R1218" s="2" t="inlineStr">
        <is>
          <t>Energy and Utilities (EU)</t>
        </is>
      </c>
      <c r="S1218" s="2" t="inlineStr">
        <is>
          <t>Downer</t>
        </is>
      </c>
      <c r="T1218" s="2" t="n">
        <v>100</v>
      </c>
      <c r="W1218" s="2" t="inlineStr">
        <is>
          <t>Classification</t>
        </is>
      </c>
    </row>
    <row r="1219">
      <c r="A1219" s="2" t="inlineStr">
        <is>
          <t>Downer</t>
        </is>
      </c>
      <c r="B1219" s="2" t="inlineStr">
        <is>
          <t>GCI Solutions (Downer Ventia JV)</t>
        </is>
      </c>
      <c r="C1219" s="2" t="inlineStr">
        <is>
          <t>Site</t>
        </is>
      </c>
      <c r="D1219" s="2" t="inlineStr">
        <is>
          <t>L9.J.241615</t>
        </is>
      </c>
      <c r="E1219" s="2" t="n">
        <v>241615</v>
      </c>
      <c r="M1219" s="2" t="inlineStr">
        <is>
          <t>Gold Coast</t>
        </is>
      </c>
      <c r="N1219" s="2" t="inlineStr">
        <is>
          <t>Australia</t>
        </is>
      </c>
      <c r="P1219" s="2" t="inlineStr">
        <is>
          <t>Operational Control</t>
        </is>
      </c>
      <c r="Q1219" s="2" t="inlineStr">
        <is>
          <t>Operational Control</t>
        </is>
      </c>
      <c r="R1219" s="2" t="inlineStr">
        <is>
          <t>Energy and Utilities (EU)</t>
        </is>
      </c>
      <c r="S1219" s="2" t="inlineStr">
        <is>
          <t>Downer</t>
        </is>
      </c>
      <c r="T1219" s="2" t="n">
        <v>100</v>
      </c>
      <c r="W1219" s="2" t="inlineStr">
        <is>
          <t>Classification</t>
        </is>
      </c>
    </row>
    <row r="1220">
      <c r="A1220" s="2" t="inlineStr">
        <is>
          <t>Downer</t>
        </is>
      </c>
      <c r="B1220" s="2" t="inlineStr">
        <is>
          <t>General Workspace</t>
        </is>
      </c>
      <c r="C1220" s="2" t="inlineStr">
        <is>
          <t>Site</t>
        </is>
      </c>
      <c r="D1220" s="2" t="inlineStr">
        <is>
          <t>L9.J.258101</t>
        </is>
      </c>
      <c r="E1220" s="2" t="inlineStr">
        <is>
          <t>UTIL-258101</t>
        </is>
      </c>
      <c r="G1220" s="2" t="inlineStr">
        <is>
          <t>General Workspace for SFP JV</t>
        </is>
      </c>
      <c r="M1220" s="2" t="inlineStr">
        <is>
          <t>Victoria</t>
        </is>
      </c>
      <c r="N1220" s="2" t="inlineStr">
        <is>
          <t>Australia</t>
        </is>
      </c>
      <c r="P1220" s="2" t="inlineStr">
        <is>
          <t>Operational Control</t>
        </is>
      </c>
      <c r="Q1220" s="2" t="inlineStr">
        <is>
          <t>Operational Control</t>
        </is>
      </c>
      <c r="R1220" s="2" t="inlineStr">
        <is>
          <t>Energy and Utilities (EU)</t>
        </is>
      </c>
      <c r="S1220" s="2" t="inlineStr">
        <is>
          <t>Downer</t>
        </is>
      </c>
      <c r="T1220" s="2" t="n">
        <v>100</v>
      </c>
      <c r="W1220" s="2" t="inlineStr">
        <is>
          <t>Classification</t>
        </is>
      </c>
    </row>
    <row r="1221">
      <c r="A1221" s="2" t="inlineStr">
        <is>
          <t>Downer</t>
        </is>
      </c>
      <c r="B1221" s="2" t="inlineStr">
        <is>
          <t>Gepps Cross</t>
        </is>
      </c>
      <c r="C1221" s="2" t="inlineStr">
        <is>
          <t>Office</t>
        </is>
      </c>
      <c r="D1221" s="2" t="inlineStr">
        <is>
          <t>L9.J.10920031</t>
        </is>
      </c>
      <c r="G1221" s="2" t="inlineStr">
        <is>
          <t>Utilities site</t>
        </is>
      </c>
      <c r="H1221" s="2" t="inlineStr">
        <is>
          <t>535 Prospect Road</t>
        </is>
      </c>
      <c r="I1221" s="2" t="inlineStr">
        <is>
          <t>Gepps Cross</t>
        </is>
      </c>
      <c r="J1221" s="2" t="inlineStr">
        <is>
          <t>SA</t>
        </is>
      </c>
      <c r="K1221" s="2" t="n">
        <v>5094</v>
      </c>
      <c r="L1221" s="2" t="inlineStr">
        <is>
          <t>Australia</t>
        </is>
      </c>
      <c r="M1221" s="2" t="inlineStr">
        <is>
          <t>South Australia</t>
        </is>
      </c>
      <c r="N1221" s="2" t="inlineStr">
        <is>
          <t>Australia</t>
        </is>
      </c>
      <c r="P1221" s="2" t="inlineStr">
        <is>
          <t>Operational Control</t>
        </is>
      </c>
      <c r="Q1221" s="2" t="inlineStr">
        <is>
          <t>Operational Control</t>
        </is>
      </c>
      <c r="R1221" s="2" t="inlineStr">
        <is>
          <t>Corporate</t>
        </is>
      </c>
      <c r="S1221" s="2" t="inlineStr">
        <is>
          <t>Downer</t>
        </is>
      </c>
      <c r="T1221" s="2" t="n">
        <v>100</v>
      </c>
      <c r="W1221" s="2" t="inlineStr">
        <is>
          <t>Classification</t>
        </is>
      </c>
    </row>
    <row r="1222">
      <c r="A1222" s="2" t="inlineStr">
        <is>
          <t>Downer</t>
        </is>
      </c>
      <c r="B1222" s="2" t="inlineStr">
        <is>
          <t>Gillman - BIT</t>
        </is>
      </c>
      <c r="C1222" s="2" t="inlineStr">
        <is>
          <t>Depot</t>
        </is>
      </c>
      <c r="D1222" s="2" t="inlineStr">
        <is>
          <t>L9.J.170517</t>
        </is>
      </c>
      <c r="E1222" s="2" t="inlineStr">
        <is>
          <t>GBIT</t>
        </is>
      </c>
      <c r="M1222" s="2" t="inlineStr">
        <is>
          <t>South Australia</t>
        </is>
      </c>
      <c r="N1222" s="2" t="inlineStr">
        <is>
          <t>Australia</t>
        </is>
      </c>
      <c r="P1222" s="2" t="inlineStr">
        <is>
          <t>Operational Control</t>
        </is>
      </c>
      <c r="Q1222" s="2" t="inlineStr">
        <is>
          <t>Operational Control</t>
        </is>
      </c>
      <c r="R1222" s="2" t="inlineStr">
        <is>
          <t>Transport &amp; Infrastructure (T&amp;I)</t>
        </is>
      </c>
      <c r="S1222" s="2" t="inlineStr">
        <is>
          <t>Downer</t>
        </is>
      </c>
      <c r="T1222" s="2" t="n">
        <v>100</v>
      </c>
      <c r="W1222" s="2" t="inlineStr">
        <is>
          <t>Classification</t>
        </is>
      </c>
    </row>
    <row r="1223">
      <c r="A1223" s="2" t="inlineStr">
        <is>
          <t>Downer</t>
        </is>
      </c>
      <c r="B1223" s="2" t="inlineStr">
        <is>
          <t>Gillman - P&amp;E</t>
        </is>
      </c>
      <c r="C1223" s="2" t="inlineStr">
        <is>
          <t>Depot</t>
        </is>
      </c>
      <c r="D1223" s="2" t="inlineStr">
        <is>
          <t>L9.J.170592</t>
        </is>
      </c>
      <c r="M1223" s="2" t="inlineStr">
        <is>
          <t>South Australia</t>
        </is>
      </c>
      <c r="N1223" s="2" t="inlineStr">
        <is>
          <t>Australia</t>
        </is>
      </c>
      <c r="P1223" s="2" t="inlineStr">
        <is>
          <t>Operational Control</t>
        </is>
      </c>
      <c r="Q1223" s="2" t="inlineStr">
        <is>
          <t>Operational Control</t>
        </is>
      </c>
      <c r="R1223" s="2" t="inlineStr">
        <is>
          <t>Transport &amp; Infrastructure (T&amp;I)</t>
        </is>
      </c>
      <c r="S1223" s="2" t="inlineStr">
        <is>
          <t>Downer</t>
        </is>
      </c>
      <c r="T1223" s="2" t="n">
        <v>100</v>
      </c>
      <c r="W1223" s="2" t="inlineStr">
        <is>
          <t>Classification</t>
        </is>
      </c>
    </row>
    <row r="1224">
      <c r="A1224" s="2" t="inlineStr">
        <is>
          <t>Downer</t>
        </is>
      </c>
      <c r="B1224" s="2" t="inlineStr">
        <is>
          <t>Gillman - PAV</t>
        </is>
      </c>
      <c r="C1224" s="2" t="inlineStr">
        <is>
          <t>Depot</t>
        </is>
      </c>
      <c r="D1224" s="2" t="inlineStr">
        <is>
          <t>L9.J.17050664</t>
        </is>
      </c>
      <c r="E1224" s="2" t="inlineStr">
        <is>
          <t>L9.J.17050664</t>
        </is>
      </c>
      <c r="H1224" s="2" t="inlineStr">
        <is>
          <t>6 Matson Court</t>
        </is>
      </c>
      <c r="I1224" s="2" t="inlineStr">
        <is>
          <t>Gillman</t>
        </is>
      </c>
      <c r="J1224" s="2" t="inlineStr">
        <is>
          <t>SA</t>
        </is>
      </c>
      <c r="K1224" s="2" t="n">
        <v>5013</v>
      </c>
      <c r="L1224" s="2" t="inlineStr">
        <is>
          <t>Australia</t>
        </is>
      </c>
      <c r="M1224" s="2" t="inlineStr">
        <is>
          <t>South Australia</t>
        </is>
      </c>
      <c r="N1224" s="2" t="inlineStr">
        <is>
          <t>Australia</t>
        </is>
      </c>
      <c r="P1224" s="2" t="inlineStr">
        <is>
          <t>Operational Control</t>
        </is>
      </c>
      <c r="Q1224" s="2" t="inlineStr">
        <is>
          <t>Operational Control</t>
        </is>
      </c>
      <c r="R1224" s="2" t="inlineStr">
        <is>
          <t>Transport &amp; Infrastructure (T&amp;I)</t>
        </is>
      </c>
      <c r="S1224" s="2" t="inlineStr">
        <is>
          <t>Downer</t>
        </is>
      </c>
      <c r="T1224" s="2" t="n">
        <v>100</v>
      </c>
      <c r="W1224" s="2" t="inlineStr">
        <is>
          <t>Classification</t>
        </is>
      </c>
      <c r="X1224" s="2" t="n">
        <v>-34.841</v>
      </c>
      <c r="Y1224" s="2" t="n">
        <v>138.528</v>
      </c>
      <c r="Z1224" s="2" t="n">
        <v>310</v>
      </c>
    </row>
    <row r="1225">
      <c r="A1225" s="2" t="inlineStr">
        <is>
          <t>Downer</t>
        </is>
      </c>
      <c r="B1225" s="2" t="inlineStr">
        <is>
          <t>Gisborne (222 Dunstan Road)</t>
        </is>
      </c>
      <c r="C1225" s="2" t="inlineStr">
        <is>
          <t>Land</t>
        </is>
      </c>
      <c r="D1225" s="2" t="inlineStr">
        <is>
          <t>L9.DNZJ.91201</t>
        </is>
      </c>
      <c r="E1225" s="2" t="n">
        <v>91201</v>
      </c>
      <c r="G1225" s="2" t="inlineStr">
        <is>
          <t>COR-NZHO.91201-Gisborne (222 Dunstan Road)
T&amp;I Land - NZ property listing</t>
        </is>
      </c>
      <c r="M1225" s="2" t="inlineStr">
        <is>
          <t>Gisborne</t>
        </is>
      </c>
      <c r="N1225" s="2" t="inlineStr">
        <is>
          <t>New Zealand</t>
        </is>
      </c>
      <c r="P1225" s="2" t="inlineStr">
        <is>
          <t>Operational Control</t>
        </is>
      </c>
      <c r="Q1225" s="2" t="inlineStr">
        <is>
          <t>Operational Control</t>
        </is>
      </c>
      <c r="R1225" s="2" t="inlineStr">
        <is>
          <t>Transport &amp; Infrastructure (T&amp;I)</t>
        </is>
      </c>
      <c r="S1225" s="2" t="inlineStr">
        <is>
          <t>Downer</t>
        </is>
      </c>
      <c r="T1225" s="2" t="n">
        <v>100</v>
      </c>
      <c r="W1225" s="2" t="inlineStr">
        <is>
          <t>Classification</t>
        </is>
      </c>
    </row>
    <row r="1226">
      <c r="A1226" s="2" t="inlineStr">
        <is>
          <t>Downer</t>
        </is>
      </c>
      <c r="B1226" s="2" t="inlineStr">
        <is>
          <t>Gisborne (3-58 Peel Street)</t>
        </is>
      </c>
      <c r="C1226" s="2" t="inlineStr">
        <is>
          <t>Other</t>
        </is>
      </c>
      <c r="D1226" s="2" t="inlineStr">
        <is>
          <t>L9.DNZJ.91200</t>
        </is>
      </c>
      <c r="E1226" s="2" t="n">
        <v>91200</v>
      </c>
      <c r="H1226" s="2" t="inlineStr">
        <is>
          <t>3-58 Peel Street</t>
        </is>
      </c>
      <c r="I1226" s="2" t="inlineStr">
        <is>
          <t>Gisborne</t>
        </is>
      </c>
      <c r="J1226" s="2" t="inlineStr">
        <is>
          <t>Gisborne</t>
        </is>
      </c>
      <c r="K1226" s="2" t="n">
        <v>4010</v>
      </c>
      <c r="L1226" s="2" t="inlineStr">
        <is>
          <t>New Zealand</t>
        </is>
      </c>
      <c r="M1226" s="2" t="inlineStr">
        <is>
          <t>Gisborne</t>
        </is>
      </c>
      <c r="N1226" s="2" t="inlineStr">
        <is>
          <t>New Zealand</t>
        </is>
      </c>
      <c r="P1226" s="2" t="inlineStr">
        <is>
          <t>Operational Control</t>
        </is>
      </c>
      <c r="Q1226" s="2" t="inlineStr">
        <is>
          <t>Operational Control</t>
        </is>
      </c>
      <c r="R1226" s="2" t="inlineStr">
        <is>
          <t>Corporate</t>
        </is>
      </c>
      <c r="S1226" s="2" t="inlineStr">
        <is>
          <t>Downer</t>
        </is>
      </c>
      <c r="T1226" s="2" t="n">
        <v>100</v>
      </c>
      <c r="W1226" s="2" t="inlineStr">
        <is>
          <t>Classification</t>
        </is>
      </c>
      <c r="X1226" s="2" t="n">
        <v>-38.6668</v>
      </c>
      <c r="Y1226" s="2" t="n">
        <v>178.0258</v>
      </c>
    </row>
    <row r="1227">
      <c r="A1227" s="2" t="inlineStr">
        <is>
          <t>Downer</t>
        </is>
      </c>
      <c r="B1227" s="2" t="inlineStr">
        <is>
          <t>Gisborne COS - Recharge</t>
        </is>
      </c>
      <c r="C1227" s="2" t="inlineStr">
        <is>
          <t>Other</t>
        </is>
      </c>
      <c r="D1227" s="2" t="inlineStr">
        <is>
          <t>L9.DNZJ.54985</t>
        </is>
      </c>
      <c r="E1227" s="2" t="n">
        <v>54985</v>
      </c>
      <c r="M1227" s="2" t="inlineStr">
        <is>
          <t>Gisborne</t>
        </is>
      </c>
      <c r="N1227" s="2" t="inlineStr">
        <is>
          <t>New Zealand</t>
        </is>
      </c>
      <c r="P1227" s="2" t="inlineStr">
        <is>
          <t>Operational Control</t>
        </is>
      </c>
      <c r="Q1227" s="2" t="inlineStr">
        <is>
          <t>Operational Control</t>
        </is>
      </c>
      <c r="R1227" s="2" t="inlineStr">
        <is>
          <t>Transport &amp; Infrastructure (T&amp;I)</t>
        </is>
      </c>
      <c r="S1227" s="2" t="inlineStr">
        <is>
          <t>Downer</t>
        </is>
      </c>
      <c r="T1227" s="2" t="n">
        <v>100</v>
      </c>
      <c r="W1227" s="2" t="inlineStr">
        <is>
          <t>Classification</t>
        </is>
      </c>
    </row>
    <row r="1228">
      <c r="A1228" s="2" t="inlineStr">
        <is>
          <t>Downer</t>
        </is>
      </c>
      <c r="B1228" s="2" t="inlineStr">
        <is>
          <t>Gisborne Depot</t>
        </is>
      </c>
      <c r="C1228" s="2" t="inlineStr">
        <is>
          <t>Other</t>
        </is>
      </c>
      <c r="D1228" s="2" t="inlineStr">
        <is>
          <t>L9.DNZJ.55580</t>
        </is>
      </c>
      <c r="E1228" s="2" t="n">
        <v>55580</v>
      </c>
      <c r="F1228" s="2" t="n">
        <v>898161</v>
      </c>
      <c r="H1228" s="2" t="inlineStr">
        <is>
          <t>187 Awapuni Road</t>
        </is>
      </c>
      <c r="I1228" s="2" t="inlineStr">
        <is>
          <t>Awapuni</t>
        </is>
      </c>
      <c r="J1228" s="2" t="inlineStr">
        <is>
          <t>Gisborne</t>
        </is>
      </c>
      <c r="K1228" s="2" t="n">
        <v>4010</v>
      </c>
      <c r="L1228" s="2" t="inlineStr">
        <is>
          <t>New Zealand</t>
        </is>
      </c>
      <c r="M1228" s="2" t="inlineStr">
        <is>
          <t>Gisborne</t>
        </is>
      </c>
      <c r="N1228" s="2" t="inlineStr">
        <is>
          <t>New Zealand</t>
        </is>
      </c>
      <c r="P1228" s="2" t="inlineStr">
        <is>
          <t>Operational Control</t>
        </is>
      </c>
      <c r="Q1228" s="2" t="inlineStr">
        <is>
          <t>Operational Control</t>
        </is>
      </c>
      <c r="R1228" s="2" t="inlineStr">
        <is>
          <t>Transport &amp; Infrastructure (T&amp;I)</t>
        </is>
      </c>
      <c r="S1228" s="2" t="inlineStr">
        <is>
          <t>Downer</t>
        </is>
      </c>
      <c r="T1228" s="2" t="n">
        <v>100</v>
      </c>
      <c r="W1228" s="2" t="inlineStr">
        <is>
          <t>Classification</t>
        </is>
      </c>
      <c r="X1228" s="2" t="n">
        <v>-38.6681</v>
      </c>
      <c r="Y1228" s="2" t="n">
        <v>178.0022</v>
      </c>
    </row>
    <row r="1229">
      <c r="A1229" s="2" t="inlineStr">
        <is>
          <t>Downer</t>
        </is>
      </c>
      <c r="B1229" s="2" t="inlineStr">
        <is>
          <t>Gisborne Telco Ops</t>
        </is>
      </c>
      <c r="C1229" s="2" t="inlineStr">
        <is>
          <t>Other</t>
        </is>
      </c>
      <c r="D1229" s="2" t="inlineStr">
        <is>
          <t>L9.DNZ.810.10.169</t>
        </is>
      </c>
      <c r="E1229" s="2" t="n">
        <v>10169</v>
      </c>
      <c r="G1229" s="2" t="n">
        <v>10.169</v>
      </c>
      <c r="H1229" s="2" t="inlineStr">
        <is>
          <t>130 Kerrs Road</t>
        </is>
      </c>
      <c r="I1229" s="2" t="inlineStr">
        <is>
          <t>Wiri</t>
        </is>
      </c>
      <c r="J1229" s="2" t="inlineStr">
        <is>
          <t>Auckland</t>
        </is>
      </c>
      <c r="K1229" s="2" t="n">
        <v>2104</v>
      </c>
      <c r="L1229" s="2" t="inlineStr">
        <is>
          <t>New Zealand</t>
        </is>
      </c>
      <c r="M1229" s="2" t="inlineStr">
        <is>
          <t>Manurewa</t>
        </is>
      </c>
      <c r="N1229" s="2" t="inlineStr">
        <is>
          <t>New Zealand</t>
        </is>
      </c>
      <c r="P1229" s="2" t="inlineStr">
        <is>
          <t>Operational Control</t>
        </is>
      </c>
      <c r="Q1229" s="2" t="inlineStr">
        <is>
          <t>Operational Control</t>
        </is>
      </c>
      <c r="R1229" s="2" t="inlineStr">
        <is>
          <t>Energy and Utilities (EU)</t>
        </is>
      </c>
      <c r="S1229" s="2" t="inlineStr">
        <is>
          <t>Downer</t>
        </is>
      </c>
      <c r="T1229" s="2" t="n">
        <v>100</v>
      </c>
      <c r="W1229" s="2" t="inlineStr">
        <is>
          <t>Classification</t>
        </is>
      </c>
      <c r="X1229" s="2" t="n">
        <v>-37.0083</v>
      </c>
      <c r="Y1229" s="2" t="n">
        <v>174.8705</v>
      </c>
    </row>
    <row r="1230">
      <c r="A1230" s="2" t="inlineStr">
        <is>
          <t>Downer</t>
        </is>
      </c>
      <c r="B1230" s="2" t="inlineStr">
        <is>
          <t>Goldfields EU Subcontractors</t>
        </is>
      </c>
      <c r="C1230" s="2" t="inlineStr">
        <is>
          <t>Other</t>
        </is>
      </c>
      <c r="D1230" s="2" t="inlineStr">
        <is>
          <t>L9.J.38280125</t>
        </is>
      </c>
      <c r="E1230" s="2" t="inlineStr">
        <is>
          <t>L9.J.38280125</t>
        </is>
      </c>
      <c r="M1230" s="2" t="inlineStr">
        <is>
          <t>North Ryde</t>
        </is>
      </c>
      <c r="N1230" s="2" t="inlineStr">
        <is>
          <t>Australia</t>
        </is>
      </c>
      <c r="P1230" s="2" t="inlineStr">
        <is>
          <t>Operational Control</t>
        </is>
      </c>
      <c r="Q1230" s="2" t="inlineStr">
        <is>
          <t>Operational Control</t>
        </is>
      </c>
      <c r="R1230" s="2" t="inlineStr">
        <is>
          <t>Energy and Utilities (EU)</t>
        </is>
      </c>
      <c r="S1230" s="2" t="inlineStr">
        <is>
          <t>Downer</t>
        </is>
      </c>
      <c r="T1230" s="2" t="n">
        <v>100</v>
      </c>
      <c r="W1230" s="2" t="inlineStr">
        <is>
          <t>Classification</t>
        </is>
      </c>
    </row>
    <row r="1231">
      <c r="A1231" s="2" t="inlineStr">
        <is>
          <t>Downer</t>
        </is>
      </c>
      <c r="B1231" s="2" t="inlineStr">
        <is>
          <t>Green Vision Recycling Admin</t>
        </is>
      </c>
      <c r="C1231" s="2" t="inlineStr">
        <is>
          <t>Other</t>
        </is>
      </c>
      <c r="D1231" s="2" t="inlineStr">
        <is>
          <t>L9.DNZJ.3201</t>
        </is>
      </c>
      <c r="E1231" s="2" t="n">
        <v>3201</v>
      </c>
      <c r="M1231" s="2" t="inlineStr">
        <is>
          <t>Manurewa</t>
        </is>
      </c>
      <c r="N1231" s="2" t="inlineStr">
        <is>
          <t>New Zealand</t>
        </is>
      </c>
      <c r="P1231" s="2" t="inlineStr">
        <is>
          <t>Operational Control</t>
        </is>
      </c>
      <c r="Q1231" s="2" t="inlineStr">
        <is>
          <t>Operational Control</t>
        </is>
      </c>
      <c r="R1231" s="2" t="inlineStr">
        <is>
          <t>Transport &amp; Infrastructure (T&amp;I)</t>
        </is>
      </c>
      <c r="S1231" s="2" t="inlineStr">
        <is>
          <t>Downer</t>
        </is>
      </c>
      <c r="T1231" s="2" t="n">
        <v>100</v>
      </c>
      <c r="W1231" s="2" t="inlineStr">
        <is>
          <t>Classification</t>
        </is>
      </c>
    </row>
    <row r="1232">
      <c r="A1232" s="2" t="inlineStr">
        <is>
          <t>Downer</t>
        </is>
      </c>
      <c r="B1232" s="2" t="inlineStr">
        <is>
          <t>Green Vision Recycling Product</t>
        </is>
      </c>
      <c r="C1232" s="2" t="inlineStr">
        <is>
          <t>Other</t>
        </is>
      </c>
      <c r="D1232" s="2" t="inlineStr">
        <is>
          <t>L9.DNZJ.3202</t>
        </is>
      </c>
      <c r="E1232" s="2" t="n">
        <v>3202</v>
      </c>
      <c r="F1232" s="2" t="n">
        <v>1041511</v>
      </c>
      <c r="H1232" s="2" t="inlineStr">
        <is>
          <t>39 Miami Parade</t>
        </is>
      </c>
      <c r="I1232" s="2" t="inlineStr">
        <is>
          <t>Onehunga</t>
        </is>
      </c>
      <c r="J1232" s="2" t="inlineStr">
        <is>
          <t>Auckland</t>
        </is>
      </c>
      <c r="K1232" s="2" t="n">
        <v>1061</v>
      </c>
      <c r="L1232" s="2" t="inlineStr">
        <is>
          <t>New Zealand</t>
        </is>
      </c>
      <c r="M1232" s="2" t="inlineStr">
        <is>
          <t>Mangere</t>
        </is>
      </c>
      <c r="N1232" s="2" t="inlineStr">
        <is>
          <t>New Zealand</t>
        </is>
      </c>
      <c r="P1232" s="2" t="inlineStr">
        <is>
          <t>Operational Control</t>
        </is>
      </c>
      <c r="Q1232" s="2" t="inlineStr">
        <is>
          <t>Operational Control</t>
        </is>
      </c>
      <c r="R1232" s="2" t="inlineStr">
        <is>
          <t>Transport &amp; Infrastructure (T&amp;I)</t>
        </is>
      </c>
      <c r="S1232" s="2" t="inlineStr">
        <is>
          <t>Downer</t>
        </is>
      </c>
      <c r="T1232" s="2" t="n">
        <v>100</v>
      </c>
      <c r="W1232" s="2" t="inlineStr">
        <is>
          <t>Classification</t>
        </is>
      </c>
      <c r="X1232" s="2" t="n">
        <v>-36.9302</v>
      </c>
      <c r="Y1232" s="2" t="n">
        <v>174.8066</v>
      </c>
    </row>
    <row r="1233">
      <c r="A1233" s="2" t="inlineStr">
        <is>
          <t>Downer</t>
        </is>
      </c>
      <c r="B1233" s="2" t="inlineStr">
        <is>
          <t>Group Travel - Australia</t>
        </is>
      </c>
      <c r="C1233" s="2" t="inlineStr">
        <is>
          <t>Other</t>
        </is>
      </c>
      <c r="D1233" s="2" t="inlineStr">
        <is>
          <t>L9.J.150214</t>
        </is>
      </c>
      <c r="E1233" s="2" t="n">
        <v>1003</v>
      </c>
      <c r="M1233" s="2" t="inlineStr">
        <is>
          <t>New South Wales</t>
        </is>
      </c>
      <c r="N1233" s="2" t="inlineStr">
        <is>
          <t>Australia</t>
        </is>
      </c>
      <c r="P1233" s="2" t="inlineStr">
        <is>
          <t>Operational Control</t>
        </is>
      </c>
      <c r="Q1233" s="2" t="inlineStr">
        <is>
          <t>Operational Control</t>
        </is>
      </c>
      <c r="R1233" s="2" t="inlineStr">
        <is>
          <t>Corporate</t>
        </is>
      </c>
      <c r="S1233" s="2" t="inlineStr">
        <is>
          <t>Downer</t>
        </is>
      </c>
      <c r="T1233" s="2" t="n">
        <v>100</v>
      </c>
      <c r="W1233" s="2" t="inlineStr">
        <is>
          <t>Classification</t>
        </is>
      </c>
      <c r="X1233" s="2" t="n">
        <v>-33.794</v>
      </c>
      <c r="Y1233" s="2" t="n">
        <v>151.139</v>
      </c>
      <c r="Z1233" s="2" t="n">
        <v>729</v>
      </c>
    </row>
    <row r="1234">
      <c r="A1234" s="2" t="inlineStr">
        <is>
          <t>Downer</t>
        </is>
      </c>
      <c r="B1234" s="2" t="inlineStr">
        <is>
          <t>Group Travel - New Zealand</t>
        </is>
      </c>
      <c r="C1234" s="2" t="inlineStr">
        <is>
          <t>Other</t>
        </is>
      </c>
      <c r="D1234" s="2" t="inlineStr">
        <is>
          <t>L9.COR.120.20.820</t>
        </is>
      </c>
      <c r="E1234" s="2" t="inlineStr">
        <is>
          <t>L9.COR.120.20.820</t>
        </is>
      </c>
      <c r="G1234" s="2" t="inlineStr">
        <is>
          <t>not listed</t>
        </is>
      </c>
      <c r="H1234" s="2" t="inlineStr">
        <is>
          <t>c/- Group Office, T3, Triniti Business Campus, 39 Delhi Rd</t>
        </is>
      </c>
      <c r="I1234" s="2" t="inlineStr">
        <is>
          <t>North Ryde</t>
        </is>
      </c>
      <c r="J1234" s="2" t="inlineStr">
        <is>
          <t>New South Wales</t>
        </is>
      </c>
      <c r="K1234" s="2" t="n">
        <v>2113</v>
      </c>
      <c r="L1234" s="2" t="inlineStr">
        <is>
          <t>Australia</t>
        </is>
      </c>
      <c r="M1234" s="2" t="inlineStr">
        <is>
          <t>Auckland</t>
        </is>
      </c>
      <c r="N1234" s="2" t="inlineStr">
        <is>
          <t>New Zealand</t>
        </is>
      </c>
      <c r="P1234" s="2" t="inlineStr">
        <is>
          <t>Operational Control</t>
        </is>
      </c>
      <c r="Q1234" s="2" t="inlineStr">
        <is>
          <t>Operational Control</t>
        </is>
      </c>
      <c r="R1234" s="2" t="inlineStr">
        <is>
          <t>Corporate</t>
        </is>
      </c>
      <c r="S1234" s="2" t="inlineStr">
        <is>
          <t>Downer</t>
        </is>
      </c>
      <c r="T1234" s="2" t="n">
        <v>100</v>
      </c>
      <c r="W1234" s="2" t="inlineStr">
        <is>
          <t>Classification</t>
        </is>
      </c>
      <c r="X1234" s="2" t="n">
        <v>-33.794</v>
      </c>
      <c r="Y1234" s="2" t="n">
        <v>151.139</v>
      </c>
      <c r="Z1234" s="2" t="n">
        <v>729</v>
      </c>
    </row>
    <row r="1235">
      <c r="A1235" s="2" t="inlineStr">
        <is>
          <t>Downer</t>
        </is>
      </c>
      <c r="B1235" s="2" t="inlineStr">
        <is>
          <t>Group Travel - Spotless</t>
        </is>
      </c>
      <c r="C1235" s="2" t="inlineStr">
        <is>
          <t>Other</t>
        </is>
      </c>
      <c r="D1235" s="2" t="inlineStr">
        <is>
          <t>L9.COR.120.20.801</t>
        </is>
      </c>
      <c r="E1235" s="2" t="inlineStr">
        <is>
          <t>L9.COR.120.20.820</t>
        </is>
      </c>
      <c r="M1235" s="2" t="inlineStr">
        <is>
          <t>Sydney</t>
        </is>
      </c>
      <c r="N1235" s="2" t="inlineStr">
        <is>
          <t>Australia</t>
        </is>
      </c>
      <c r="P1235" s="2" t="inlineStr">
        <is>
          <t>Operational Control</t>
        </is>
      </c>
      <c r="Q1235" s="2" t="inlineStr">
        <is>
          <t>Operational Control</t>
        </is>
      </c>
      <c r="R1235" s="2" t="inlineStr">
        <is>
          <t>Corporate</t>
        </is>
      </c>
      <c r="S1235" s="2" t="inlineStr">
        <is>
          <t>Downer</t>
        </is>
      </c>
      <c r="T1235" s="2" t="n">
        <v>100</v>
      </c>
      <c r="W1235" s="2" t="inlineStr">
        <is>
          <t>Classification</t>
        </is>
      </c>
      <c r="Z1235" s="2" t="n">
        <v>729</v>
      </c>
    </row>
    <row r="1236">
      <c r="A1236" s="2" t="inlineStr">
        <is>
          <t>Downer</t>
        </is>
      </c>
      <c r="B1236" s="2" t="inlineStr">
        <is>
          <t>GSC - GMR EU Subcontractors</t>
        </is>
      </c>
      <c r="C1236" s="2" t="inlineStr">
        <is>
          <t>Other</t>
        </is>
      </c>
      <c r="D1236" s="2" t="inlineStr">
        <is>
          <t>L9.J.241720</t>
        </is>
      </c>
      <c r="E1236" s="2" t="inlineStr">
        <is>
          <t>L9.J.241720</t>
        </is>
      </c>
      <c r="F1236" s="2" t="inlineStr">
        <is>
          <t>L9.J.241720</t>
        </is>
      </c>
      <c r="M1236" s="2" t="inlineStr">
        <is>
          <t>Auckland</t>
        </is>
      </c>
      <c r="N1236" s="2" t="inlineStr">
        <is>
          <t>New Zealand</t>
        </is>
      </c>
      <c r="P1236" s="2" t="inlineStr">
        <is>
          <t>Operational Control</t>
        </is>
      </c>
      <c r="Q1236" s="2" t="inlineStr">
        <is>
          <t>Operational Control</t>
        </is>
      </c>
      <c r="R1236" s="2" t="inlineStr">
        <is>
          <t>Energy and Utilities (EU)</t>
        </is>
      </c>
      <c r="S1236" s="2" t="inlineStr">
        <is>
          <t>Downer</t>
        </is>
      </c>
      <c r="T1236" s="2" t="n">
        <v>100</v>
      </c>
      <c r="W1236" s="2" t="inlineStr">
        <is>
          <t>Classification</t>
        </is>
      </c>
    </row>
    <row r="1237">
      <c r="A1237" s="2" t="inlineStr">
        <is>
          <t>Downer</t>
        </is>
      </c>
      <c r="B1237" s="2" t="inlineStr">
        <is>
          <t>GSC - Overhead EU Subcontractors</t>
        </is>
      </c>
      <c r="C1237" s="2" t="inlineStr">
        <is>
          <t>Other</t>
        </is>
      </c>
      <c r="D1237" s="2" t="inlineStr">
        <is>
          <t>L9.J.24170058</t>
        </is>
      </c>
      <c r="E1237" s="2" t="inlineStr">
        <is>
          <t>L9.J.24170058</t>
        </is>
      </c>
      <c r="M1237" s="2" t="inlineStr">
        <is>
          <t>North Ryde</t>
        </is>
      </c>
      <c r="N1237" s="2" t="inlineStr">
        <is>
          <t>Australia</t>
        </is>
      </c>
      <c r="P1237" s="2" t="inlineStr">
        <is>
          <t>Operational Control</t>
        </is>
      </c>
      <c r="Q1237" s="2" t="inlineStr">
        <is>
          <t>Operational Control</t>
        </is>
      </c>
      <c r="R1237" s="2" t="inlineStr">
        <is>
          <t>Energy and Utilities (EU)</t>
        </is>
      </c>
      <c r="S1237" s="2" t="inlineStr">
        <is>
          <t>Downer</t>
        </is>
      </c>
      <c r="T1237" s="2" t="n">
        <v>100</v>
      </c>
      <c r="W1237" s="2" t="inlineStr">
        <is>
          <t>Classification</t>
        </is>
      </c>
    </row>
    <row r="1238">
      <c r="A1238" s="2" t="inlineStr">
        <is>
          <t>Downer</t>
        </is>
      </c>
      <c r="B1238" s="2" t="inlineStr">
        <is>
          <t>GSC - Unitised/Non-unitised EU Subcontractors</t>
        </is>
      </c>
      <c r="C1238" s="2" t="inlineStr">
        <is>
          <t>Other</t>
        </is>
      </c>
      <c r="D1238" s="2" t="inlineStr">
        <is>
          <t>L9.J.24170058</t>
        </is>
      </c>
      <c r="E1238" s="2" t="inlineStr">
        <is>
          <t>L9.J.24170058</t>
        </is>
      </c>
      <c r="M1238" s="2" t="inlineStr">
        <is>
          <t>North Ryde</t>
        </is>
      </c>
      <c r="N1238" s="2" t="inlineStr">
        <is>
          <t>Australia</t>
        </is>
      </c>
      <c r="P1238" s="2" t="inlineStr">
        <is>
          <t>Operational Control</t>
        </is>
      </c>
      <c r="Q1238" s="2" t="inlineStr">
        <is>
          <t>Operational Control</t>
        </is>
      </c>
      <c r="R1238" s="2" t="inlineStr">
        <is>
          <t>Energy and Utilities (EU)</t>
        </is>
      </c>
      <c r="S1238" s="2" t="inlineStr">
        <is>
          <t>Downer</t>
        </is>
      </c>
      <c r="T1238" s="2" t="n">
        <v>100</v>
      </c>
      <c r="W1238" s="2" t="inlineStr">
        <is>
          <t>Classification</t>
        </is>
      </c>
    </row>
    <row r="1239">
      <c r="A1239" s="2" t="inlineStr">
        <is>
          <t>Downer</t>
        </is>
      </c>
      <c r="B1239" s="2" t="inlineStr">
        <is>
          <t>GVR Truck Fleet</t>
        </is>
      </c>
      <c r="C1239" s="2" t="inlineStr">
        <is>
          <t>Other</t>
        </is>
      </c>
      <c r="D1239" s="2" t="inlineStr">
        <is>
          <t>L9.DNZJ.3203</t>
        </is>
      </c>
      <c r="E1239" s="2" t="n">
        <v>3203</v>
      </c>
      <c r="G1239" s="2" t="inlineStr">
        <is>
          <t>Associated with TI-NZT.T32.321 - Green Vision Recycling (INX); TI-NZT-3203 - GVR Truck Fleet</t>
        </is>
      </c>
      <c r="M1239" s="2" t="inlineStr">
        <is>
          <t>Auckland</t>
        </is>
      </c>
      <c r="N1239" s="2" t="inlineStr">
        <is>
          <t>New Zealand</t>
        </is>
      </c>
      <c r="P1239" s="2" t="inlineStr">
        <is>
          <t>Operational Control</t>
        </is>
      </c>
      <c r="Q1239" s="2" t="inlineStr">
        <is>
          <t>Operational Control</t>
        </is>
      </c>
      <c r="R1239" s="2" t="inlineStr">
        <is>
          <t>Transport &amp; Infrastructure (T&amp;I)</t>
        </is>
      </c>
      <c r="S1239" s="2" t="inlineStr">
        <is>
          <t>Downer</t>
        </is>
      </c>
      <c r="T1239" s="2" t="n">
        <v>100</v>
      </c>
      <c r="W1239" s="2" t="inlineStr">
        <is>
          <t>Classification</t>
        </is>
      </c>
    </row>
    <row r="1240">
      <c r="A1240" s="2" t="inlineStr">
        <is>
          <t>Downer</t>
        </is>
      </c>
      <c r="B1240" s="2" t="inlineStr">
        <is>
          <t>GWW - Campbellfield Depot</t>
        </is>
      </c>
      <c r="C1240" s="2" t="inlineStr">
        <is>
          <t>Depot</t>
        </is>
      </c>
      <c r="D1240" s="2" t="inlineStr">
        <is>
          <t>L9.J.239501</t>
        </is>
      </c>
      <c r="G1240" s="2" t="inlineStr">
        <is>
          <t>41-43 Fordson Rd, Campbellfield</t>
        </is>
      </c>
      <c r="H1240" s="2" t="inlineStr">
        <is>
          <t>41-43 FORDSON RD</t>
        </is>
      </c>
      <c r="I1240" s="2" t="inlineStr">
        <is>
          <t>CAMPBELLFIELD</t>
        </is>
      </c>
      <c r="J1240" s="2" t="inlineStr">
        <is>
          <t>VIC</t>
        </is>
      </c>
      <c r="K1240" s="2" t="n">
        <v>3061</v>
      </c>
      <c r="M1240" s="2" t="inlineStr">
        <is>
          <t>Victoria</t>
        </is>
      </c>
      <c r="N1240" s="2" t="inlineStr">
        <is>
          <t>Australia</t>
        </is>
      </c>
      <c r="P1240" s="2" t="inlineStr">
        <is>
          <t>Operational Control</t>
        </is>
      </c>
      <c r="Q1240" s="2" t="inlineStr">
        <is>
          <t>Operational Control</t>
        </is>
      </c>
      <c r="R1240" s="2" t="inlineStr">
        <is>
          <t>Energy and Utilities (EU)</t>
        </is>
      </c>
      <c r="S1240" s="2" t="inlineStr">
        <is>
          <t>Downer</t>
        </is>
      </c>
      <c r="T1240" s="2" t="n">
        <v>100</v>
      </c>
      <c r="W1240" s="2" t="inlineStr">
        <is>
          <t>Classification</t>
        </is>
      </c>
    </row>
    <row r="1241">
      <c r="A1241" s="2" t="inlineStr">
        <is>
          <t>Downer</t>
        </is>
      </c>
      <c r="B1241" s="2" t="inlineStr">
        <is>
          <t>Gympie</t>
        </is>
      </c>
      <c r="C1241" s="2" t="inlineStr">
        <is>
          <t>Asphalt Plant</t>
        </is>
      </c>
      <c r="D1241" s="2" t="inlineStr">
        <is>
          <t>L9.J.17040613</t>
        </is>
      </c>
      <c r="E1241" s="2" t="n">
        <v>142</v>
      </c>
      <c r="H1241" s="2" t="inlineStr">
        <is>
          <t>3 Rafter Road</t>
        </is>
      </c>
      <c r="I1241" s="2" t="inlineStr">
        <is>
          <t>Gympie</t>
        </is>
      </c>
      <c r="J1241" s="2" t="inlineStr">
        <is>
          <t>QLD</t>
        </is>
      </c>
      <c r="K1241" s="2" t="n">
        <v>4570</v>
      </c>
      <c r="L1241" s="2" t="inlineStr">
        <is>
          <t>Australia</t>
        </is>
      </c>
      <c r="M1241" s="2" t="inlineStr">
        <is>
          <t>Queensland</t>
        </is>
      </c>
      <c r="N1241" s="2" t="inlineStr">
        <is>
          <t>Australia</t>
        </is>
      </c>
      <c r="P1241" s="2" t="inlineStr">
        <is>
          <t>Operational Control</t>
        </is>
      </c>
      <c r="Q1241" s="2" t="inlineStr">
        <is>
          <t>Operational Control</t>
        </is>
      </c>
      <c r="R1241" s="2" t="inlineStr">
        <is>
          <t>Transport &amp; Infrastructure (T&amp;I)</t>
        </is>
      </c>
      <c r="S1241" s="2" t="inlineStr">
        <is>
          <t>Downer</t>
        </is>
      </c>
      <c r="T1241" s="2" t="n">
        <v>100</v>
      </c>
      <c r="W1241" s="2" t="inlineStr">
        <is>
          <t>Classification</t>
        </is>
      </c>
      <c r="X1241" s="2" t="n">
        <v>-26.227</v>
      </c>
      <c r="Y1241" s="2" t="n">
        <v>152.691</v>
      </c>
      <c r="Z1241" s="2" t="n">
        <v>170</v>
      </c>
    </row>
    <row r="1242">
      <c r="A1242" s="2" t="inlineStr">
        <is>
          <t>Downer</t>
        </is>
      </c>
      <c r="B1242" s="2" t="inlineStr">
        <is>
          <t>HAM/TGA Mobile Network</t>
        </is>
      </c>
      <c r="C1242" s="2" t="inlineStr">
        <is>
          <t>Other</t>
        </is>
      </c>
      <c r="D1242" s="2" t="inlineStr">
        <is>
          <t>L9.DNZ.810.10.259</t>
        </is>
      </c>
      <c r="E1242" s="2" t="n">
        <v>10259</v>
      </c>
      <c r="G1242" s="2" t="n">
        <v>10.259</v>
      </c>
      <c r="H1242" s="2" t="inlineStr">
        <is>
          <t>130 Kerrs Road</t>
        </is>
      </c>
      <c r="I1242" s="2" t="inlineStr">
        <is>
          <t>Wiri</t>
        </is>
      </c>
      <c r="J1242" s="2" t="inlineStr">
        <is>
          <t>Auckland</t>
        </is>
      </c>
      <c r="K1242" s="2" t="n">
        <v>2104</v>
      </c>
      <c r="L1242" s="2" t="inlineStr">
        <is>
          <t>New Zealand</t>
        </is>
      </c>
      <c r="M1242" s="2" t="inlineStr">
        <is>
          <t>Manurewa</t>
        </is>
      </c>
      <c r="N1242" s="2" t="inlineStr">
        <is>
          <t>New Zealand</t>
        </is>
      </c>
      <c r="P1242" s="2" t="inlineStr">
        <is>
          <t>Operational Control</t>
        </is>
      </c>
      <c r="Q1242" s="2" t="inlineStr">
        <is>
          <t>Operational Control</t>
        </is>
      </c>
      <c r="R1242" s="2" t="inlineStr">
        <is>
          <t>Energy and Utilities (EU)</t>
        </is>
      </c>
      <c r="S1242" s="2" t="inlineStr">
        <is>
          <t>Downer</t>
        </is>
      </c>
      <c r="T1242" s="2" t="n">
        <v>100</v>
      </c>
      <c r="W1242" s="2" t="inlineStr">
        <is>
          <t>Classification</t>
        </is>
      </c>
      <c r="X1242" s="2" t="n">
        <v>-37.0083</v>
      </c>
      <c r="Y1242" s="2" t="n">
        <v>174.8705</v>
      </c>
    </row>
    <row r="1243">
      <c r="A1243" s="2" t="inlineStr">
        <is>
          <t>Downer</t>
        </is>
      </c>
      <c r="B1243" s="2" t="inlineStr">
        <is>
          <t>HAM/TGA Mobile Network EU Subcontractors</t>
        </is>
      </c>
      <c r="C1243" s="2" t="inlineStr">
        <is>
          <t>Other</t>
        </is>
      </c>
      <c r="D1243" s="2" t="inlineStr">
        <is>
          <t>L9.DNZJ.10259</t>
        </is>
      </c>
      <c r="E1243" s="2" t="inlineStr">
        <is>
          <t>L9.DNZJ.10259</t>
        </is>
      </c>
      <c r="F1243" s="2" t="inlineStr">
        <is>
          <t>L9.DNZJ.10259</t>
        </is>
      </c>
      <c r="M1243" s="2" t="inlineStr">
        <is>
          <t>North Ryde</t>
        </is>
      </c>
      <c r="N1243" s="2" t="inlineStr">
        <is>
          <t>Australia</t>
        </is>
      </c>
      <c r="P1243" s="2" t="inlineStr">
        <is>
          <t>Operational Control</t>
        </is>
      </c>
      <c r="Q1243" s="2" t="inlineStr">
        <is>
          <t>Operational Control</t>
        </is>
      </c>
      <c r="R1243" s="2" t="inlineStr">
        <is>
          <t>Energy and Utilities (EU)</t>
        </is>
      </c>
      <c r="S1243" s="2" t="inlineStr">
        <is>
          <t>Downer</t>
        </is>
      </c>
      <c r="T1243" s="2" t="n">
        <v>100</v>
      </c>
      <c r="W1243" s="2" t="inlineStr">
        <is>
          <t>Classification</t>
        </is>
      </c>
    </row>
    <row r="1244">
      <c r="A1244" s="2" t="inlineStr">
        <is>
          <t>Downer</t>
        </is>
      </c>
      <c r="B1244" s="2" t="inlineStr">
        <is>
          <t>Hamilton (Gilchrist Rd)</t>
        </is>
      </c>
      <c r="C1244" s="2" t="inlineStr">
        <is>
          <t>Other</t>
        </is>
      </c>
      <c r="D1244" s="2" t="inlineStr">
        <is>
          <t>L9.DNZJ.91411</t>
        </is>
      </c>
      <c r="E1244" s="2" t="n">
        <v>91411</v>
      </c>
      <c r="G1244" s="2" t="inlineStr">
        <is>
          <t>COR-NZHO.91411-Hamil</t>
        </is>
      </c>
      <c r="M1244" s="2" t="inlineStr">
        <is>
          <t>Hamilton</t>
        </is>
      </c>
      <c r="N1244" s="2" t="inlineStr">
        <is>
          <t>New Zealand</t>
        </is>
      </c>
      <c r="P1244" s="2" t="inlineStr">
        <is>
          <t>Operational Control</t>
        </is>
      </c>
      <c r="Q1244" s="2" t="inlineStr">
        <is>
          <t>Operational Control</t>
        </is>
      </c>
      <c r="R1244" s="2" t="inlineStr">
        <is>
          <t>Corporate</t>
        </is>
      </c>
      <c r="S1244" s="2" t="inlineStr">
        <is>
          <t>Downer</t>
        </is>
      </c>
      <c r="T1244" s="2" t="n">
        <v>100</v>
      </c>
      <c r="W1244" s="2" t="inlineStr">
        <is>
          <t>Classification</t>
        </is>
      </c>
    </row>
    <row r="1245">
      <c r="A1245" s="2" t="inlineStr">
        <is>
          <t>Downer</t>
        </is>
      </c>
      <c r="B1245" s="2" t="inlineStr">
        <is>
          <t>HAMILTON CITY C 45001378</t>
        </is>
      </c>
      <c r="C1245" s="2" t="inlineStr">
        <is>
          <t>Other</t>
        </is>
      </c>
      <c r="D1245" s="2" t="inlineStr">
        <is>
          <t>L9.S.26008480</t>
        </is>
      </c>
      <c r="E1245" s="2" t="n">
        <v>2000003728</v>
      </c>
      <c r="F1245" s="2" t="n">
        <v>2000003728</v>
      </c>
      <c r="M1245" s="2" t="inlineStr">
        <is>
          <t>Hamilton</t>
        </is>
      </c>
      <c r="N1245" s="2" t="inlineStr">
        <is>
          <t>New Zealand</t>
        </is>
      </c>
      <c r="P1245" s="2" t="inlineStr">
        <is>
          <t>Operational Control</t>
        </is>
      </c>
      <c r="Q1245" s="2" t="inlineStr">
        <is>
          <t>Operational Control</t>
        </is>
      </c>
      <c r="R1245" s="2" t="inlineStr">
        <is>
          <t>Social Infra &amp; Citizen Serv (SICS)</t>
        </is>
      </c>
      <c r="S1245" s="2" t="inlineStr">
        <is>
          <t>Downer</t>
        </is>
      </c>
      <c r="T1245" s="2" t="n">
        <v>100</v>
      </c>
      <c r="W1245" s="2" t="inlineStr">
        <is>
          <t>Classification</t>
        </is>
      </c>
    </row>
    <row r="1246">
      <c r="A1246" s="2" t="inlineStr">
        <is>
          <t>Downer</t>
        </is>
      </c>
      <c r="B1246" s="2" t="inlineStr">
        <is>
          <t>Hamilton Depot</t>
        </is>
      </c>
      <c r="C1246" s="2" t="inlineStr">
        <is>
          <t>Other</t>
        </is>
      </c>
      <c r="D1246" s="2" t="inlineStr">
        <is>
          <t>L9.DNZJ.55540</t>
        </is>
      </c>
      <c r="E1246" s="2" t="n">
        <v>55540</v>
      </c>
      <c r="H1246" s="2" t="inlineStr">
        <is>
          <t>10 Charlies Way</t>
        </is>
      </c>
      <c r="I1246" s="2" t="inlineStr">
        <is>
          <t>Frankton</t>
        </is>
      </c>
      <c r="J1246" s="2" t="inlineStr">
        <is>
          <t>Hamilton</t>
        </is>
      </c>
      <c r="K1246" s="2" t="n">
        <v>3204</v>
      </c>
      <c r="L1246" s="2" t="inlineStr">
        <is>
          <t>New Zealand</t>
        </is>
      </c>
      <c r="M1246" s="2" t="inlineStr">
        <is>
          <t>Hamilton</t>
        </is>
      </c>
      <c r="N1246" s="2" t="inlineStr">
        <is>
          <t>New Zealand</t>
        </is>
      </c>
      <c r="P1246" s="2" t="inlineStr">
        <is>
          <t>Operational Control</t>
        </is>
      </c>
      <c r="Q1246" s="2" t="inlineStr">
        <is>
          <t>Operational Control</t>
        </is>
      </c>
      <c r="R1246" s="2" t="inlineStr">
        <is>
          <t>Transport &amp; Infrastructure (T&amp;I)</t>
        </is>
      </c>
      <c r="S1246" s="2" t="inlineStr">
        <is>
          <t>Downer</t>
        </is>
      </c>
      <c r="T1246" s="2" t="n">
        <v>100</v>
      </c>
      <c r="W1246" s="2" t="inlineStr">
        <is>
          <t>Classification</t>
        </is>
      </c>
      <c r="X1246" s="2" t="n">
        <v>-37.8004</v>
      </c>
      <c r="Y1246" s="2" t="n">
        <v>175.2579</v>
      </c>
    </row>
    <row r="1247">
      <c r="A1247" s="2" t="inlineStr">
        <is>
          <t>Downer</t>
        </is>
      </c>
      <c r="B1247" s="2" t="inlineStr">
        <is>
          <t>Hamilton East Telco Ops</t>
        </is>
      </c>
      <c r="C1247" s="2" t="inlineStr">
        <is>
          <t>Other</t>
        </is>
      </c>
      <c r="D1247" s="2" t="inlineStr">
        <is>
          <t>L9.DNZ.810.10.173</t>
        </is>
      </c>
      <c r="E1247" s="2" t="n">
        <v>10173</v>
      </c>
      <c r="M1247" s="2" t="inlineStr">
        <is>
          <t>Manurewa</t>
        </is>
      </c>
      <c r="N1247" s="2" t="inlineStr">
        <is>
          <t>New Zealand</t>
        </is>
      </c>
      <c r="P1247" s="2" t="inlineStr">
        <is>
          <t>Operational Control</t>
        </is>
      </c>
      <c r="Q1247" s="2" t="inlineStr">
        <is>
          <t>Operational Control</t>
        </is>
      </c>
      <c r="R1247" s="2" t="inlineStr">
        <is>
          <t>Energy and Utilities (EU)</t>
        </is>
      </c>
      <c r="S1247" s="2" t="inlineStr">
        <is>
          <t>Downer</t>
        </is>
      </c>
      <c r="T1247" s="2" t="n">
        <v>100</v>
      </c>
      <c r="W1247" s="2" t="inlineStr">
        <is>
          <t>Classification</t>
        </is>
      </c>
    </row>
    <row r="1248">
      <c r="A1248" s="2" t="inlineStr">
        <is>
          <t>Downer</t>
        </is>
      </c>
      <c r="B1248" s="2" t="inlineStr">
        <is>
          <t>Hamilton West Telco Ops</t>
        </is>
      </c>
      <c r="C1248" s="2" t="inlineStr">
        <is>
          <t>Other</t>
        </is>
      </c>
      <c r="D1248" s="2" t="inlineStr">
        <is>
          <t>L9.DNZ.810.10.172</t>
        </is>
      </c>
      <c r="E1248" s="2" t="n">
        <v>10172</v>
      </c>
      <c r="G1248" s="2" t="n">
        <v>10.172</v>
      </c>
      <c r="H1248" s="2" t="inlineStr">
        <is>
          <t>130 Kerrs Road</t>
        </is>
      </c>
      <c r="I1248" s="2" t="inlineStr">
        <is>
          <t>Wiri</t>
        </is>
      </c>
      <c r="J1248" s="2" t="inlineStr">
        <is>
          <t>Auckland</t>
        </is>
      </c>
      <c r="K1248" s="2" t="n">
        <v>2104</v>
      </c>
      <c r="L1248" s="2" t="inlineStr">
        <is>
          <t>New Zealand</t>
        </is>
      </c>
      <c r="M1248" s="2" t="inlineStr">
        <is>
          <t>Manurewa</t>
        </is>
      </c>
      <c r="N1248" s="2" t="inlineStr">
        <is>
          <t>New Zealand</t>
        </is>
      </c>
      <c r="P1248" s="2" t="inlineStr">
        <is>
          <t>Operational Control</t>
        </is>
      </c>
      <c r="Q1248" s="2" t="inlineStr">
        <is>
          <t>Operational Control</t>
        </is>
      </c>
      <c r="R1248" s="2" t="inlineStr">
        <is>
          <t>Energy and Utilities (EU)</t>
        </is>
      </c>
      <c r="S1248" s="2" t="inlineStr">
        <is>
          <t>Downer</t>
        </is>
      </c>
      <c r="T1248" s="2" t="n">
        <v>100</v>
      </c>
      <c r="W1248" s="2" t="inlineStr">
        <is>
          <t>Classification</t>
        </is>
      </c>
      <c r="X1248" s="2" t="n">
        <v>-37.0083</v>
      </c>
      <c r="Y1248" s="2" t="n">
        <v>174.8705</v>
      </c>
    </row>
    <row r="1249">
      <c r="A1249" s="2" t="inlineStr">
        <is>
          <t>Downer</t>
        </is>
      </c>
      <c r="B1249" s="2" t="inlineStr">
        <is>
          <t>Hamner Springs (22 River Road)</t>
        </is>
      </c>
      <c r="C1249" s="2" t="inlineStr">
        <is>
          <t>Other</t>
        </is>
      </c>
      <c r="D1249" s="2" t="inlineStr">
        <is>
          <t>L9.DNZJ.91324</t>
        </is>
      </c>
      <c r="E1249" s="2" t="n">
        <v>91324</v>
      </c>
      <c r="H1249" s="2" t="inlineStr">
        <is>
          <t>22 River Road</t>
        </is>
      </c>
      <c r="I1249" s="2" t="inlineStr">
        <is>
          <t>Hanmer Springs</t>
        </is>
      </c>
      <c r="J1249" s="2" t="inlineStr">
        <is>
          <t>Hanmer Springs</t>
        </is>
      </c>
      <c r="K1249" s="2" t="n">
        <v>7334</v>
      </c>
      <c r="L1249" s="2" t="inlineStr">
        <is>
          <t>New Zealand</t>
        </is>
      </c>
      <c r="M1249" s="2" t="inlineStr">
        <is>
          <t>Hanmer Springs</t>
        </is>
      </c>
      <c r="N1249" s="2" t="inlineStr">
        <is>
          <t>New Zealand</t>
        </is>
      </c>
      <c r="P1249" s="2" t="inlineStr">
        <is>
          <t>Operational Control</t>
        </is>
      </c>
      <c r="Q1249" s="2" t="inlineStr">
        <is>
          <t>Operational Control</t>
        </is>
      </c>
      <c r="R1249" s="2" t="inlineStr">
        <is>
          <t>Corporate</t>
        </is>
      </c>
      <c r="S1249" s="2" t="inlineStr">
        <is>
          <t>Downer</t>
        </is>
      </c>
      <c r="T1249" s="2" t="n">
        <v>100</v>
      </c>
      <c r="W1249" s="2" t="inlineStr">
        <is>
          <t>Classification</t>
        </is>
      </c>
      <c r="X1249" s="2" t="n">
        <v>-42.5716</v>
      </c>
      <c r="Y1249" s="2" t="n">
        <v>172.7966</v>
      </c>
    </row>
    <row r="1250">
      <c r="A1250" s="2" t="inlineStr">
        <is>
          <t>Downer</t>
        </is>
      </c>
      <c r="B1250" s="2" t="inlineStr">
        <is>
          <t>Hard Surface Reinstatement EU Subcontractors</t>
        </is>
      </c>
      <c r="C1250" s="2" t="inlineStr">
        <is>
          <t>Other</t>
        </is>
      </c>
      <c r="D1250" s="2" t="inlineStr">
        <is>
          <t>L9.J.24010010</t>
        </is>
      </c>
      <c r="E1250" s="2" t="inlineStr">
        <is>
          <t>L9.J.24010010</t>
        </is>
      </c>
      <c r="M1250" s="2" t="inlineStr">
        <is>
          <t>North Ryde</t>
        </is>
      </c>
      <c r="N1250" s="2" t="inlineStr">
        <is>
          <t>Australia</t>
        </is>
      </c>
      <c r="P1250" s="2" t="inlineStr">
        <is>
          <t>Operational Control</t>
        </is>
      </c>
      <c r="Q1250" s="2" t="inlineStr">
        <is>
          <t>Operational Control</t>
        </is>
      </c>
      <c r="R1250" s="2" t="inlineStr">
        <is>
          <t>Energy and Utilities (EU)</t>
        </is>
      </c>
      <c r="S1250" s="2" t="inlineStr">
        <is>
          <t>Downer</t>
        </is>
      </c>
      <c r="T1250" s="2" t="n">
        <v>100</v>
      </c>
      <c r="W1250" s="2" t="inlineStr">
        <is>
          <t>Classification</t>
        </is>
      </c>
    </row>
    <row r="1251">
      <c r="A1251" s="2" t="inlineStr">
        <is>
          <t>Downer</t>
        </is>
      </c>
      <c r="B1251" s="2" t="inlineStr">
        <is>
          <t>Harewood (397 Mcleans Island R</t>
        </is>
      </c>
      <c r="C1251" s="2" t="inlineStr">
        <is>
          <t>Other</t>
        </is>
      </c>
      <c r="D1251" s="2" t="inlineStr">
        <is>
          <t>L9.DNZJ.91327</t>
        </is>
      </c>
      <c r="E1251" s="2" t="n">
        <v>91327</v>
      </c>
      <c r="M1251" s="2" t="inlineStr">
        <is>
          <t>Manurewa</t>
        </is>
      </c>
      <c r="N1251" s="2" t="inlineStr">
        <is>
          <t>New Zealand</t>
        </is>
      </c>
      <c r="P1251" s="2" t="inlineStr">
        <is>
          <t>Operational Control</t>
        </is>
      </c>
      <c r="Q1251" s="2" t="inlineStr">
        <is>
          <t>Operational Control</t>
        </is>
      </c>
      <c r="R1251" s="2" t="inlineStr">
        <is>
          <t>Corporate</t>
        </is>
      </c>
      <c r="S1251" s="2" t="inlineStr">
        <is>
          <t>Downer</t>
        </is>
      </c>
      <c r="T1251" s="2" t="n">
        <v>100</v>
      </c>
      <c r="W1251" s="2" t="inlineStr">
        <is>
          <t>Classification</t>
        </is>
      </c>
    </row>
    <row r="1252">
      <c r="A1252" s="2" t="inlineStr">
        <is>
          <t>Downer</t>
        </is>
      </c>
      <c r="B1252" s="2" t="inlineStr">
        <is>
          <t>HARLEY GRAY RADIOLOGY</t>
        </is>
      </c>
      <c r="C1252" s="2" t="inlineStr">
        <is>
          <t>Medical Office</t>
        </is>
      </c>
      <c r="D1252" s="2" t="inlineStr">
        <is>
          <t>L9.DNZ.HA0418</t>
        </is>
      </c>
      <c r="E1252" s="2" t="inlineStr">
        <is>
          <t>HA0418</t>
        </is>
      </c>
      <c r="G1252" s="2" t="inlineStr">
        <is>
          <t>TI-NZT-BP.HA0418-Harley Gray Radiology</t>
        </is>
      </c>
      <c r="M1252" s="2" t="inlineStr">
        <is>
          <t>Auckland</t>
        </is>
      </c>
      <c r="N1252" s="2" t="inlineStr">
        <is>
          <t>New Zealand</t>
        </is>
      </c>
      <c r="P1252" s="2" t="inlineStr">
        <is>
          <t>Operational Control</t>
        </is>
      </c>
      <c r="Q1252" s="2" t="inlineStr">
        <is>
          <t>Operational Control</t>
        </is>
      </c>
      <c r="R1252" s="2" t="inlineStr">
        <is>
          <t>Transport &amp; Infrastructure (T&amp;I)</t>
        </is>
      </c>
      <c r="S1252" s="2" t="inlineStr">
        <is>
          <t>Downer</t>
        </is>
      </c>
      <c r="T1252" s="2" t="n">
        <v>100</v>
      </c>
      <c r="W1252" s="2" t="inlineStr">
        <is>
          <t>Classification</t>
        </is>
      </c>
    </row>
    <row r="1253">
      <c r="A1253" s="2" t="inlineStr">
        <is>
          <t>Downer</t>
        </is>
      </c>
      <c r="B1253" s="2" t="inlineStr">
        <is>
          <t>Hastings Depot</t>
        </is>
      </c>
      <c r="C1253" s="2" t="inlineStr">
        <is>
          <t>Other</t>
        </is>
      </c>
      <c r="D1253" s="2" t="inlineStr">
        <is>
          <t>L9.DNZJ.55582</t>
        </is>
      </c>
      <c r="E1253" s="2" t="n">
        <v>55582</v>
      </c>
      <c r="H1253" s="2" t="inlineStr">
        <is>
          <t>1436 Omahu Road</t>
        </is>
      </c>
      <c r="I1253" s="2" t="inlineStr">
        <is>
          <t>Twyford</t>
        </is>
      </c>
      <c r="J1253" s="2" t="inlineStr">
        <is>
          <t>Twyford</t>
        </is>
      </c>
      <c r="K1253" s="2" t="n">
        <v>4175</v>
      </c>
      <c r="L1253" s="2" t="inlineStr">
        <is>
          <t>New Zealand</t>
        </is>
      </c>
      <c r="M1253" s="2" t="inlineStr">
        <is>
          <t>Hastings</t>
        </is>
      </c>
      <c r="N1253" s="2" t="inlineStr">
        <is>
          <t>New Zealand</t>
        </is>
      </c>
      <c r="P1253" s="2" t="inlineStr">
        <is>
          <t>Operational Control</t>
        </is>
      </c>
      <c r="Q1253" s="2" t="inlineStr">
        <is>
          <t>Operational Control</t>
        </is>
      </c>
      <c r="R1253" s="2" t="inlineStr">
        <is>
          <t>Transport &amp; Infrastructure (T&amp;I)</t>
        </is>
      </c>
      <c r="S1253" s="2" t="inlineStr">
        <is>
          <t>Downer</t>
        </is>
      </c>
      <c r="T1253" s="2" t="n">
        <v>100</v>
      </c>
      <c r="W1253" s="2" t="inlineStr">
        <is>
          <t>Classification</t>
        </is>
      </c>
      <c r="X1253" s="2" t="n">
        <v>-39.6114</v>
      </c>
      <c r="Y1253" s="2" t="n">
        <v>176.788</v>
      </c>
    </row>
    <row r="1254">
      <c r="A1254" s="2" t="inlineStr">
        <is>
          <t>Downer</t>
        </is>
      </c>
      <c r="B1254" s="2" t="inlineStr">
        <is>
          <t>Hawera - WM 214</t>
        </is>
      </c>
      <c r="C1254" s="2" t="inlineStr">
        <is>
          <t>Other</t>
        </is>
      </c>
      <c r="D1254" s="2" t="inlineStr">
        <is>
          <t>L9.DUN.60214</t>
        </is>
      </c>
      <c r="E1254" s="2" t="inlineStr">
        <is>
          <t>PG60214</t>
        </is>
      </c>
      <c r="H1254" s="2" t="inlineStr">
        <is>
          <t>130 Kerrs Road</t>
        </is>
      </c>
      <c r="I1254" s="2" t="inlineStr">
        <is>
          <t>Wiri</t>
        </is>
      </c>
      <c r="J1254" s="2" t="inlineStr">
        <is>
          <t>Auckland</t>
        </is>
      </c>
      <c r="K1254" s="2" t="n">
        <v>2104</v>
      </c>
      <c r="L1254" s="2" t="inlineStr">
        <is>
          <t>New Zealand</t>
        </is>
      </c>
      <c r="M1254" s="2" t="inlineStr">
        <is>
          <t>Manurewa</t>
        </is>
      </c>
      <c r="N1254" s="2" t="inlineStr">
        <is>
          <t>New Zealand</t>
        </is>
      </c>
      <c r="P1254" s="2" t="inlineStr">
        <is>
          <t>Operational Control</t>
        </is>
      </c>
      <c r="Q1254" s="2" t="inlineStr">
        <is>
          <t>Operational Control</t>
        </is>
      </c>
      <c r="R1254" s="2" t="inlineStr">
        <is>
          <t>Energy and Utilities (EU)</t>
        </is>
      </c>
      <c r="S1254" s="2" t="inlineStr">
        <is>
          <t>Downer</t>
        </is>
      </c>
      <c r="T1254" s="2" t="n">
        <v>100</v>
      </c>
      <c r="W1254" s="2" t="inlineStr">
        <is>
          <t>Classification</t>
        </is>
      </c>
      <c r="X1254" s="2" t="n">
        <v>-37.0083</v>
      </c>
      <c r="Y1254" s="2" t="n">
        <v>174.8705</v>
      </c>
    </row>
    <row r="1255">
      <c r="A1255" s="2" t="inlineStr">
        <is>
          <t>Downer</t>
        </is>
      </c>
      <c r="B1255" s="2" t="inlineStr">
        <is>
          <t>Hawera (329 Waihi Rd)</t>
        </is>
      </c>
      <c r="C1255" s="2" t="inlineStr">
        <is>
          <t>Other</t>
        </is>
      </c>
      <c r="D1255" s="2" t="inlineStr">
        <is>
          <t>L9.DNZJ.91253</t>
        </is>
      </c>
      <c r="E1255" s="2" t="n">
        <v>91253</v>
      </c>
      <c r="H1255" s="2" t="inlineStr">
        <is>
          <t>329 Waihi Road</t>
        </is>
      </c>
      <c r="I1255" s="2" t="inlineStr">
        <is>
          <t>Hāwera</t>
        </is>
      </c>
      <c r="J1255" s="2" t="inlineStr">
        <is>
          <t>South Taranaki</t>
        </is>
      </c>
      <c r="K1255" s="2" t="n">
        <v>4673</v>
      </c>
      <c r="M1255" s="2" t="inlineStr">
        <is>
          <t>Manurewa</t>
        </is>
      </c>
      <c r="N1255" s="2" t="inlineStr">
        <is>
          <t>New Zealand</t>
        </is>
      </c>
      <c r="P1255" s="2" t="inlineStr">
        <is>
          <t>Operational Control</t>
        </is>
      </c>
      <c r="Q1255" s="2" t="inlineStr">
        <is>
          <t>Operational Control</t>
        </is>
      </c>
      <c r="R1255" s="2" t="inlineStr">
        <is>
          <t>Corporate</t>
        </is>
      </c>
      <c r="S1255" s="2" t="inlineStr">
        <is>
          <t>Downer</t>
        </is>
      </c>
      <c r="T1255" s="2" t="n">
        <v>100</v>
      </c>
      <c r="W1255" s="2" t="inlineStr">
        <is>
          <t>Classification</t>
        </is>
      </c>
    </row>
    <row r="1256">
      <c r="A1256" s="2" t="inlineStr">
        <is>
          <t>Downer</t>
        </is>
      </c>
      <c r="B1256" s="2" t="inlineStr">
        <is>
          <t>Hawera Depot</t>
        </is>
      </c>
      <c r="C1256" s="2" t="inlineStr">
        <is>
          <t>Other</t>
        </is>
      </c>
      <c r="D1256" s="2" t="inlineStr">
        <is>
          <t>L9.DNZJ.55570</t>
        </is>
      </c>
      <c r="E1256" s="2" t="n">
        <v>55570</v>
      </c>
      <c r="H1256" s="2" t="inlineStr">
        <is>
          <t>32-34 Glover Road</t>
        </is>
      </c>
      <c r="I1256" s="2" t="inlineStr">
        <is>
          <t>Hawera</t>
        </is>
      </c>
      <c r="J1256" s="2" t="inlineStr">
        <is>
          <t>Hawera</t>
        </is>
      </c>
      <c r="K1256" s="2" t="n">
        <v>4610</v>
      </c>
      <c r="L1256" s="2" t="inlineStr">
        <is>
          <t>New Zealand</t>
        </is>
      </c>
      <c r="M1256" s="2" t="inlineStr">
        <is>
          <t>Hawera</t>
        </is>
      </c>
      <c r="N1256" s="2" t="inlineStr">
        <is>
          <t>New Zealand</t>
        </is>
      </c>
      <c r="P1256" s="2" t="inlineStr">
        <is>
          <t>Operational Control</t>
        </is>
      </c>
      <c r="Q1256" s="2" t="inlineStr">
        <is>
          <t>Operational Control</t>
        </is>
      </c>
      <c r="R1256" s="2" t="inlineStr">
        <is>
          <t>Transport &amp; Infrastructure (T&amp;I)</t>
        </is>
      </c>
      <c r="S1256" s="2" t="inlineStr">
        <is>
          <t>Downer</t>
        </is>
      </c>
      <c r="T1256" s="2" t="n">
        <v>100</v>
      </c>
      <c r="W1256" s="2" t="inlineStr">
        <is>
          <t>Classification</t>
        </is>
      </c>
      <c r="X1256" s="2" t="n">
        <v>-39.5805</v>
      </c>
      <c r="Y1256" s="2" t="n">
        <v>174.2812</v>
      </c>
    </row>
    <row r="1257">
      <c r="A1257" s="2" t="inlineStr">
        <is>
          <t>Downer</t>
        </is>
      </c>
      <c r="B1257" s="2" t="inlineStr">
        <is>
          <t>Hawkes Bay Telco Ops</t>
        </is>
      </c>
      <c r="C1257" s="2" t="inlineStr">
        <is>
          <t>Other</t>
        </is>
      </c>
      <c r="D1257" s="2" t="inlineStr">
        <is>
          <t>L9.DNZ.810.10.193</t>
        </is>
      </c>
      <c r="E1257" s="2" t="n">
        <v>10193</v>
      </c>
      <c r="G1257" s="2" t="n">
        <v>10.193</v>
      </c>
      <c r="H1257" s="2" t="inlineStr">
        <is>
          <t>130 Kerrs Road</t>
        </is>
      </c>
      <c r="I1257" s="2" t="inlineStr">
        <is>
          <t>Wiri</t>
        </is>
      </c>
      <c r="J1257" s="2" t="inlineStr">
        <is>
          <t>Auckland</t>
        </is>
      </c>
      <c r="K1257" s="2" t="n">
        <v>2104</v>
      </c>
      <c r="L1257" s="2" t="inlineStr">
        <is>
          <t>New Zealand</t>
        </is>
      </c>
      <c r="M1257" s="2" t="inlineStr">
        <is>
          <t>Manurewa</t>
        </is>
      </c>
      <c r="N1257" s="2" t="inlineStr">
        <is>
          <t>New Zealand</t>
        </is>
      </c>
      <c r="P1257" s="2" t="inlineStr">
        <is>
          <t>Operational Control</t>
        </is>
      </c>
      <c r="Q1257" s="2" t="inlineStr">
        <is>
          <t>Operational Control</t>
        </is>
      </c>
      <c r="R1257" s="2" t="inlineStr">
        <is>
          <t>Energy and Utilities (EU)</t>
        </is>
      </c>
      <c r="S1257" s="2" t="inlineStr">
        <is>
          <t>Downer</t>
        </is>
      </c>
      <c r="T1257" s="2" t="n">
        <v>100</v>
      </c>
      <c r="W1257" s="2" t="inlineStr">
        <is>
          <t>Classification</t>
        </is>
      </c>
      <c r="X1257" s="2" t="n">
        <v>-37.0083</v>
      </c>
      <c r="Y1257" s="2" t="n">
        <v>174.8705</v>
      </c>
    </row>
    <row r="1258">
      <c r="A1258" s="2" t="inlineStr">
        <is>
          <t>Downer</t>
        </is>
      </c>
      <c r="B1258" s="2" t="inlineStr">
        <is>
          <t>Hawkes Bay/P. North Mobile/ISP</t>
        </is>
      </c>
      <c r="C1258" s="2" t="inlineStr">
        <is>
          <t>Other</t>
        </is>
      </c>
      <c r="D1258" s="2" t="inlineStr">
        <is>
          <t>L9.DNZ.810.10.247</t>
        </is>
      </c>
      <c r="E1258" s="2" t="n">
        <v>10247</v>
      </c>
      <c r="G1258" s="2" t="n">
        <v>10.247</v>
      </c>
      <c r="H1258" s="2" t="inlineStr">
        <is>
          <t>130 Kerrs Road</t>
        </is>
      </c>
      <c r="I1258" s="2" t="inlineStr">
        <is>
          <t>Wiri</t>
        </is>
      </c>
      <c r="J1258" s="2" t="inlineStr">
        <is>
          <t>Auckland</t>
        </is>
      </c>
      <c r="K1258" s="2" t="n">
        <v>2104</v>
      </c>
      <c r="L1258" s="2" t="inlineStr">
        <is>
          <t>New Zealand</t>
        </is>
      </c>
      <c r="M1258" s="2" t="inlineStr">
        <is>
          <t>Manurewa</t>
        </is>
      </c>
      <c r="N1258" s="2" t="inlineStr">
        <is>
          <t>New Zealand</t>
        </is>
      </c>
      <c r="P1258" s="2" t="inlineStr">
        <is>
          <t>Operational Control</t>
        </is>
      </c>
      <c r="Q1258" s="2" t="inlineStr">
        <is>
          <t>Operational Control</t>
        </is>
      </c>
      <c r="R1258" s="2" t="inlineStr">
        <is>
          <t>Energy and Utilities (EU)</t>
        </is>
      </c>
      <c r="S1258" s="2" t="inlineStr">
        <is>
          <t>Downer</t>
        </is>
      </c>
      <c r="T1258" s="2" t="n">
        <v>100</v>
      </c>
      <c r="W1258" s="2" t="inlineStr">
        <is>
          <t>Classification</t>
        </is>
      </c>
      <c r="X1258" s="2" t="n">
        <v>-37.0083</v>
      </c>
      <c r="Y1258" s="2" t="n">
        <v>174.8705</v>
      </c>
    </row>
    <row r="1259">
      <c r="A1259" s="2" t="inlineStr">
        <is>
          <t>Downer</t>
        </is>
      </c>
      <c r="B1259" s="2" t="inlineStr">
        <is>
          <t>Hawkins - Recharge</t>
        </is>
      </c>
      <c r="C1259" s="2" t="inlineStr">
        <is>
          <t>Other</t>
        </is>
      </c>
      <c r="D1259" s="2" t="inlineStr">
        <is>
          <t>L9.DNZ.HS0165</t>
        </is>
      </c>
      <c r="E1259" s="2" t="inlineStr">
        <is>
          <t>L9.DNZ.HS0165</t>
        </is>
      </c>
      <c r="H1259" s="2" t="inlineStr">
        <is>
          <t>130 Kerrs Road</t>
        </is>
      </c>
      <c r="I1259" s="2" t="inlineStr">
        <is>
          <t>Wiri</t>
        </is>
      </c>
      <c r="J1259" s="2" t="inlineStr">
        <is>
          <t>Auckland</t>
        </is>
      </c>
      <c r="K1259" s="2" t="n">
        <v>2104</v>
      </c>
      <c r="L1259" s="2" t="inlineStr">
        <is>
          <t>New Zealand</t>
        </is>
      </c>
      <c r="M1259" s="2" t="inlineStr">
        <is>
          <t>Manurewa</t>
        </is>
      </c>
      <c r="N1259" s="2" t="inlineStr">
        <is>
          <t>New Zealand</t>
        </is>
      </c>
      <c r="P1259" s="2" t="inlineStr">
        <is>
          <t>Operational Control</t>
        </is>
      </c>
      <c r="Q1259" s="2" t="inlineStr">
        <is>
          <t>Operational Control</t>
        </is>
      </c>
      <c r="R1259" s="2" t="inlineStr">
        <is>
          <t>Transport &amp; Infrastructure (T&amp;I)</t>
        </is>
      </c>
      <c r="S1259" s="2" t="inlineStr">
        <is>
          <t>Downer</t>
        </is>
      </c>
      <c r="T1259" s="2" t="n">
        <v>100</v>
      </c>
      <c r="W1259" s="2" t="inlineStr">
        <is>
          <t>Classification</t>
        </is>
      </c>
      <c r="X1259" s="2" t="n">
        <v>-37.0083</v>
      </c>
      <c r="Y1259" s="2" t="n">
        <v>174.8705</v>
      </c>
    </row>
    <row r="1260">
      <c r="A1260" s="2" t="inlineStr">
        <is>
          <t>Downer</t>
        </is>
      </c>
      <c r="B1260" s="2" t="inlineStr">
        <is>
          <t>Hawkins Construction Recharges</t>
        </is>
      </c>
      <c r="C1260" s="2" t="inlineStr">
        <is>
          <t>Other</t>
        </is>
      </c>
      <c r="D1260" s="2" t="inlineStr">
        <is>
          <t>L9.DNZJ.9010</t>
        </is>
      </c>
      <c r="E1260" s="2" t="n">
        <v>9010</v>
      </c>
      <c r="H1260" s="2" t="inlineStr">
        <is>
          <t>130 Kerrs Road</t>
        </is>
      </c>
      <c r="I1260" s="2" t="inlineStr">
        <is>
          <t>Wiri</t>
        </is>
      </c>
      <c r="J1260" s="2" t="inlineStr">
        <is>
          <t>Auckland</t>
        </is>
      </c>
      <c r="K1260" s="2" t="n">
        <v>2104</v>
      </c>
      <c r="L1260" s="2" t="inlineStr">
        <is>
          <t>New Zealand</t>
        </is>
      </c>
      <c r="M1260" s="2" t="inlineStr">
        <is>
          <t>Manurewa</t>
        </is>
      </c>
      <c r="N1260" s="2" t="inlineStr">
        <is>
          <t>New Zealand</t>
        </is>
      </c>
      <c r="P1260" s="2" t="inlineStr">
        <is>
          <t>Operational Control</t>
        </is>
      </c>
      <c r="Q1260" s="2" t="inlineStr">
        <is>
          <t>Operational Control</t>
        </is>
      </c>
      <c r="R1260" s="2" t="inlineStr">
        <is>
          <t>Corporate</t>
        </is>
      </c>
      <c r="S1260" s="2" t="inlineStr">
        <is>
          <t>Downer</t>
        </is>
      </c>
      <c r="T1260" s="2" t="n">
        <v>100</v>
      </c>
      <c r="W1260" s="2" t="inlineStr">
        <is>
          <t>Classification</t>
        </is>
      </c>
      <c r="X1260" s="2" t="n">
        <v>-37.0083</v>
      </c>
      <c r="Y1260" s="2" t="n">
        <v>174.8705</v>
      </c>
    </row>
    <row r="1261">
      <c r="A1261" s="2" t="inlineStr">
        <is>
          <t>Downer</t>
        </is>
      </c>
      <c r="B1261" s="2" t="inlineStr">
        <is>
          <t>HB HOSPITAL-RADIOLOGY 2.0</t>
        </is>
      </c>
      <c r="C1261" s="2" t="inlineStr">
        <is>
          <t>Hospital</t>
        </is>
      </c>
      <c r="D1261" s="2" t="inlineStr">
        <is>
          <t>L9.DNZ.HW0268</t>
        </is>
      </c>
      <c r="E1261" s="2" t="inlineStr">
        <is>
          <t>JP_HW0268</t>
        </is>
      </c>
      <c r="G1261" s="2" t="inlineStr">
        <is>
          <t>TI-NZT-BP.HW0268-HB Radiology</t>
        </is>
      </c>
      <c r="M1261" s="2" t="inlineStr">
        <is>
          <t>Hawke's Bay</t>
        </is>
      </c>
      <c r="N1261" s="2" t="inlineStr">
        <is>
          <t>New Zealand</t>
        </is>
      </c>
      <c r="P1261" s="2" t="inlineStr">
        <is>
          <t>Operational Control</t>
        </is>
      </c>
      <c r="Q1261" s="2" t="inlineStr">
        <is>
          <t>Operational Control</t>
        </is>
      </c>
      <c r="R1261" s="2" t="inlineStr">
        <is>
          <t>Transport &amp; Infrastructure (T&amp;I)</t>
        </is>
      </c>
      <c r="S1261" s="2" t="inlineStr">
        <is>
          <t>Downer</t>
        </is>
      </c>
      <c r="T1261" s="2" t="n">
        <v>100</v>
      </c>
      <c r="W1261" s="2" t="inlineStr">
        <is>
          <t>Classification</t>
        </is>
      </c>
    </row>
    <row r="1262">
      <c r="A1262" s="2" t="inlineStr">
        <is>
          <t>Downer</t>
        </is>
      </c>
      <c r="B1262" s="2" t="inlineStr">
        <is>
          <t>HB Overhead</t>
        </is>
      </c>
      <c r="C1262" s="2" t="inlineStr">
        <is>
          <t>Other</t>
        </is>
      </c>
      <c r="D1262" s="2" t="inlineStr">
        <is>
          <t>L9.DNZJ.54938</t>
        </is>
      </c>
      <c r="E1262" s="2" t="n">
        <v>54938</v>
      </c>
      <c r="G1262" s="2" t="inlineStr">
        <is>
          <t>TI-NZT-54938 - HB Ov</t>
        </is>
      </c>
      <c r="M1262" s="2" t="inlineStr">
        <is>
          <t>Hawke's Bay</t>
        </is>
      </c>
      <c r="N1262" s="2" t="inlineStr">
        <is>
          <t>New Zealand</t>
        </is>
      </c>
      <c r="P1262" s="2" t="inlineStr">
        <is>
          <t>Operational Control</t>
        </is>
      </c>
      <c r="Q1262" s="2" t="inlineStr">
        <is>
          <t>Operational Control</t>
        </is>
      </c>
      <c r="R1262" s="2" t="inlineStr">
        <is>
          <t>Transport &amp; Infrastructure (T&amp;I)</t>
        </is>
      </c>
      <c r="S1262" s="2" t="inlineStr">
        <is>
          <t>Downer</t>
        </is>
      </c>
      <c r="T1262" s="2" t="n">
        <v>100</v>
      </c>
      <c r="W1262" s="2" t="inlineStr">
        <is>
          <t>Classification</t>
        </is>
      </c>
    </row>
    <row r="1263">
      <c r="A1263" s="2" t="inlineStr">
        <is>
          <t>Downer</t>
        </is>
      </c>
      <c r="B1263" s="2" t="inlineStr">
        <is>
          <t>HB REGIONAL STAFF FACILITIES</t>
        </is>
      </c>
      <c r="C1263" s="2" t="inlineStr">
        <is>
          <t>Other</t>
        </is>
      </c>
      <c r="D1263" s="2" t="inlineStr">
        <is>
          <t>L9.DNZ.HW0232</t>
        </is>
      </c>
      <c r="E1263" s="2" t="inlineStr">
        <is>
          <t>JP_HW0232</t>
        </is>
      </c>
      <c r="M1263" s="2" t="inlineStr">
        <is>
          <t>Manurewa</t>
        </is>
      </c>
      <c r="N1263" s="2" t="inlineStr">
        <is>
          <t>New Zealand</t>
        </is>
      </c>
      <c r="P1263" s="2" t="inlineStr">
        <is>
          <t>Operational Control</t>
        </is>
      </c>
      <c r="Q1263" s="2" t="inlineStr">
        <is>
          <t>Operational Control</t>
        </is>
      </c>
      <c r="R1263" s="2" t="inlineStr">
        <is>
          <t>Transport &amp; Infrastructure (T&amp;I)</t>
        </is>
      </c>
      <c r="S1263" s="2" t="inlineStr">
        <is>
          <t>Downer</t>
        </is>
      </c>
      <c r="T1263" s="2" t="n">
        <v>100</v>
      </c>
      <c r="W1263" s="2" t="inlineStr">
        <is>
          <t>Classification</t>
        </is>
      </c>
    </row>
    <row r="1264">
      <c r="A1264" s="2" t="inlineStr">
        <is>
          <t>Downer</t>
        </is>
      </c>
      <c r="B1264" s="2" t="inlineStr">
        <is>
          <t>HCMT -  East Pakenham Depot</t>
        </is>
      </c>
      <c r="C1264" s="2" t="inlineStr">
        <is>
          <t>Depot</t>
        </is>
      </c>
      <c r="D1264" s="2" t="inlineStr">
        <is>
          <t>L9.J.713002</t>
        </is>
      </c>
      <c r="E1264" s="2" t="n">
        <v>68</v>
      </c>
      <c r="F1264" s="2" t="n">
        <v>68</v>
      </c>
      <c r="M1264" s="2" t="inlineStr">
        <is>
          <t>Victoria</t>
        </is>
      </c>
      <c r="N1264" s="2" t="inlineStr">
        <is>
          <t>Australia</t>
        </is>
      </c>
      <c r="P1264" s="2" t="inlineStr">
        <is>
          <t>Operational Control</t>
        </is>
      </c>
      <c r="Q1264" s="2" t="inlineStr">
        <is>
          <t>Operational Control</t>
        </is>
      </c>
      <c r="R1264" s="2" t="inlineStr">
        <is>
          <t>Rail &amp; Transit Systems (RTS)</t>
        </is>
      </c>
      <c r="S1264" s="2" t="inlineStr">
        <is>
          <t>Downer</t>
        </is>
      </c>
      <c r="T1264" s="2" t="n">
        <v>100</v>
      </c>
      <c r="W1264" s="2" t="inlineStr">
        <is>
          <t>Classification</t>
        </is>
      </c>
      <c r="X1264" s="2" t="n">
        <v>-38.077848</v>
      </c>
      <c r="Y1264" s="2" t="n">
        <v>145.543377</v>
      </c>
      <c r="Z1264" s="2" t="n">
        <v>310</v>
      </c>
    </row>
    <row r="1265">
      <c r="A1265" s="2" t="inlineStr">
        <is>
          <t>Downer</t>
        </is>
      </c>
      <c r="B1265" s="2" t="inlineStr">
        <is>
          <t>Heavy Metalling (Uawa)</t>
        </is>
      </c>
      <c r="C1265" s="2" t="inlineStr">
        <is>
          <t>Other</t>
        </is>
      </c>
      <c r="D1265" s="2" t="inlineStr">
        <is>
          <t>L9.DNZJ.551024</t>
        </is>
      </c>
      <c r="E1265" s="2" t="n">
        <v>551024</v>
      </c>
      <c r="M1265" s="2" t="inlineStr">
        <is>
          <t>Auckland</t>
        </is>
      </c>
      <c r="N1265" s="2" t="inlineStr">
        <is>
          <t>New Zealand</t>
        </is>
      </c>
      <c r="P1265" s="2" t="inlineStr">
        <is>
          <t>Operational Control</t>
        </is>
      </c>
      <c r="Q1265" s="2" t="inlineStr">
        <is>
          <t>Operational Control</t>
        </is>
      </c>
      <c r="R1265" s="2" t="inlineStr">
        <is>
          <t>Transport &amp; Infrastructure (T&amp;I)</t>
        </is>
      </c>
      <c r="S1265" s="2" t="inlineStr">
        <is>
          <t>Downer</t>
        </is>
      </c>
      <c r="T1265" s="2" t="n">
        <v>100</v>
      </c>
      <c r="W1265" s="2" t="inlineStr">
        <is>
          <t>Classification</t>
        </is>
      </c>
    </row>
    <row r="1266">
      <c r="A1266" s="2" t="inlineStr">
        <is>
          <t>Downer</t>
        </is>
      </c>
      <c r="B1266" s="2" t="inlineStr">
        <is>
          <t>Heinz Watties (Food) - 45002891</t>
        </is>
      </c>
      <c r="C1266" s="2" t="inlineStr">
        <is>
          <t>Other</t>
        </is>
      </c>
      <c r="D1266" s="2" t="inlineStr">
        <is>
          <t>L9.S.24000171</t>
        </is>
      </c>
      <c r="E1266" s="2" t="n">
        <v>2000004705</v>
      </c>
      <c r="H1266" s="2" t="inlineStr">
        <is>
          <t>130 Kerrs Road</t>
        </is>
      </c>
      <c r="I1266" s="2" t="inlineStr">
        <is>
          <t>Wiri</t>
        </is>
      </c>
      <c r="J1266" s="2" t="inlineStr">
        <is>
          <t>Auckland</t>
        </is>
      </c>
      <c r="K1266" s="2" t="n">
        <v>2104</v>
      </c>
      <c r="L1266" s="2" t="inlineStr">
        <is>
          <t>New Zealand</t>
        </is>
      </c>
      <c r="M1266" s="2" t="inlineStr">
        <is>
          <t>Manurewa</t>
        </is>
      </c>
      <c r="N1266" s="2" t="inlineStr">
        <is>
          <t>New Zealand</t>
        </is>
      </c>
      <c r="P1266" s="2" t="inlineStr">
        <is>
          <t>Operational Control</t>
        </is>
      </c>
      <c r="Q1266" s="2" t="inlineStr">
        <is>
          <t>Operational Control</t>
        </is>
      </c>
      <c r="R1266" s="2" t="inlineStr">
        <is>
          <t>Social Infra &amp; Citizen Serv (SICS)</t>
        </is>
      </c>
      <c r="S1266" s="2" t="inlineStr">
        <is>
          <t>Downer</t>
        </is>
      </c>
      <c r="T1266" s="2" t="n">
        <v>100</v>
      </c>
      <c r="W1266" s="2" t="inlineStr">
        <is>
          <t>Classification</t>
        </is>
      </c>
      <c r="X1266" s="2" t="n">
        <v>-37.0083</v>
      </c>
      <c r="Y1266" s="2" t="n">
        <v>174.8705</v>
      </c>
    </row>
    <row r="1267">
      <c r="A1267" s="2" t="inlineStr">
        <is>
          <t>Downer</t>
        </is>
      </c>
      <c r="B1267" s="2" t="inlineStr">
        <is>
          <t>Henderson Depot (Water)</t>
        </is>
      </c>
      <c r="C1267" s="2" t="inlineStr">
        <is>
          <t>Other</t>
        </is>
      </c>
      <c r="D1267" s="2" t="inlineStr">
        <is>
          <t>L9.DNZJ.55528</t>
        </is>
      </c>
      <c r="E1267" s="2" t="n">
        <v>55528</v>
      </c>
      <c r="H1267" s="2" t="inlineStr">
        <is>
          <t>9 Rabone Street</t>
        </is>
      </c>
      <c r="I1267" s="2" t="inlineStr">
        <is>
          <t>Henderson</t>
        </is>
      </c>
      <c r="J1267" s="2" t="inlineStr">
        <is>
          <t>Auckland</t>
        </is>
      </c>
      <c r="K1267" s="2" t="n">
        <v>612</v>
      </c>
      <c r="L1267" s="2" t="inlineStr">
        <is>
          <t>New Zealand</t>
        </is>
      </c>
      <c r="M1267" s="2" t="inlineStr">
        <is>
          <t>Waitakere</t>
        </is>
      </c>
      <c r="N1267" s="2" t="inlineStr">
        <is>
          <t>New Zealand</t>
        </is>
      </c>
      <c r="P1267" s="2" t="inlineStr">
        <is>
          <t>Operational Control</t>
        </is>
      </c>
      <c r="Q1267" s="2" t="inlineStr">
        <is>
          <t>Operational Control</t>
        </is>
      </c>
      <c r="R1267" s="2" t="inlineStr">
        <is>
          <t>Transport &amp; Infrastructure (T&amp;I)</t>
        </is>
      </c>
      <c r="S1267" s="2" t="inlineStr">
        <is>
          <t>Downer</t>
        </is>
      </c>
      <c r="T1267" s="2" t="n">
        <v>100</v>
      </c>
      <c r="W1267" s="2" t="inlineStr">
        <is>
          <t>Classification</t>
        </is>
      </c>
      <c r="X1267" s="2" t="n">
        <v>-36.8874</v>
      </c>
      <c r="Y1267" s="2" t="n">
        <v>174.6305</v>
      </c>
    </row>
    <row r="1268">
      <c r="A1268" s="2" t="inlineStr">
        <is>
          <t>Downer</t>
        </is>
      </c>
      <c r="B1268" s="2" t="inlineStr">
        <is>
          <t>Hertz AU</t>
        </is>
      </c>
      <c r="C1268" s="2" t="inlineStr">
        <is>
          <t>Other</t>
        </is>
      </c>
      <c r="D1268" s="2" t="inlineStr">
        <is>
          <t>L9.J.101001</t>
        </is>
      </c>
      <c r="E1268" s="2" t="n">
        <v>1024</v>
      </c>
      <c r="M1268" s="2" t="inlineStr">
        <is>
          <t>Sydney</t>
        </is>
      </c>
      <c r="N1268" s="2" t="inlineStr">
        <is>
          <t>Australia</t>
        </is>
      </c>
      <c r="P1268" s="2" t="inlineStr">
        <is>
          <t>Operational Control</t>
        </is>
      </c>
      <c r="Q1268" s="2" t="inlineStr">
        <is>
          <t>Operational Control</t>
        </is>
      </c>
      <c r="R1268" s="2" t="inlineStr">
        <is>
          <t>Corporate</t>
        </is>
      </c>
      <c r="S1268" s="2" t="inlineStr">
        <is>
          <t>Downer</t>
        </is>
      </c>
      <c r="T1268" s="2" t="n">
        <v>100</v>
      </c>
      <c r="W1268" s="2" t="inlineStr">
        <is>
          <t>Classification</t>
        </is>
      </c>
    </row>
    <row r="1269">
      <c r="A1269" s="2" t="inlineStr">
        <is>
          <t>Downer</t>
        </is>
      </c>
      <c r="B1269" s="2" t="inlineStr">
        <is>
          <t>Hexham Office</t>
        </is>
      </c>
      <c r="C1269" s="2" t="inlineStr">
        <is>
          <t>Head Office</t>
        </is>
      </c>
      <c r="D1269" s="2" t="inlineStr">
        <is>
          <t>L9.J.10920006</t>
        </is>
      </c>
      <c r="E1269" s="2" t="inlineStr">
        <is>
          <t>COR-10920006</t>
        </is>
      </c>
      <c r="H1269" s="2" t="inlineStr">
        <is>
          <t>16-17 Galleghan Road</t>
        </is>
      </c>
      <c r="I1269" s="2" t="inlineStr">
        <is>
          <t>Hexham</t>
        </is>
      </c>
      <c r="J1269" s="2" t="inlineStr">
        <is>
          <t>NSW</t>
        </is>
      </c>
      <c r="K1269" s="2" t="n">
        <v>2322</v>
      </c>
      <c r="L1269" s="2" t="inlineStr">
        <is>
          <t>Australia</t>
        </is>
      </c>
      <c r="M1269" s="2" t="inlineStr">
        <is>
          <t>New South Wales</t>
        </is>
      </c>
      <c r="N1269" s="2" t="inlineStr">
        <is>
          <t>Australia</t>
        </is>
      </c>
      <c r="P1269" s="2" t="inlineStr">
        <is>
          <t>Operational Control</t>
        </is>
      </c>
      <c r="Q1269" s="2" t="inlineStr">
        <is>
          <t>Operational Control</t>
        </is>
      </c>
      <c r="R1269" s="2" t="inlineStr">
        <is>
          <t>Corporate</t>
        </is>
      </c>
      <c r="S1269" s="2" t="inlineStr">
        <is>
          <t>Downer</t>
        </is>
      </c>
      <c r="T1269" s="2" t="n">
        <v>100</v>
      </c>
      <c r="W1269" s="2" t="inlineStr">
        <is>
          <t>Classification</t>
        </is>
      </c>
      <c r="Z1269" s="2" t="n">
        <v>729</v>
      </c>
    </row>
    <row r="1270">
      <c r="A1270" s="2" t="inlineStr">
        <is>
          <t>Downer</t>
        </is>
      </c>
      <c r="B1270" s="2" t="inlineStr">
        <is>
          <t>HO_SubContractors</t>
        </is>
      </c>
      <c r="C1270" s="2" t="inlineStr">
        <is>
          <t>Other</t>
        </is>
      </c>
      <c r="D1270" s="2" t="inlineStr">
        <is>
          <t>L9.DNZJ.9008</t>
        </is>
      </c>
      <c r="E1270" s="2" t="n">
        <v>4040</v>
      </c>
      <c r="M1270" s="2" t="inlineStr">
        <is>
          <t>Auckland</t>
        </is>
      </c>
      <c r="N1270" s="2" t="inlineStr">
        <is>
          <t>New Zealand</t>
        </is>
      </c>
      <c r="P1270" s="2" t="inlineStr">
        <is>
          <t>Operational Control</t>
        </is>
      </c>
      <c r="Q1270" s="2" t="inlineStr">
        <is>
          <t>Operational Control</t>
        </is>
      </c>
      <c r="R1270" s="2" t="inlineStr">
        <is>
          <t>Corporate</t>
        </is>
      </c>
      <c r="S1270" s="2" t="inlineStr">
        <is>
          <t>Downer</t>
        </is>
      </c>
      <c r="T1270" s="2" t="n">
        <v>100</v>
      </c>
      <c r="W1270" s="2" t="inlineStr">
        <is>
          <t>Classification</t>
        </is>
      </c>
    </row>
    <row r="1271">
      <c r="A1271" s="2" t="inlineStr">
        <is>
          <t>Downer</t>
        </is>
      </c>
      <c r="B1271" s="2" t="inlineStr">
        <is>
          <t>HOMAI PEDESTRIAN LEVEL CROSSIN</t>
        </is>
      </c>
      <c r="C1271" s="2" t="inlineStr">
        <is>
          <t>Infrastructure</t>
        </is>
      </c>
      <c r="D1271" s="2" t="inlineStr">
        <is>
          <t>L9.DNZJ.DN1212</t>
        </is>
      </c>
      <c r="E1271" s="2" t="inlineStr">
        <is>
          <t>JP_DN1212</t>
        </is>
      </c>
      <c r="G1271" s="2" t="inlineStr">
        <is>
          <t>TI-NZT-DN1212 - Homai</t>
        </is>
      </c>
      <c r="M1271" s="2" t="inlineStr">
        <is>
          <t>Auckland</t>
        </is>
      </c>
      <c r="N1271" s="2" t="inlineStr">
        <is>
          <t>New Zealand</t>
        </is>
      </c>
      <c r="P1271" s="2" t="inlineStr">
        <is>
          <t>Operational Control</t>
        </is>
      </c>
      <c r="Q1271" s="2" t="inlineStr">
        <is>
          <t>Operational Control</t>
        </is>
      </c>
      <c r="R1271" s="2" t="inlineStr">
        <is>
          <t>Transport &amp; Infrastructure (T&amp;I)</t>
        </is>
      </c>
      <c r="S1271" s="2" t="inlineStr">
        <is>
          <t>Downer</t>
        </is>
      </c>
      <c r="T1271" s="2" t="n">
        <v>100</v>
      </c>
      <c r="W1271" s="2" t="inlineStr">
        <is>
          <t>Classification</t>
        </is>
      </c>
    </row>
    <row r="1272">
      <c r="A1272" s="2" t="inlineStr">
        <is>
          <t>Downer</t>
        </is>
      </c>
      <c r="B1272" s="2" t="inlineStr">
        <is>
          <t>Horowhenua DC Water Alliance EU Subcontractors</t>
        </is>
      </c>
      <c r="C1272" s="2" t="inlineStr">
        <is>
          <t>Other</t>
        </is>
      </c>
      <c r="D1272" s="2" t="inlineStr">
        <is>
          <t>L9.DNZJ.56133</t>
        </is>
      </c>
      <c r="E1272" s="2" t="inlineStr">
        <is>
          <t>L9.DNZJ.56133</t>
        </is>
      </c>
      <c r="M1272" s="2" t="inlineStr">
        <is>
          <t>Auckland City</t>
        </is>
      </c>
      <c r="N1272" s="2" t="inlineStr">
        <is>
          <t>New Zealand</t>
        </is>
      </c>
      <c r="P1272" s="2" t="inlineStr">
        <is>
          <t>Operational Control</t>
        </is>
      </c>
      <c r="Q1272" s="2" t="inlineStr">
        <is>
          <t>Operational Control</t>
        </is>
      </c>
      <c r="R1272" s="2" t="inlineStr">
        <is>
          <t>Energy and Utilities (EU)</t>
        </is>
      </c>
      <c r="S1272" s="2" t="inlineStr">
        <is>
          <t>Downer</t>
        </is>
      </c>
      <c r="T1272" s="2" t="n">
        <v>100</v>
      </c>
      <c r="W1272" s="2" t="inlineStr">
        <is>
          <t>Classification</t>
        </is>
      </c>
    </row>
    <row r="1273">
      <c r="A1273" s="2" t="inlineStr">
        <is>
          <t>Downer</t>
        </is>
      </c>
      <c r="B1273" s="2" t="inlineStr">
        <is>
          <t>Horowhenua Depot</t>
        </is>
      </c>
      <c r="C1273" s="2" t="inlineStr">
        <is>
          <t>Other</t>
        </is>
      </c>
      <c r="D1273" s="2" t="inlineStr">
        <is>
          <t>L9.DNZJ.55604</t>
        </is>
      </c>
      <c r="E1273" s="2" t="n">
        <v>55604</v>
      </c>
      <c r="H1273" s="2" t="inlineStr">
        <is>
          <t>122 Hokio Beach Road</t>
        </is>
      </c>
      <c r="I1273" s="2" t="inlineStr">
        <is>
          <t>Horowhenua</t>
        </is>
      </c>
      <c r="J1273" s="2" t="inlineStr">
        <is>
          <t>Levin</t>
        </is>
      </c>
      <c r="K1273" s="2" t="n">
        <v>5510</v>
      </c>
      <c r="L1273" s="2" t="inlineStr">
        <is>
          <t>New Zealand</t>
        </is>
      </c>
      <c r="M1273" s="2" t="inlineStr">
        <is>
          <t>Levin</t>
        </is>
      </c>
      <c r="N1273" s="2" t="inlineStr">
        <is>
          <t>New Zealand</t>
        </is>
      </c>
      <c r="P1273" s="2" t="inlineStr">
        <is>
          <t>Operational Control</t>
        </is>
      </c>
      <c r="Q1273" s="2" t="inlineStr">
        <is>
          <t>Operational Control</t>
        </is>
      </c>
      <c r="R1273" s="2" t="inlineStr">
        <is>
          <t>Transport &amp; Infrastructure (T&amp;I)</t>
        </is>
      </c>
      <c r="S1273" s="2" t="inlineStr">
        <is>
          <t>Downer</t>
        </is>
      </c>
      <c r="T1273" s="2" t="n">
        <v>100</v>
      </c>
      <c r="W1273" s="2" t="inlineStr">
        <is>
          <t>Classification</t>
        </is>
      </c>
      <c r="X1273" s="2" t="n">
        <v>-40.6252</v>
      </c>
      <c r="Y1273" s="2" t="n">
        <v>175.2576</v>
      </c>
    </row>
    <row r="1274">
      <c r="A1274" s="2" t="inlineStr">
        <is>
          <t>Downer</t>
        </is>
      </c>
      <c r="B1274" s="2" t="inlineStr">
        <is>
          <t>Horsham - Ballinger St</t>
        </is>
      </c>
      <c r="C1274" s="2" t="inlineStr">
        <is>
          <t>Depot</t>
        </is>
      </c>
      <c r="D1274" s="2" t="inlineStr">
        <is>
          <t>L9.J.24170007</t>
        </is>
      </c>
      <c r="E1274" s="2" t="n">
        <v>2027</v>
      </c>
      <c r="H1274" s="2" t="inlineStr">
        <is>
          <t>10 Ballinger Street</t>
        </is>
      </c>
      <c r="I1274" s="2" t="inlineStr">
        <is>
          <t>Horsham</t>
        </is>
      </c>
      <c r="J1274" s="2" t="inlineStr">
        <is>
          <t>VIC</t>
        </is>
      </c>
      <c r="K1274" s="2" t="n">
        <v>3400</v>
      </c>
      <c r="L1274" s="2" t="inlineStr">
        <is>
          <t>Australia</t>
        </is>
      </c>
      <c r="M1274" s="2" t="inlineStr">
        <is>
          <t>Victoria</t>
        </is>
      </c>
      <c r="N1274" s="2" t="inlineStr">
        <is>
          <t>Australia</t>
        </is>
      </c>
      <c r="P1274" s="2" t="inlineStr">
        <is>
          <t>Operational Control</t>
        </is>
      </c>
      <c r="Q1274" s="2" t="inlineStr">
        <is>
          <t>Operational Control</t>
        </is>
      </c>
      <c r="R1274" s="2" t="inlineStr">
        <is>
          <t>Energy and Utilities (EU)</t>
        </is>
      </c>
      <c r="S1274" s="2" t="inlineStr">
        <is>
          <t>Downer</t>
        </is>
      </c>
      <c r="T1274" s="2" t="n">
        <v>100</v>
      </c>
      <c r="W1274" s="2" t="inlineStr">
        <is>
          <t>Classification</t>
        </is>
      </c>
    </row>
    <row r="1275">
      <c r="A1275" s="2" t="inlineStr">
        <is>
          <t>Downer</t>
        </is>
      </c>
      <c r="B1275" s="2" t="inlineStr">
        <is>
          <t>HR - Utilities</t>
        </is>
      </c>
      <c r="C1275" s="2" t="inlineStr">
        <is>
          <t>Other</t>
        </is>
      </c>
      <c r="D1275" s="2" t="inlineStr">
        <is>
          <t>L9.DNZJ.63950</t>
        </is>
      </c>
      <c r="E1275" s="2" t="n">
        <v>63950</v>
      </c>
      <c r="M1275" s="2" t="inlineStr">
        <is>
          <t>Manurewa</t>
        </is>
      </c>
      <c r="N1275" s="2" t="inlineStr">
        <is>
          <t>New Zealand</t>
        </is>
      </c>
      <c r="P1275" s="2" t="inlineStr">
        <is>
          <t>Operational Control</t>
        </is>
      </c>
      <c r="Q1275" s="2" t="inlineStr">
        <is>
          <t>Operational Control</t>
        </is>
      </c>
      <c r="R1275" s="2" t="inlineStr">
        <is>
          <t>Energy and Utilities (EU)</t>
        </is>
      </c>
      <c r="S1275" s="2" t="inlineStr">
        <is>
          <t>Downer</t>
        </is>
      </c>
      <c r="T1275" s="2" t="n">
        <v>100</v>
      </c>
      <c r="W1275" s="2" t="inlineStr">
        <is>
          <t>Classification</t>
        </is>
      </c>
    </row>
    <row r="1276">
      <c r="A1276" s="2" t="inlineStr">
        <is>
          <t>Downer</t>
        </is>
      </c>
      <c r="B1276" s="2" t="inlineStr">
        <is>
          <t>HRC Bus Shelters</t>
        </is>
      </c>
      <c r="C1276" s="2" t="inlineStr">
        <is>
          <t>Public Amenity</t>
        </is>
      </c>
      <c r="D1276" s="2" t="inlineStr">
        <is>
          <t>L9.DNZJ.552411</t>
        </is>
      </c>
      <c r="E1276" s="2" t="n">
        <v>552411</v>
      </c>
      <c r="G1276" s="2" t="inlineStr">
        <is>
          <t>TI-NZT-552411 - HRC</t>
        </is>
      </c>
      <c r="M1276" s="2" t="inlineStr">
        <is>
          <t>Wellington</t>
        </is>
      </c>
      <c r="N1276" s="2" t="inlineStr">
        <is>
          <t>New Zealand</t>
        </is>
      </c>
      <c r="P1276" s="2" t="inlineStr">
        <is>
          <t>Operational Control</t>
        </is>
      </c>
      <c r="Q1276" s="2" t="inlineStr">
        <is>
          <t>Operational Control</t>
        </is>
      </c>
      <c r="R1276" s="2" t="inlineStr">
        <is>
          <t>Transport &amp; Infrastructure (T&amp;I)</t>
        </is>
      </c>
      <c r="S1276" s="2" t="inlineStr">
        <is>
          <t>Downer</t>
        </is>
      </c>
      <c r="T1276" s="2" t="n">
        <v>100</v>
      </c>
      <c r="W1276" s="2" t="inlineStr">
        <is>
          <t>Classification</t>
        </is>
      </c>
    </row>
    <row r="1277">
      <c r="A1277" s="2" t="inlineStr">
        <is>
          <t>Downer</t>
        </is>
      </c>
      <c r="B1277" s="2" t="inlineStr">
        <is>
          <t>HSF (Zero Harm)</t>
        </is>
      </c>
      <c r="C1277" s="2" t="inlineStr">
        <is>
          <t>Other</t>
        </is>
      </c>
      <c r="D1277" s="2" t="inlineStr">
        <is>
          <t>L9.DNZJ.63960</t>
        </is>
      </c>
      <c r="E1277" s="2" t="n">
        <v>63960</v>
      </c>
      <c r="H1277" s="2" t="inlineStr">
        <is>
          <t>130 Kerrs Road</t>
        </is>
      </c>
      <c r="I1277" s="2" t="inlineStr">
        <is>
          <t>Wiri</t>
        </is>
      </c>
      <c r="J1277" s="2" t="inlineStr">
        <is>
          <t>Auckland</t>
        </is>
      </c>
      <c r="K1277" s="2" t="n">
        <v>2104</v>
      </c>
      <c r="L1277" s="2" t="inlineStr">
        <is>
          <t>New Zealand</t>
        </is>
      </c>
      <c r="M1277" s="2" t="inlineStr">
        <is>
          <t>Manurewa</t>
        </is>
      </c>
      <c r="N1277" s="2" t="inlineStr">
        <is>
          <t>New Zealand</t>
        </is>
      </c>
      <c r="P1277" s="2" t="inlineStr">
        <is>
          <t>Operational Control</t>
        </is>
      </c>
      <c r="Q1277" s="2" t="inlineStr">
        <is>
          <t>Operational Control</t>
        </is>
      </c>
      <c r="R1277" s="2" t="inlineStr">
        <is>
          <t>Energy and Utilities (EU)</t>
        </is>
      </c>
      <c r="S1277" s="2" t="inlineStr">
        <is>
          <t>Downer</t>
        </is>
      </c>
      <c r="T1277" s="2" t="n">
        <v>100</v>
      </c>
      <c r="W1277" s="2" t="inlineStr">
        <is>
          <t>Classification</t>
        </is>
      </c>
      <c r="X1277" s="2" t="n">
        <v>-37.0083</v>
      </c>
      <c r="Y1277" s="2" t="n">
        <v>174.8705</v>
      </c>
    </row>
    <row r="1278">
      <c r="A1278" s="2" t="inlineStr">
        <is>
          <t>Downer</t>
        </is>
      </c>
      <c r="B1278" s="2" t="inlineStr">
        <is>
          <t>Human Resources</t>
        </is>
      </c>
      <c r="C1278" s="2" t="inlineStr">
        <is>
          <t>Other</t>
        </is>
      </c>
      <c r="D1278" s="2" t="inlineStr">
        <is>
          <t>L9.DNZJ.55910</t>
        </is>
      </c>
      <c r="E1278" s="2" t="n">
        <v>55910</v>
      </c>
      <c r="H1278" s="2" t="inlineStr">
        <is>
          <t>130 Kerrs Road</t>
        </is>
      </c>
      <c r="I1278" s="2" t="inlineStr">
        <is>
          <t>Wiri</t>
        </is>
      </c>
      <c r="J1278" s="2" t="inlineStr">
        <is>
          <t>Auckland</t>
        </is>
      </c>
      <c r="K1278" s="2" t="n">
        <v>2104</v>
      </c>
      <c r="L1278" s="2" t="inlineStr">
        <is>
          <t>New Zealand</t>
        </is>
      </c>
      <c r="M1278" s="2" t="inlineStr">
        <is>
          <t>Manurewa</t>
        </is>
      </c>
      <c r="N1278" s="2" t="inlineStr">
        <is>
          <t>New Zealand</t>
        </is>
      </c>
      <c r="P1278" s="2" t="inlineStr">
        <is>
          <t>Operational Control</t>
        </is>
      </c>
      <c r="Q1278" s="2" t="inlineStr">
        <is>
          <t>Operational Control</t>
        </is>
      </c>
      <c r="R1278" s="2" t="inlineStr">
        <is>
          <t>Transport &amp; Infrastructure (T&amp;I)</t>
        </is>
      </c>
      <c r="S1278" s="2" t="inlineStr">
        <is>
          <t>Downer</t>
        </is>
      </c>
      <c r="T1278" s="2" t="n">
        <v>100</v>
      </c>
      <c r="W1278" s="2" t="inlineStr">
        <is>
          <t>Classification</t>
        </is>
      </c>
      <c r="X1278" s="2" t="n">
        <v>-37.0083</v>
      </c>
      <c r="Y1278" s="2" t="n">
        <v>174.8705</v>
      </c>
    </row>
    <row r="1279">
      <c r="A1279" s="2" t="inlineStr">
        <is>
          <t>Downer</t>
        </is>
      </c>
      <c r="B1279" s="2" t="inlineStr">
        <is>
          <t>Hume - P&amp;E</t>
        </is>
      </c>
      <c r="C1279" s="2" t="inlineStr">
        <is>
          <t>Depot</t>
        </is>
      </c>
      <c r="D1279" s="2" t="inlineStr">
        <is>
          <t>L9.J.170137</t>
        </is>
      </c>
      <c r="M1279" s="2" t="inlineStr">
        <is>
          <t>Australian Capital Territory</t>
        </is>
      </c>
      <c r="N1279" s="2" t="inlineStr">
        <is>
          <t>Australia</t>
        </is>
      </c>
      <c r="P1279" s="2" t="inlineStr">
        <is>
          <t>Operational Control</t>
        </is>
      </c>
      <c r="Q1279" s="2" t="inlineStr">
        <is>
          <t>Operational Control</t>
        </is>
      </c>
      <c r="R1279" s="2" t="inlineStr">
        <is>
          <t>Transport &amp; Infrastructure (T&amp;I)</t>
        </is>
      </c>
      <c r="S1279" s="2" t="inlineStr">
        <is>
          <t>Downer</t>
        </is>
      </c>
      <c r="T1279" s="2" t="n">
        <v>100</v>
      </c>
      <c r="W1279" s="2" t="inlineStr">
        <is>
          <t>Classification</t>
        </is>
      </c>
    </row>
    <row r="1280">
      <c r="A1280" s="2" t="inlineStr">
        <is>
          <t>Downer</t>
        </is>
      </c>
      <c r="B1280" s="2" t="inlineStr">
        <is>
          <t>HUTT VALLEY HIGH SCHL NEW</t>
        </is>
      </c>
      <c r="C1280" s="2" t="inlineStr">
        <is>
          <t>Other</t>
        </is>
      </c>
      <c r="D1280" s="2" t="inlineStr">
        <is>
          <t>L9.DNZ.HW0229</t>
        </is>
      </c>
      <c r="E1280" s="2" t="inlineStr">
        <is>
          <t>JP_HW0229</t>
        </is>
      </c>
      <c r="H1280" s="2" t="inlineStr">
        <is>
          <t>84-114 Woburn Road</t>
        </is>
      </c>
      <c r="I1280" s="2" t="inlineStr">
        <is>
          <t>Woburn</t>
        </is>
      </c>
      <c r="J1280" s="2" t="inlineStr">
        <is>
          <t>Lower Hutt</t>
        </is>
      </c>
      <c r="K1280" s="2" t="n">
        <v>5010</v>
      </c>
      <c r="L1280" s="2" t="inlineStr">
        <is>
          <t>New Zealand</t>
        </is>
      </c>
      <c r="M1280" s="2" t="inlineStr">
        <is>
          <t>Lower Hutt</t>
        </is>
      </c>
      <c r="N1280" s="2" t="inlineStr">
        <is>
          <t>New Zealand</t>
        </is>
      </c>
      <c r="P1280" s="2" t="inlineStr">
        <is>
          <t>Operational Control</t>
        </is>
      </c>
      <c r="Q1280" s="2" t="inlineStr">
        <is>
          <t>Operational Control</t>
        </is>
      </c>
      <c r="R1280" s="2" t="inlineStr">
        <is>
          <t>Transport &amp; Infrastructure (T&amp;I)</t>
        </is>
      </c>
      <c r="S1280" s="2" t="inlineStr">
        <is>
          <t>Downer</t>
        </is>
      </c>
      <c r="T1280" s="2" t="n">
        <v>100</v>
      </c>
      <c r="W1280" s="2" t="inlineStr">
        <is>
          <t>Classification</t>
        </is>
      </c>
      <c r="X1280" s="2" t="n">
        <v>-41.2158</v>
      </c>
      <c r="Y1280" s="2" t="n">
        <v>174.9021</v>
      </c>
    </row>
    <row r="1281">
      <c r="A1281" s="2" t="inlineStr">
        <is>
          <t>Downer</t>
        </is>
      </c>
      <c r="B1281" s="2" t="inlineStr">
        <is>
          <t>Hutt Valley Telco Ops</t>
        </is>
      </c>
      <c r="C1281" s="2" t="inlineStr">
        <is>
          <t>Other</t>
        </is>
      </c>
      <c r="D1281" s="2" t="inlineStr">
        <is>
          <t>L9.DNZ.810.10.163</t>
        </is>
      </c>
      <c r="E1281" s="2" t="n">
        <v>10163</v>
      </c>
      <c r="G1281" s="2" t="n">
        <v>10.163</v>
      </c>
      <c r="H1281" s="2" t="inlineStr">
        <is>
          <t>130 Kerrs Road</t>
        </is>
      </c>
      <c r="I1281" s="2" t="inlineStr">
        <is>
          <t>Wiri</t>
        </is>
      </c>
      <c r="J1281" s="2" t="inlineStr">
        <is>
          <t>Auckland</t>
        </is>
      </c>
      <c r="K1281" s="2" t="n">
        <v>2104</v>
      </c>
      <c r="L1281" s="2" t="inlineStr">
        <is>
          <t>New Zealand</t>
        </is>
      </c>
      <c r="M1281" s="2" t="inlineStr">
        <is>
          <t>Manurewa</t>
        </is>
      </c>
      <c r="N1281" s="2" t="inlineStr">
        <is>
          <t>New Zealand</t>
        </is>
      </c>
      <c r="P1281" s="2" t="inlineStr">
        <is>
          <t>Operational Control</t>
        </is>
      </c>
      <c r="Q1281" s="2" t="inlineStr">
        <is>
          <t>Operational Control</t>
        </is>
      </c>
      <c r="R1281" s="2" t="inlineStr">
        <is>
          <t>Energy and Utilities (EU)</t>
        </is>
      </c>
      <c r="S1281" s="2" t="inlineStr">
        <is>
          <t>Downer</t>
        </is>
      </c>
      <c r="T1281" s="2" t="n">
        <v>100</v>
      </c>
      <c r="W1281" s="2" t="inlineStr">
        <is>
          <t>Classification</t>
        </is>
      </c>
      <c r="X1281" s="2" t="n">
        <v>-37.0083</v>
      </c>
      <c r="Y1281" s="2" t="n">
        <v>174.8705</v>
      </c>
    </row>
    <row r="1282">
      <c r="A1282" s="2" t="inlineStr">
        <is>
          <t>Downer</t>
        </is>
      </c>
      <c r="B1282" s="2" t="inlineStr">
        <is>
          <t>Hydrogen Jobs Plan</t>
        </is>
      </c>
      <c r="C1282" s="2" t="inlineStr">
        <is>
          <t>Site</t>
        </is>
      </c>
      <c r="D1282" s="2" t="inlineStr">
        <is>
          <t>l9.J.37740124</t>
        </is>
      </c>
      <c r="E1282" s="2" t="n">
        <v>37740124</v>
      </c>
      <c r="M1282" s="2" t="inlineStr">
        <is>
          <t>Whyalla</t>
        </is>
      </c>
      <c r="N1282" s="2" t="inlineStr">
        <is>
          <t>Australia</t>
        </is>
      </c>
      <c r="P1282" s="2" t="inlineStr">
        <is>
          <t>Operational Control</t>
        </is>
      </c>
      <c r="Q1282" s="2" t="inlineStr">
        <is>
          <t>Operational Control</t>
        </is>
      </c>
      <c r="R1282" s="2" t="inlineStr">
        <is>
          <t>Energy and Utilities (EU)</t>
        </is>
      </c>
      <c r="S1282" s="2" t="inlineStr">
        <is>
          <t>Downer</t>
        </is>
      </c>
      <c r="T1282" s="2" t="n">
        <v>100</v>
      </c>
      <c r="U1282" s="11" t="n">
        <v>45505</v>
      </c>
      <c r="W1282" s="2" t="inlineStr">
        <is>
          <t>Classification</t>
        </is>
      </c>
    </row>
    <row r="1283">
      <c r="A1283" s="2" t="inlineStr">
        <is>
          <t>Downer</t>
        </is>
      </c>
      <c r="B1283" s="2" t="inlineStr">
        <is>
          <t>ICC Piped Network Mtnc 2017</t>
        </is>
      </c>
      <c r="C1283" s="2" t="inlineStr">
        <is>
          <t>Other</t>
        </is>
      </c>
      <c r="D1283" s="2" t="inlineStr">
        <is>
          <t>L9.DNZJ.56132</t>
        </is>
      </c>
      <c r="E1283" s="2" t="n">
        <v>56132</v>
      </c>
      <c r="H1283" s="2" t="inlineStr">
        <is>
          <t>130 Kerrs Road</t>
        </is>
      </c>
      <c r="I1283" s="2" t="inlineStr">
        <is>
          <t>Wiri</t>
        </is>
      </c>
      <c r="J1283" s="2" t="inlineStr">
        <is>
          <t>Auckland</t>
        </is>
      </c>
      <c r="K1283" s="2" t="n">
        <v>2104</v>
      </c>
      <c r="L1283" s="2" t="inlineStr">
        <is>
          <t>New Zealand</t>
        </is>
      </c>
      <c r="M1283" s="2" t="inlineStr">
        <is>
          <t>Manurewa</t>
        </is>
      </c>
      <c r="N1283" s="2" t="inlineStr">
        <is>
          <t>New Zealand</t>
        </is>
      </c>
      <c r="P1283" s="2" t="inlineStr">
        <is>
          <t>Operational Control</t>
        </is>
      </c>
      <c r="Q1283" s="2" t="inlineStr">
        <is>
          <t>Operational Control</t>
        </is>
      </c>
      <c r="R1283" s="2" t="inlineStr">
        <is>
          <t>Energy and Utilities (EU)</t>
        </is>
      </c>
      <c r="S1283" s="2" t="inlineStr">
        <is>
          <t>Downer</t>
        </is>
      </c>
      <c r="T1283" s="2" t="n">
        <v>100</v>
      </c>
      <c r="W1283" s="2" t="inlineStr">
        <is>
          <t>Classification</t>
        </is>
      </c>
      <c r="X1283" s="2" t="n">
        <v>-37.0083</v>
      </c>
      <c r="Y1283" s="2" t="n">
        <v>174.8705</v>
      </c>
    </row>
    <row r="1284">
      <c r="A1284" s="2" t="inlineStr">
        <is>
          <t>Downer</t>
        </is>
      </c>
      <c r="B1284" s="2" t="inlineStr">
        <is>
          <t>ICC Piped Network Mtnc 2017 EU Subcontractors</t>
        </is>
      </c>
      <c r="C1284" s="2" t="inlineStr">
        <is>
          <t>Other</t>
        </is>
      </c>
      <c r="D1284" s="2" t="inlineStr">
        <is>
          <t>L9.DNZJ.56132</t>
        </is>
      </c>
      <c r="E1284" s="2" t="inlineStr">
        <is>
          <t>L9.DNZJ.56132</t>
        </is>
      </c>
      <c r="M1284" s="2" t="inlineStr">
        <is>
          <t>Auckland City</t>
        </is>
      </c>
      <c r="N1284" s="2" t="inlineStr">
        <is>
          <t>New Zealand</t>
        </is>
      </c>
      <c r="P1284" s="2" t="inlineStr">
        <is>
          <t>Operational Control</t>
        </is>
      </c>
      <c r="Q1284" s="2" t="inlineStr">
        <is>
          <t>Operational Control</t>
        </is>
      </c>
      <c r="R1284" s="2" t="inlineStr">
        <is>
          <t>Energy and Utilities (EU)</t>
        </is>
      </c>
      <c r="S1284" s="2" t="inlineStr">
        <is>
          <t>Downer</t>
        </is>
      </c>
      <c r="T1284" s="2" t="n">
        <v>100</v>
      </c>
      <c r="W1284" s="2" t="inlineStr">
        <is>
          <t>Classification</t>
        </is>
      </c>
    </row>
    <row r="1285">
      <c r="A1285" s="2" t="inlineStr">
        <is>
          <t>Downer</t>
        </is>
      </c>
      <c r="B1285" s="2" t="inlineStr">
        <is>
          <t>ICC STREETSCAPES</t>
        </is>
      </c>
      <c r="C1285" s="2" t="inlineStr">
        <is>
          <t>Other</t>
        </is>
      </c>
      <c r="D1285" s="2" t="inlineStr">
        <is>
          <t>L9.DNZJ.DS2669</t>
        </is>
      </c>
      <c r="E1285" s="2" t="inlineStr">
        <is>
          <t>JP_DS2669</t>
        </is>
      </c>
      <c r="H1285" s="2" t="inlineStr">
        <is>
          <t>69 Don Street</t>
        </is>
      </c>
      <c r="I1285" s="2" t="inlineStr">
        <is>
          <t>Invercargill</t>
        </is>
      </c>
      <c r="J1285" s="2" t="inlineStr">
        <is>
          <t>Invercargill</t>
        </is>
      </c>
      <c r="K1285" s="2" t="n">
        <v>9810</v>
      </c>
      <c r="L1285" s="2" t="inlineStr">
        <is>
          <t>New Zealand</t>
        </is>
      </c>
      <c r="M1285" s="2" t="inlineStr">
        <is>
          <t>Invercargill</t>
        </is>
      </c>
      <c r="N1285" s="2" t="inlineStr">
        <is>
          <t>New Zealand</t>
        </is>
      </c>
      <c r="P1285" s="2" t="inlineStr">
        <is>
          <t>Operational Control</t>
        </is>
      </c>
      <c r="Q1285" s="2" t="inlineStr">
        <is>
          <t>Operational Control</t>
        </is>
      </c>
      <c r="R1285" s="2" t="inlineStr">
        <is>
          <t>Transport &amp; Infrastructure (T&amp;I)</t>
        </is>
      </c>
      <c r="S1285" s="2" t="inlineStr">
        <is>
          <t>Downer</t>
        </is>
      </c>
      <c r="T1285" s="2" t="n">
        <v>100</v>
      </c>
      <c r="W1285" s="2" t="inlineStr">
        <is>
          <t>Classification</t>
        </is>
      </c>
      <c r="X1285" s="2" t="n">
        <v>-46.4109</v>
      </c>
      <c r="Y1285" s="2" t="n">
        <v>168.3521</v>
      </c>
    </row>
    <row r="1286">
      <c r="A1286" s="2" t="inlineStr">
        <is>
          <t>Downer</t>
        </is>
      </c>
      <c r="B1286" s="2" t="inlineStr">
        <is>
          <t>ICON EU Subcontractors</t>
        </is>
      </c>
      <c r="C1286" s="2" t="inlineStr">
        <is>
          <t>Other</t>
        </is>
      </c>
      <c r="D1286" s="2" t="inlineStr">
        <is>
          <t>L9.J.239015</t>
        </is>
      </c>
      <c r="E1286" s="2" t="inlineStr">
        <is>
          <t>L9.J.239015</t>
        </is>
      </c>
      <c r="M1286" s="2" t="inlineStr">
        <is>
          <t>North Ryde</t>
        </is>
      </c>
      <c r="N1286" s="2" t="inlineStr">
        <is>
          <t>Australia</t>
        </is>
      </c>
      <c r="P1286" s="2" t="inlineStr">
        <is>
          <t>Operational Control</t>
        </is>
      </c>
      <c r="Q1286" s="2" t="inlineStr">
        <is>
          <t>Operational Control</t>
        </is>
      </c>
      <c r="R1286" s="2" t="inlineStr">
        <is>
          <t>Energy and Utilities (EU)</t>
        </is>
      </c>
      <c r="S1286" s="2" t="inlineStr">
        <is>
          <t>Downer</t>
        </is>
      </c>
      <c r="T1286" s="2" t="n">
        <v>100</v>
      </c>
      <c r="W1286" s="2" t="inlineStr">
        <is>
          <t>Classification</t>
        </is>
      </c>
    </row>
    <row r="1287">
      <c r="A1287" s="2" t="inlineStr">
        <is>
          <t>Downer</t>
        </is>
      </c>
      <c r="B1287" s="2" t="inlineStr">
        <is>
          <t>Industrial NSW North EU Subcontractors</t>
        </is>
      </c>
      <c r="C1287" s="2" t="inlineStr">
        <is>
          <t>Other</t>
        </is>
      </c>
      <c r="D1287" s="2" t="inlineStr">
        <is>
          <t>L9.J.38220078</t>
        </is>
      </c>
      <c r="E1287" s="2" t="inlineStr">
        <is>
          <t>L9.J.38220078</t>
        </is>
      </c>
      <c r="M1287" s="2" t="inlineStr">
        <is>
          <t>North Ryde</t>
        </is>
      </c>
      <c r="N1287" s="2" t="inlineStr">
        <is>
          <t>Australia</t>
        </is>
      </c>
      <c r="P1287" s="2" t="inlineStr">
        <is>
          <t>Operational Control</t>
        </is>
      </c>
      <c r="Q1287" s="2" t="inlineStr">
        <is>
          <t>Operational Control</t>
        </is>
      </c>
      <c r="R1287" s="2" t="inlineStr">
        <is>
          <t>Energy and Utilities (EU)</t>
        </is>
      </c>
      <c r="S1287" s="2" t="inlineStr">
        <is>
          <t>Downer</t>
        </is>
      </c>
      <c r="T1287" s="2" t="n">
        <v>100</v>
      </c>
      <c r="W1287" s="2" t="inlineStr">
        <is>
          <t>Classification</t>
        </is>
      </c>
    </row>
    <row r="1288">
      <c r="A1288" s="2" t="inlineStr">
        <is>
          <t>Downer</t>
        </is>
      </c>
      <c r="B1288" s="2" t="inlineStr">
        <is>
          <t>Industrial NSW South / VIC EU Subcontractors</t>
        </is>
      </c>
      <c r="C1288" s="2" t="inlineStr">
        <is>
          <t>Other</t>
        </is>
      </c>
      <c r="D1288" s="2" t="inlineStr">
        <is>
          <t>L9.J.38220081</t>
        </is>
      </c>
      <c r="E1288" s="2" t="inlineStr">
        <is>
          <t>L9.J.38220081</t>
        </is>
      </c>
      <c r="M1288" s="2" t="inlineStr">
        <is>
          <t>North Ryde</t>
        </is>
      </c>
      <c r="N1288" s="2" t="inlineStr">
        <is>
          <t>Australia</t>
        </is>
      </c>
      <c r="P1288" s="2" t="inlineStr">
        <is>
          <t>Operational Control</t>
        </is>
      </c>
      <c r="Q1288" s="2" t="inlineStr">
        <is>
          <t>Operational Control</t>
        </is>
      </c>
      <c r="R1288" s="2" t="inlineStr">
        <is>
          <t>Energy and Utilities (EU)</t>
        </is>
      </c>
      <c r="S1288" s="2" t="inlineStr">
        <is>
          <t>Downer</t>
        </is>
      </c>
      <c r="T1288" s="2" t="n">
        <v>100</v>
      </c>
      <c r="W1288" s="2" t="inlineStr">
        <is>
          <t>Classification</t>
        </is>
      </c>
    </row>
    <row r="1289">
      <c r="A1289" s="2" t="inlineStr">
        <is>
          <t>Downer</t>
        </is>
      </c>
      <c r="B1289" s="2" t="inlineStr">
        <is>
          <t>Infrastructure Del Overheads</t>
        </is>
      </c>
      <c r="C1289" s="2" t="inlineStr">
        <is>
          <t>Other</t>
        </is>
      </c>
      <c r="D1289" s="2" t="inlineStr">
        <is>
          <t>L9.DNZJ.8801</t>
        </is>
      </c>
      <c r="E1289" s="2" t="n">
        <v>8801</v>
      </c>
      <c r="G1289" s="2" t="inlineStr">
        <is>
          <t>TI-NZT-8801 - Divisional Overheads</t>
        </is>
      </c>
      <c r="M1289" s="2" t="inlineStr">
        <is>
          <t>Auckland City</t>
        </is>
      </c>
      <c r="N1289" s="2" t="inlineStr">
        <is>
          <t>New Zealand</t>
        </is>
      </c>
      <c r="P1289" s="2" t="inlineStr">
        <is>
          <t>Operational Control</t>
        </is>
      </c>
      <c r="Q1289" s="2" t="inlineStr">
        <is>
          <t>Operational Control</t>
        </is>
      </c>
      <c r="R1289" s="2" t="inlineStr">
        <is>
          <t>Transport &amp; Infrastructure (T&amp;I)</t>
        </is>
      </c>
      <c r="S1289" s="2" t="inlineStr">
        <is>
          <t>Downer</t>
        </is>
      </c>
      <c r="T1289" s="2" t="n">
        <v>100</v>
      </c>
      <c r="W1289" s="2" t="inlineStr">
        <is>
          <t>Classification</t>
        </is>
      </c>
    </row>
    <row r="1290">
      <c r="A1290" s="2" t="inlineStr">
        <is>
          <t>Downer</t>
        </is>
      </c>
      <c r="B1290" s="2" t="inlineStr">
        <is>
          <t>Infrastructure Delivery Admin</t>
        </is>
      </c>
      <c r="C1290" s="2" t="inlineStr">
        <is>
          <t>Other</t>
        </is>
      </c>
      <c r="D1290" s="2" t="inlineStr">
        <is>
          <t>L9.DNZJ.8805</t>
        </is>
      </c>
      <c r="E1290" s="2" t="n">
        <v>8805</v>
      </c>
      <c r="M1290" s="2" t="inlineStr">
        <is>
          <t>Auckland</t>
        </is>
      </c>
      <c r="N1290" s="2" t="inlineStr">
        <is>
          <t>New Zealand</t>
        </is>
      </c>
      <c r="P1290" s="2" t="inlineStr">
        <is>
          <t>Operational Control</t>
        </is>
      </c>
      <c r="Q1290" s="2" t="inlineStr">
        <is>
          <t>Operational Control</t>
        </is>
      </c>
      <c r="R1290" s="2" t="inlineStr">
        <is>
          <t>Transport &amp; Infrastructure (T&amp;I)</t>
        </is>
      </c>
      <c r="S1290" s="2" t="inlineStr">
        <is>
          <t>Downer</t>
        </is>
      </c>
      <c r="T1290" s="2" t="n">
        <v>100</v>
      </c>
      <c r="W1290" s="2" t="inlineStr">
        <is>
          <t>Classification</t>
        </is>
      </c>
    </row>
    <row r="1291">
      <c r="A1291" s="2" t="inlineStr">
        <is>
          <t>Downer</t>
        </is>
      </c>
      <c r="B1291" s="2" t="inlineStr">
        <is>
          <t>Inland EU Subcontractors</t>
        </is>
      </c>
      <c r="C1291" s="2" t="inlineStr">
        <is>
          <t>Other</t>
        </is>
      </c>
      <c r="D1291" s="2" t="inlineStr">
        <is>
          <t>L9.J.38280142</t>
        </is>
      </c>
      <c r="E1291" s="2" t="inlineStr">
        <is>
          <t>L9.J.38280142</t>
        </is>
      </c>
      <c r="M1291" s="2" t="inlineStr">
        <is>
          <t>North Ryde</t>
        </is>
      </c>
      <c r="N1291" s="2" t="inlineStr">
        <is>
          <t>Australia</t>
        </is>
      </c>
      <c r="P1291" s="2" t="inlineStr">
        <is>
          <t>Operational Control</t>
        </is>
      </c>
      <c r="Q1291" s="2" t="inlineStr">
        <is>
          <t>Operational Control</t>
        </is>
      </c>
      <c r="R1291" s="2" t="inlineStr">
        <is>
          <t>Energy and Utilities (EU)</t>
        </is>
      </c>
      <c r="S1291" s="2" t="inlineStr">
        <is>
          <t>Downer</t>
        </is>
      </c>
      <c r="T1291" s="2" t="n">
        <v>100</v>
      </c>
      <c r="W1291" s="2" t="inlineStr">
        <is>
          <t>Classification</t>
        </is>
      </c>
    </row>
    <row r="1292">
      <c r="A1292" s="2" t="inlineStr">
        <is>
          <t>Downer</t>
        </is>
      </c>
      <c r="B1292" s="2" t="inlineStr">
        <is>
          <t>Internal FM EU Subcontractors</t>
        </is>
      </c>
      <c r="C1292" s="2" t="inlineStr">
        <is>
          <t>Other</t>
        </is>
      </c>
      <c r="D1292" s="2" t="inlineStr">
        <is>
          <t>L9.DNZJ.564300</t>
        </is>
      </c>
      <c r="E1292" s="2" t="inlineStr">
        <is>
          <t>L9.DNZJ.564300</t>
        </is>
      </c>
      <c r="M1292" s="2" t="inlineStr">
        <is>
          <t>Auckland City</t>
        </is>
      </c>
      <c r="N1292" s="2" t="inlineStr">
        <is>
          <t>New Zealand</t>
        </is>
      </c>
      <c r="P1292" s="2" t="inlineStr">
        <is>
          <t>Operational Control</t>
        </is>
      </c>
      <c r="Q1292" s="2" t="inlineStr">
        <is>
          <t>Operational Control</t>
        </is>
      </c>
      <c r="R1292" s="2" t="inlineStr">
        <is>
          <t>Energy and Utilities (EU)</t>
        </is>
      </c>
      <c r="S1292" s="2" t="inlineStr">
        <is>
          <t>Downer</t>
        </is>
      </c>
      <c r="T1292" s="2" t="n">
        <v>100</v>
      </c>
      <c r="W1292" s="2" t="inlineStr">
        <is>
          <t>Classification</t>
        </is>
      </c>
    </row>
    <row r="1293">
      <c r="A1293" s="2" t="inlineStr">
        <is>
          <t>Downer</t>
        </is>
      </c>
      <c r="B1293" s="2" t="inlineStr">
        <is>
          <t>Invercargill (12 Fern Street)</t>
        </is>
      </c>
      <c r="C1293" s="2" t="inlineStr">
        <is>
          <t>Other</t>
        </is>
      </c>
      <c r="D1293" s="2" t="inlineStr">
        <is>
          <t>L9.DNZJ.91364</t>
        </is>
      </c>
      <c r="E1293" s="2" t="n">
        <v>91364</v>
      </c>
      <c r="H1293" s="2" t="inlineStr">
        <is>
          <t>12 Fern Street</t>
        </is>
      </c>
      <c r="I1293" s="2" t="inlineStr">
        <is>
          <t>Hargest</t>
        </is>
      </c>
      <c r="J1293" s="2" t="inlineStr">
        <is>
          <t>Invercargill</t>
        </is>
      </c>
      <c r="K1293" s="2" t="n">
        <v>9810</v>
      </c>
      <c r="L1293" s="2" t="inlineStr">
        <is>
          <t>New Zealand</t>
        </is>
      </c>
      <c r="M1293" s="2" t="inlineStr">
        <is>
          <t>Invercargill</t>
        </is>
      </c>
      <c r="N1293" s="2" t="inlineStr">
        <is>
          <t>New Zealand</t>
        </is>
      </c>
      <c r="P1293" s="2" t="inlineStr">
        <is>
          <t>Operational Control</t>
        </is>
      </c>
      <c r="Q1293" s="2" t="inlineStr">
        <is>
          <t>Operational Control</t>
        </is>
      </c>
      <c r="R1293" s="2" t="inlineStr">
        <is>
          <t>Corporate</t>
        </is>
      </c>
      <c r="S1293" s="2" t="inlineStr">
        <is>
          <t>Downer</t>
        </is>
      </c>
      <c r="T1293" s="2" t="n">
        <v>100</v>
      </c>
      <c r="W1293" s="2" t="inlineStr">
        <is>
          <t>Classification</t>
        </is>
      </c>
      <c r="X1293" s="2" t="n">
        <v>-46.3876</v>
      </c>
      <c r="Y1293" s="2" t="n">
        <v>168.3772</v>
      </c>
    </row>
    <row r="1294">
      <c r="A1294" s="2" t="inlineStr">
        <is>
          <t>Downer</t>
        </is>
      </c>
      <c r="B1294" s="2" t="inlineStr">
        <is>
          <t>Invercargill (122B Rockdale Rd</t>
        </is>
      </c>
      <c r="C1294" s="2" t="inlineStr">
        <is>
          <t>Storage / Warehouse</t>
        </is>
      </c>
      <c r="D1294" s="2" t="inlineStr">
        <is>
          <t>L9.DNZJ.91405</t>
        </is>
      </c>
      <c r="E1294" s="2" t="n">
        <v>91405</v>
      </c>
      <c r="G1294" s="2" t="inlineStr">
        <is>
          <t>COR-NZHO-91405 - Invercargill (122B Rockdale Rd
122 Rockdale Road  Rockdale  Invercargill 9810  Southland Region</t>
        </is>
      </c>
      <c r="M1294" s="2" t="inlineStr">
        <is>
          <t>Invercargill</t>
        </is>
      </c>
      <c r="N1294" s="2" t="inlineStr">
        <is>
          <t>New Zealand</t>
        </is>
      </c>
      <c r="P1294" s="2" t="inlineStr">
        <is>
          <t>Operational Control</t>
        </is>
      </c>
      <c r="Q1294" s="2" t="inlineStr">
        <is>
          <t>Operational Control</t>
        </is>
      </c>
      <c r="R1294" s="2" t="inlineStr">
        <is>
          <t>Corporate</t>
        </is>
      </c>
      <c r="S1294" s="2" t="inlineStr">
        <is>
          <t>Downer</t>
        </is>
      </c>
      <c r="T1294" s="2" t="n">
        <v>100</v>
      </c>
      <c r="W1294" s="2" t="inlineStr">
        <is>
          <t>Classification</t>
        </is>
      </c>
    </row>
    <row r="1295">
      <c r="A1295" s="2" t="inlineStr">
        <is>
          <t>Downer</t>
        </is>
      </c>
      <c r="B1295" s="2" t="inlineStr">
        <is>
          <t>Invercargill (82 Lothian St)</t>
        </is>
      </c>
      <c r="C1295" s="2" t="inlineStr">
        <is>
          <t>Other</t>
        </is>
      </c>
      <c r="D1295" s="2" t="inlineStr">
        <is>
          <t>L9.DNZJ.91368</t>
        </is>
      </c>
      <c r="E1295" s="2" t="n">
        <v>91368</v>
      </c>
      <c r="H1295" s="2" t="inlineStr">
        <is>
          <t>82 Lothian Crescent</t>
        </is>
      </c>
      <c r="I1295" s="2" t="inlineStr">
        <is>
          <t>Strathern</t>
        </is>
      </c>
      <c r="J1295" s="2" t="inlineStr">
        <is>
          <t>Invercargill</t>
        </is>
      </c>
      <c r="K1295" s="2" t="n">
        <v>9812</v>
      </c>
      <c r="L1295" s="2" t="inlineStr">
        <is>
          <t>New Zealand</t>
        </is>
      </c>
      <c r="M1295" s="2" t="inlineStr">
        <is>
          <t>Invercargill</t>
        </is>
      </c>
      <c r="N1295" s="2" t="inlineStr">
        <is>
          <t>New Zealand</t>
        </is>
      </c>
      <c r="P1295" s="2" t="inlineStr">
        <is>
          <t>Operational Control</t>
        </is>
      </c>
      <c r="Q1295" s="2" t="inlineStr">
        <is>
          <t>Operational Control</t>
        </is>
      </c>
      <c r="R1295" s="2" t="inlineStr">
        <is>
          <t>Corporate</t>
        </is>
      </c>
      <c r="S1295" s="2" t="inlineStr">
        <is>
          <t>Downer</t>
        </is>
      </c>
      <c r="T1295" s="2" t="n">
        <v>100</v>
      </c>
      <c r="W1295" s="2" t="inlineStr">
        <is>
          <t>Classification</t>
        </is>
      </c>
      <c r="X1295" s="2" t="n">
        <v>-46.4348</v>
      </c>
      <c r="Y1295" s="2" t="n">
        <v>168.3778</v>
      </c>
    </row>
    <row r="1296">
      <c r="A1296" s="2" t="inlineStr">
        <is>
          <t>Downer</t>
        </is>
      </c>
      <c r="B1296" s="2" t="inlineStr">
        <is>
          <t>Invercargill Communications</t>
        </is>
      </c>
      <c r="C1296" s="2" t="inlineStr">
        <is>
          <t>Other</t>
        </is>
      </c>
      <c r="D1296" s="2" t="inlineStr">
        <is>
          <t>L9.DNZJ.561531</t>
        </is>
      </c>
      <c r="E1296" s="2" t="n">
        <v>561531</v>
      </c>
      <c r="H1296" s="2" t="inlineStr">
        <is>
          <t>Mid Dome</t>
        </is>
      </c>
      <c r="I1296" s="2" t="inlineStr">
        <is>
          <t>Mid Dome</t>
        </is>
      </c>
      <c r="J1296" s="2" t="inlineStr">
        <is>
          <t>Mid Dome</t>
        </is>
      </c>
      <c r="K1296" s="2" t="n">
        <v>9793</v>
      </c>
      <c r="L1296" s="2" t="inlineStr">
        <is>
          <t>New Zealand</t>
        </is>
      </c>
      <c r="M1296" s="2" t="inlineStr">
        <is>
          <t>Lumsden</t>
        </is>
      </c>
      <c r="N1296" s="2" t="inlineStr">
        <is>
          <t>New Zealand</t>
        </is>
      </c>
      <c r="P1296" s="2" t="inlineStr">
        <is>
          <t>Operational Control</t>
        </is>
      </c>
      <c r="Q1296" s="2" t="inlineStr">
        <is>
          <t>Operational Control</t>
        </is>
      </c>
      <c r="R1296" s="2" t="inlineStr">
        <is>
          <t>Energy and Utilities (EU)</t>
        </is>
      </c>
      <c r="S1296" s="2" t="inlineStr">
        <is>
          <t>Downer</t>
        </is>
      </c>
      <c r="T1296" s="2" t="n">
        <v>100</v>
      </c>
      <c r="W1296" s="2" t="inlineStr">
        <is>
          <t>Classification</t>
        </is>
      </c>
      <c r="X1296" s="2" t="n">
        <v>-45.5627</v>
      </c>
      <c r="Y1296" s="2" t="n">
        <v>168.5606</v>
      </c>
    </row>
    <row r="1297">
      <c r="A1297" s="2" t="inlineStr">
        <is>
          <t>Downer</t>
        </is>
      </c>
      <c r="B1297" s="2" t="inlineStr">
        <is>
          <t>Invercargill Depot</t>
        </is>
      </c>
      <c r="C1297" s="2" t="inlineStr">
        <is>
          <t>Other</t>
        </is>
      </c>
      <c r="D1297" s="2" t="inlineStr">
        <is>
          <t>L9.DNZJ.55670</t>
        </is>
      </c>
      <c r="E1297" s="2" t="n">
        <v>55670</v>
      </c>
      <c r="H1297" s="2" t="inlineStr">
        <is>
          <t>159-174 Liddel Street</t>
        </is>
      </c>
      <c r="I1297" s="2" t="inlineStr">
        <is>
          <t>Invercargill</t>
        </is>
      </c>
      <c r="J1297" s="2" t="inlineStr">
        <is>
          <t>Invercargill</t>
        </is>
      </c>
      <c r="K1297" s="2" t="n">
        <v>9810</v>
      </c>
      <c r="L1297" s="2" t="inlineStr">
        <is>
          <t>New Zealand</t>
        </is>
      </c>
      <c r="M1297" s="2" t="inlineStr">
        <is>
          <t>Invercargill</t>
        </is>
      </c>
      <c r="N1297" s="2" t="inlineStr">
        <is>
          <t>New Zealand</t>
        </is>
      </c>
      <c r="P1297" s="2" t="inlineStr">
        <is>
          <t>Operational Control</t>
        </is>
      </c>
      <c r="Q1297" s="2" t="inlineStr">
        <is>
          <t>Operational Control</t>
        </is>
      </c>
      <c r="R1297" s="2" t="inlineStr">
        <is>
          <t>Transport &amp; Infrastructure (T&amp;I)</t>
        </is>
      </c>
      <c r="S1297" s="2" t="inlineStr">
        <is>
          <t>Downer</t>
        </is>
      </c>
      <c r="T1297" s="2" t="n">
        <v>100</v>
      </c>
      <c r="W1297" s="2" t="inlineStr">
        <is>
          <t>Classification</t>
        </is>
      </c>
      <c r="X1297" s="2" t="n">
        <v>-46.4215</v>
      </c>
      <c r="Y1297" s="2" t="n">
        <v>168.3453</v>
      </c>
    </row>
    <row r="1298">
      <c r="A1298" s="2" t="inlineStr">
        <is>
          <t>Downer</t>
        </is>
      </c>
      <c r="B1298" s="2" t="inlineStr">
        <is>
          <t>Invercargill(1/78 Islington St</t>
        </is>
      </c>
      <c r="C1298" s="2" t="inlineStr">
        <is>
          <t>Other</t>
        </is>
      </c>
      <c r="D1298" s="2" t="inlineStr">
        <is>
          <t>L9.DNZJ.91366</t>
        </is>
      </c>
      <c r="E1298" s="2" t="n">
        <v>91366</v>
      </c>
      <c r="H1298" s="2" t="inlineStr">
        <is>
          <t>1/78 Islington Street</t>
        </is>
      </c>
      <c r="I1298" s="2" t="inlineStr">
        <is>
          <t>Turnbull Thomson Park</t>
        </is>
      </c>
      <c r="J1298" s="2" t="inlineStr">
        <is>
          <t>Invercargill</t>
        </is>
      </c>
      <c r="K1298" s="2" t="n">
        <v>9810</v>
      </c>
      <c r="L1298" s="2" t="inlineStr">
        <is>
          <t>New Zealand</t>
        </is>
      </c>
      <c r="M1298" s="2" t="inlineStr">
        <is>
          <t>Invercargill</t>
        </is>
      </c>
      <c r="N1298" s="2" t="inlineStr">
        <is>
          <t>New Zealand</t>
        </is>
      </c>
      <c r="P1298" s="2" t="inlineStr">
        <is>
          <t>Operational Control</t>
        </is>
      </c>
      <c r="Q1298" s="2" t="inlineStr">
        <is>
          <t>Operational Control</t>
        </is>
      </c>
      <c r="R1298" s="2" t="inlineStr">
        <is>
          <t>Corporate</t>
        </is>
      </c>
      <c r="S1298" s="2" t="inlineStr">
        <is>
          <t>Downer</t>
        </is>
      </c>
      <c r="T1298" s="2" t="n">
        <v>100</v>
      </c>
      <c r="W1298" s="2" t="inlineStr">
        <is>
          <t>Classification</t>
        </is>
      </c>
      <c r="X1298" s="2" t="n">
        <v>-46.4128</v>
      </c>
      <c r="Y1298" s="2" t="n">
        <v>168.3693</v>
      </c>
    </row>
    <row r="1299">
      <c r="A1299" s="2" t="inlineStr">
        <is>
          <t>Downer</t>
        </is>
      </c>
      <c r="B1299" s="2" t="inlineStr">
        <is>
          <t>Invermay</t>
        </is>
      </c>
      <c r="C1299" s="2" t="inlineStr">
        <is>
          <t>Emulsion Plant</t>
        </is>
      </c>
      <c r="D1299" s="2" t="inlineStr">
        <is>
          <t>L9.J.17030229</t>
        </is>
      </c>
      <c r="E1299" s="2" t="n">
        <v>148</v>
      </c>
      <c r="H1299" s="2" t="inlineStr">
        <is>
          <t>44 Gleadow Street</t>
        </is>
      </c>
      <c r="I1299" s="2" t="inlineStr">
        <is>
          <t>Invermay</t>
        </is>
      </c>
      <c r="J1299" s="2" t="inlineStr">
        <is>
          <t>TAS</t>
        </is>
      </c>
      <c r="K1299" s="2" t="n">
        <v>7250</v>
      </c>
      <c r="L1299" s="2" t="inlineStr">
        <is>
          <t>Australia</t>
        </is>
      </c>
      <c r="M1299" s="2" t="inlineStr">
        <is>
          <t>Tasmania</t>
        </is>
      </c>
      <c r="N1299" s="2" t="inlineStr">
        <is>
          <t>Australia</t>
        </is>
      </c>
      <c r="P1299" s="2" t="inlineStr">
        <is>
          <t>Operational Control</t>
        </is>
      </c>
      <c r="Q1299" s="2" t="inlineStr">
        <is>
          <t>Operational Control</t>
        </is>
      </c>
      <c r="R1299" s="2" t="inlineStr">
        <is>
          <t>Transport &amp; Infrastructure (T&amp;I)</t>
        </is>
      </c>
      <c r="S1299" s="2" t="inlineStr">
        <is>
          <t>Downer</t>
        </is>
      </c>
      <c r="T1299" s="2" t="n">
        <v>100</v>
      </c>
      <c r="W1299" s="2" t="inlineStr">
        <is>
          <t>Classification</t>
        </is>
      </c>
      <c r="X1299" s="2" t="n">
        <v>-41.426</v>
      </c>
      <c r="Y1299" s="2" t="n">
        <v>147.133</v>
      </c>
      <c r="Z1299" s="2" t="n">
        <v>170</v>
      </c>
    </row>
    <row r="1300">
      <c r="A1300" s="2" t="inlineStr">
        <is>
          <t>Downer</t>
        </is>
      </c>
      <c r="B1300" s="2" t="inlineStr">
        <is>
          <t>IS National</t>
        </is>
      </c>
      <c r="C1300" s="2" t="inlineStr">
        <is>
          <t>Other</t>
        </is>
      </c>
      <c r="D1300" s="2" t="inlineStr">
        <is>
          <t>L9.DNZJ.55948</t>
        </is>
      </c>
      <c r="E1300" s="2" t="n">
        <v>55948</v>
      </c>
      <c r="H1300" s="2" t="inlineStr">
        <is>
          <t>130 Kerrs Road</t>
        </is>
      </c>
      <c r="I1300" s="2" t="inlineStr">
        <is>
          <t>Wiri</t>
        </is>
      </c>
      <c r="J1300" s="2" t="inlineStr">
        <is>
          <t>Auckland</t>
        </is>
      </c>
      <c r="K1300" s="2" t="n">
        <v>2104</v>
      </c>
      <c r="L1300" s="2" t="inlineStr">
        <is>
          <t>New Zealand</t>
        </is>
      </c>
      <c r="M1300" s="2" t="inlineStr">
        <is>
          <t>Manurewa</t>
        </is>
      </c>
      <c r="N1300" s="2" t="inlineStr">
        <is>
          <t>New Zealand</t>
        </is>
      </c>
      <c r="P1300" s="2" t="inlineStr">
        <is>
          <t>Operational Control</t>
        </is>
      </c>
      <c r="Q1300" s="2" t="inlineStr">
        <is>
          <t>Operational Control</t>
        </is>
      </c>
      <c r="R1300" s="2" t="inlineStr">
        <is>
          <t>Transport &amp; Infrastructure (T&amp;I)</t>
        </is>
      </c>
      <c r="S1300" s="2" t="inlineStr">
        <is>
          <t>Downer</t>
        </is>
      </c>
      <c r="T1300" s="2" t="n">
        <v>100</v>
      </c>
      <c r="W1300" s="2" t="inlineStr">
        <is>
          <t>Classification</t>
        </is>
      </c>
      <c r="X1300" s="2" t="n">
        <v>-37.0083</v>
      </c>
      <c r="Y1300" s="2" t="n">
        <v>174.8705</v>
      </c>
    </row>
    <row r="1301">
      <c r="A1301" s="2" t="inlineStr">
        <is>
          <t>Downer</t>
        </is>
      </c>
      <c r="B1301" s="2" t="inlineStr">
        <is>
          <t>ISP Designers</t>
        </is>
      </c>
      <c r="C1301" s="2" t="inlineStr">
        <is>
          <t>Other</t>
        </is>
      </c>
      <c r="D1301" s="2" t="inlineStr">
        <is>
          <t>L9.DNZ.810.10.082</t>
        </is>
      </c>
      <c r="E1301" s="2" t="n">
        <v>10082</v>
      </c>
      <c r="G1301" s="2" t="n">
        <v>10.082</v>
      </c>
      <c r="H1301" s="2" t="inlineStr">
        <is>
          <t>130 Kerrs Road</t>
        </is>
      </c>
      <c r="I1301" s="2" t="inlineStr">
        <is>
          <t>Wiri</t>
        </is>
      </c>
      <c r="J1301" s="2" t="inlineStr">
        <is>
          <t>Auckland</t>
        </is>
      </c>
      <c r="K1301" s="2" t="n">
        <v>2104</v>
      </c>
      <c r="L1301" s="2" t="inlineStr">
        <is>
          <t>New Zealand</t>
        </is>
      </c>
      <c r="M1301" s="2" t="inlineStr">
        <is>
          <t>Manurewa</t>
        </is>
      </c>
      <c r="N1301" s="2" t="inlineStr">
        <is>
          <t>New Zealand</t>
        </is>
      </c>
      <c r="P1301" s="2" t="inlineStr">
        <is>
          <t>Operational Control</t>
        </is>
      </c>
      <c r="Q1301" s="2" t="inlineStr">
        <is>
          <t>Operational Control</t>
        </is>
      </c>
      <c r="R1301" s="2" t="inlineStr">
        <is>
          <t>Energy and Utilities (EU)</t>
        </is>
      </c>
      <c r="S1301" s="2" t="inlineStr">
        <is>
          <t>Downer</t>
        </is>
      </c>
      <c r="T1301" s="2" t="n">
        <v>100</v>
      </c>
      <c r="W1301" s="2" t="inlineStr">
        <is>
          <t>Classification</t>
        </is>
      </c>
      <c r="X1301" s="2" t="n">
        <v>-37.0083</v>
      </c>
      <c r="Y1301" s="2" t="n">
        <v>174.8705</v>
      </c>
    </row>
    <row r="1302">
      <c r="A1302" s="2" t="inlineStr">
        <is>
          <t>Downer</t>
        </is>
      </c>
      <c r="B1302" s="2" t="inlineStr">
        <is>
          <t>ITG Devices</t>
        </is>
      </c>
      <c r="C1302" s="2" t="inlineStr">
        <is>
          <t>Other</t>
        </is>
      </c>
      <c r="D1302" s="2" t="inlineStr">
        <is>
          <t>L9.DNZJ.92007</t>
        </is>
      </c>
      <c r="E1302" s="2" t="n">
        <v>92007</v>
      </c>
      <c r="H1302" s="2" t="inlineStr">
        <is>
          <t>130 Kerrs Road</t>
        </is>
      </c>
      <c r="I1302" s="2" t="inlineStr">
        <is>
          <t>Wiri</t>
        </is>
      </c>
      <c r="J1302" s="2" t="inlineStr">
        <is>
          <t>Auckland</t>
        </is>
      </c>
      <c r="K1302" s="2" t="n">
        <v>2104</v>
      </c>
      <c r="L1302" s="2" t="inlineStr">
        <is>
          <t>New Zealand</t>
        </is>
      </c>
      <c r="M1302" s="2" t="inlineStr">
        <is>
          <t>Manurewa</t>
        </is>
      </c>
      <c r="N1302" s="2" t="inlineStr">
        <is>
          <t>New Zealand</t>
        </is>
      </c>
      <c r="P1302" s="2" t="inlineStr">
        <is>
          <t>Operational Control</t>
        </is>
      </c>
      <c r="Q1302" s="2" t="inlineStr">
        <is>
          <t>Operational Control</t>
        </is>
      </c>
      <c r="R1302" s="2" t="inlineStr">
        <is>
          <t>Corporate</t>
        </is>
      </c>
      <c r="S1302" s="2" t="inlineStr">
        <is>
          <t>Downer</t>
        </is>
      </c>
      <c r="T1302" s="2" t="n">
        <v>100</v>
      </c>
      <c r="W1302" s="2" t="inlineStr">
        <is>
          <t>Classification</t>
        </is>
      </c>
      <c r="X1302" s="2" t="n">
        <v>-37.0083</v>
      </c>
      <c r="Y1302" s="2" t="n">
        <v>174.8705</v>
      </c>
    </row>
    <row r="1303">
      <c r="A1303" s="2" t="inlineStr">
        <is>
          <t>Downer</t>
        </is>
      </c>
      <c r="B1303" s="2" t="inlineStr">
        <is>
          <t>ITG Servers &amp; Data Centres</t>
        </is>
      </c>
      <c r="C1303" s="2" t="inlineStr">
        <is>
          <t>Other</t>
        </is>
      </c>
      <c r="D1303" s="2" t="inlineStr">
        <is>
          <t>L9.DNZJ.92006</t>
        </is>
      </c>
      <c r="E1303" s="2" t="n">
        <v>92006</v>
      </c>
      <c r="M1303" s="2" t="inlineStr">
        <is>
          <t>Manurewa</t>
        </is>
      </c>
      <c r="N1303" s="2" t="inlineStr">
        <is>
          <t>New Zealand</t>
        </is>
      </c>
      <c r="P1303" s="2" t="inlineStr">
        <is>
          <t>Operational Control</t>
        </is>
      </c>
      <c r="Q1303" s="2" t="inlineStr">
        <is>
          <t>Operational Control</t>
        </is>
      </c>
      <c r="R1303" s="2" t="inlineStr">
        <is>
          <t>Corporate</t>
        </is>
      </c>
      <c r="S1303" s="2" t="inlineStr">
        <is>
          <t>Downer</t>
        </is>
      </c>
      <c r="T1303" s="2" t="n">
        <v>100</v>
      </c>
      <c r="W1303" s="2" t="inlineStr">
        <is>
          <t>Classification</t>
        </is>
      </c>
    </row>
    <row r="1304">
      <c r="A1304" s="2" t="inlineStr">
        <is>
          <t>Downer</t>
        </is>
      </c>
      <c r="B1304" s="2" t="inlineStr">
        <is>
          <t>ITS - Projects</t>
        </is>
      </c>
      <c r="C1304" s="2" t="inlineStr">
        <is>
          <t>Other</t>
        </is>
      </c>
      <c r="D1304" s="2" t="inlineStr">
        <is>
          <t>L9.DNZJ.54402</t>
        </is>
      </c>
      <c r="E1304" s="2" t="n">
        <v>54402</v>
      </c>
      <c r="M1304" s="2" t="inlineStr">
        <is>
          <t>Manurewa</t>
        </is>
      </c>
      <c r="N1304" s="2" t="inlineStr">
        <is>
          <t>New Zealand</t>
        </is>
      </c>
      <c r="P1304" s="2" t="inlineStr">
        <is>
          <t>Operational Control</t>
        </is>
      </c>
      <c r="Q1304" s="2" t="inlineStr">
        <is>
          <t>Operational Control</t>
        </is>
      </c>
      <c r="R1304" s="2" t="inlineStr">
        <is>
          <t>Transport &amp; Infrastructure (T&amp;I)</t>
        </is>
      </c>
      <c r="S1304" s="2" t="inlineStr">
        <is>
          <t>Downer</t>
        </is>
      </c>
      <c r="T1304" s="2" t="n">
        <v>100</v>
      </c>
      <c r="W1304" s="2" t="inlineStr">
        <is>
          <t>Classification</t>
        </is>
      </c>
    </row>
    <row r="1305">
      <c r="A1305" s="2" t="inlineStr">
        <is>
          <t>Downer</t>
        </is>
      </c>
      <c r="B1305" s="2" t="inlineStr">
        <is>
          <t>ITS Christchurch - People</t>
        </is>
      </c>
      <c r="C1305" s="2" t="inlineStr">
        <is>
          <t>Other</t>
        </is>
      </c>
      <c r="D1305" s="2" t="inlineStr">
        <is>
          <t>L9.DNZJ.54326</t>
        </is>
      </c>
      <c r="E1305" s="2" t="n">
        <v>54326</v>
      </c>
      <c r="G1305" s="2" t="inlineStr">
        <is>
          <t>TI-NZT-54326 - ITS Christchurch - People</t>
        </is>
      </c>
      <c r="M1305" s="2" t="inlineStr">
        <is>
          <t>Christchurch</t>
        </is>
      </c>
      <c r="N1305" s="2" t="inlineStr">
        <is>
          <t>New Zealand</t>
        </is>
      </c>
      <c r="P1305" s="2" t="inlineStr">
        <is>
          <t>Operational Control</t>
        </is>
      </c>
      <c r="Q1305" s="2" t="inlineStr">
        <is>
          <t>Operational Control</t>
        </is>
      </c>
      <c r="R1305" s="2" t="inlineStr">
        <is>
          <t>Transport &amp; Infrastructure (T&amp;I)</t>
        </is>
      </c>
      <c r="S1305" s="2" t="inlineStr">
        <is>
          <t>Downer</t>
        </is>
      </c>
      <c r="T1305" s="2" t="n">
        <v>100</v>
      </c>
      <c r="W1305" s="2" t="inlineStr">
        <is>
          <t>Classification</t>
        </is>
      </c>
    </row>
    <row r="1306">
      <c r="A1306" s="2" t="inlineStr">
        <is>
          <t>Downer</t>
        </is>
      </c>
      <c r="B1306" s="2" t="inlineStr">
        <is>
          <t>ITS Christchurch - Plant</t>
        </is>
      </c>
      <c r="C1306" s="2" t="inlineStr">
        <is>
          <t>Other</t>
        </is>
      </c>
      <c r="D1306" s="2" t="inlineStr">
        <is>
          <t>L9.DNZJ.54336</t>
        </is>
      </c>
      <c r="E1306" s="2" t="n">
        <v>54336</v>
      </c>
      <c r="M1306" s="2" t="inlineStr">
        <is>
          <t>Canterbury</t>
        </is>
      </c>
      <c r="N1306" s="2" t="inlineStr">
        <is>
          <t>New Zealand</t>
        </is>
      </c>
      <c r="P1306" s="2" t="inlineStr">
        <is>
          <t>Operational Control</t>
        </is>
      </c>
      <c r="Q1306" s="2" t="inlineStr">
        <is>
          <t>Operational Control</t>
        </is>
      </c>
      <c r="R1306" s="2" t="inlineStr">
        <is>
          <t>Transport &amp; Infrastructure (T&amp;I)</t>
        </is>
      </c>
      <c r="S1306" s="2" t="inlineStr">
        <is>
          <t>Downer</t>
        </is>
      </c>
      <c r="T1306" s="2" t="n">
        <v>100</v>
      </c>
      <c r="W1306" s="2" t="inlineStr">
        <is>
          <t>Classification</t>
        </is>
      </c>
    </row>
    <row r="1307">
      <c r="A1307" s="2" t="inlineStr">
        <is>
          <t>Downer</t>
        </is>
      </c>
      <c r="B1307" s="2" t="inlineStr">
        <is>
          <t>ITS CWA Alliance Holding EU Subcontractors</t>
        </is>
      </c>
      <c r="C1307" s="2" t="inlineStr">
        <is>
          <t>Other</t>
        </is>
      </c>
      <c r="D1307" s="2" t="inlineStr">
        <is>
          <t>L9.DUN.79212</t>
        </is>
      </c>
      <c r="E1307" s="2" t="inlineStr">
        <is>
          <t>L9.DUN.79212</t>
        </is>
      </c>
      <c r="F1307" s="2" t="inlineStr">
        <is>
          <t>L9.DUN.79212</t>
        </is>
      </c>
      <c r="M1307" s="2" t="inlineStr">
        <is>
          <t>Auckland</t>
        </is>
      </c>
      <c r="N1307" s="2" t="inlineStr">
        <is>
          <t>New Zealand</t>
        </is>
      </c>
      <c r="P1307" s="2" t="inlineStr">
        <is>
          <t>Operational Control</t>
        </is>
      </c>
      <c r="Q1307" s="2" t="inlineStr">
        <is>
          <t>Operational Control</t>
        </is>
      </c>
      <c r="R1307" s="2" t="inlineStr">
        <is>
          <t>Energy and Utilities (EU)</t>
        </is>
      </c>
      <c r="S1307" s="2" t="inlineStr">
        <is>
          <t>Downer</t>
        </is>
      </c>
      <c r="T1307" s="2" t="n">
        <v>100</v>
      </c>
      <c r="W1307" s="2" t="inlineStr">
        <is>
          <t>Classification</t>
        </is>
      </c>
    </row>
    <row r="1308">
      <c r="A1308" s="2" t="inlineStr">
        <is>
          <t>Downer</t>
        </is>
      </c>
      <c r="B1308" s="2" t="inlineStr">
        <is>
          <t>ITS Intersection Renewals</t>
        </is>
      </c>
      <c r="C1308" s="2" t="inlineStr">
        <is>
          <t>Public Facility</t>
        </is>
      </c>
      <c r="D1308" s="2" t="inlineStr">
        <is>
          <t>L9.DNZJ.554560</t>
        </is>
      </c>
      <c r="E1308" s="2" t="n">
        <v>554560</v>
      </c>
      <c r="G1308" s="2" t="inlineStr">
        <is>
          <t>TI-NZT-554560 - ITS Intersection Renewals</t>
        </is>
      </c>
      <c r="M1308" s="2" t="inlineStr">
        <is>
          <t>Canterbury</t>
        </is>
      </c>
      <c r="N1308" s="2" t="inlineStr">
        <is>
          <t>New Zealand</t>
        </is>
      </c>
      <c r="P1308" s="2" t="inlineStr">
        <is>
          <t>Operational Control</t>
        </is>
      </c>
      <c r="Q1308" s="2" t="inlineStr">
        <is>
          <t>Operational Control</t>
        </is>
      </c>
      <c r="R1308" s="2" t="inlineStr">
        <is>
          <t>Transport &amp; Infrastructure (T&amp;I)</t>
        </is>
      </c>
      <c r="S1308" s="2" t="inlineStr">
        <is>
          <t>Downer</t>
        </is>
      </c>
      <c r="T1308" s="2" t="n">
        <v>100</v>
      </c>
      <c r="W1308" s="2" t="inlineStr">
        <is>
          <t>Classification</t>
        </is>
      </c>
    </row>
    <row r="1309">
      <c r="A1309" s="2" t="inlineStr">
        <is>
          <t>Downer</t>
        </is>
      </c>
      <c r="B1309" s="2" t="inlineStr">
        <is>
          <t>ITS Kaikoura NCTIR</t>
        </is>
      </c>
      <c r="C1309" s="2" t="inlineStr">
        <is>
          <t>Other</t>
        </is>
      </c>
      <c r="D1309" s="2" t="inlineStr">
        <is>
          <t>L9.DNZJ.561535</t>
        </is>
      </c>
      <c r="E1309" s="2" t="n">
        <v>561535</v>
      </c>
      <c r="H1309" s="2" t="inlineStr">
        <is>
          <t>Maui Street</t>
        </is>
      </c>
      <c r="I1309" s="2" t="inlineStr">
        <is>
          <t>Kaikoura</t>
        </is>
      </c>
      <c r="J1309" s="2" t="inlineStr">
        <is>
          <t>Kaikoura</t>
        </is>
      </c>
      <c r="K1309" s="2" t="n">
        <v>7300</v>
      </c>
      <c r="L1309" s="2" t="inlineStr">
        <is>
          <t>New Zealand</t>
        </is>
      </c>
      <c r="M1309" s="2" t="inlineStr">
        <is>
          <t>Kaikoura</t>
        </is>
      </c>
      <c r="N1309" s="2" t="inlineStr">
        <is>
          <t>New Zealand</t>
        </is>
      </c>
      <c r="P1309" s="2" t="inlineStr">
        <is>
          <t>Operational Control</t>
        </is>
      </c>
      <c r="Q1309" s="2" t="inlineStr">
        <is>
          <t>Operational Control</t>
        </is>
      </c>
      <c r="R1309" s="2" t="inlineStr">
        <is>
          <t>Energy and Utilities (EU)</t>
        </is>
      </c>
      <c r="S1309" s="2" t="inlineStr">
        <is>
          <t>Downer</t>
        </is>
      </c>
      <c r="T1309" s="2" t="n">
        <v>100</v>
      </c>
      <c r="W1309" s="2" t="inlineStr">
        <is>
          <t>Classification</t>
        </is>
      </c>
      <c r="X1309" s="2" t="n">
        <v>-42.4186</v>
      </c>
      <c r="Y1309" s="2" t="n">
        <v>173.6937</v>
      </c>
    </row>
    <row r="1310">
      <c r="A1310" s="2" t="inlineStr">
        <is>
          <t>Downer</t>
        </is>
      </c>
      <c r="B1310" s="2" t="inlineStr">
        <is>
          <t>ITS National - People</t>
        </is>
      </c>
      <c r="C1310" s="2" t="inlineStr">
        <is>
          <t>Depot</t>
        </is>
      </c>
      <c r="D1310" s="2" t="inlineStr">
        <is>
          <t>L9.DNZJ.54328</t>
        </is>
      </c>
      <c r="E1310" s="2" t="inlineStr">
        <is>
          <t>L9.DNZJ.54328</t>
        </is>
      </c>
      <c r="M1310" s="2" t="inlineStr">
        <is>
          <t>Auckland City</t>
        </is>
      </c>
      <c r="N1310" s="2" t="inlineStr">
        <is>
          <t>New Zealand</t>
        </is>
      </c>
      <c r="P1310" s="2" t="inlineStr">
        <is>
          <t>Operational Control</t>
        </is>
      </c>
      <c r="Q1310" s="2" t="inlineStr">
        <is>
          <t>Operational Control</t>
        </is>
      </c>
      <c r="R1310" s="2" t="inlineStr">
        <is>
          <t>Transport &amp; Infrastructure (T&amp;I)</t>
        </is>
      </c>
      <c r="S1310" s="2" t="inlineStr">
        <is>
          <t>Downer</t>
        </is>
      </c>
      <c r="T1310" s="2" t="n">
        <v>100</v>
      </c>
      <c r="W1310" s="2" t="inlineStr">
        <is>
          <t>Classification</t>
        </is>
      </c>
    </row>
    <row r="1311">
      <c r="A1311" s="2" t="inlineStr">
        <is>
          <t>Downer</t>
        </is>
      </c>
      <c r="B1311" s="2" t="inlineStr">
        <is>
          <t>ITS National - Plant</t>
        </is>
      </c>
      <c r="C1311" s="2" t="inlineStr">
        <is>
          <t>Other</t>
        </is>
      </c>
      <c r="D1311" s="2" t="inlineStr">
        <is>
          <t>L9.DNZJ.54338</t>
        </is>
      </c>
      <c r="E1311" s="2" t="n">
        <v>54338</v>
      </c>
      <c r="M1311" s="2" t="inlineStr">
        <is>
          <t>Auckland</t>
        </is>
      </c>
      <c r="N1311" s="2" t="inlineStr">
        <is>
          <t>New Zealand</t>
        </is>
      </c>
      <c r="P1311" s="2" t="inlineStr">
        <is>
          <t>Operational Control</t>
        </is>
      </c>
      <c r="Q1311" s="2" t="inlineStr">
        <is>
          <t>Operational Control</t>
        </is>
      </c>
      <c r="R1311" s="2" t="inlineStr">
        <is>
          <t>Transport &amp; Infrastructure (T&amp;I)</t>
        </is>
      </c>
      <c r="S1311" s="2" t="inlineStr">
        <is>
          <t>Downer</t>
        </is>
      </c>
      <c r="T1311" s="2" t="n">
        <v>100</v>
      </c>
      <c r="W1311" s="2" t="inlineStr">
        <is>
          <t>Classification</t>
        </is>
      </c>
    </row>
    <row r="1312">
      <c r="A1312" s="2" t="inlineStr">
        <is>
          <t>Downer</t>
        </is>
      </c>
      <c r="B1312" s="2" t="inlineStr">
        <is>
          <t>ITS North - Plant</t>
        </is>
      </c>
      <c r="C1312" s="2" t="inlineStr">
        <is>
          <t>Other</t>
        </is>
      </c>
      <c r="D1312" s="2" t="inlineStr">
        <is>
          <t>L9.DNZJ.54331</t>
        </is>
      </c>
      <c r="E1312" s="2" t="n">
        <v>54331</v>
      </c>
      <c r="M1312" s="2" t="inlineStr">
        <is>
          <t>Auckland</t>
        </is>
      </c>
      <c r="N1312" s="2" t="inlineStr">
        <is>
          <t>New Zealand</t>
        </is>
      </c>
      <c r="P1312" s="2" t="inlineStr">
        <is>
          <t>Operational Control</t>
        </is>
      </c>
      <c r="Q1312" s="2" t="inlineStr">
        <is>
          <t>Operational Control</t>
        </is>
      </c>
      <c r="R1312" s="2" t="inlineStr">
        <is>
          <t>Transport &amp; Infrastructure (T&amp;I)</t>
        </is>
      </c>
      <c r="S1312" s="2" t="inlineStr">
        <is>
          <t>Downer</t>
        </is>
      </c>
      <c r="T1312" s="2" t="n">
        <v>100</v>
      </c>
      <c r="W1312" s="2" t="inlineStr">
        <is>
          <t>Classification</t>
        </is>
      </c>
    </row>
    <row r="1313">
      <c r="A1313" s="2" t="inlineStr">
        <is>
          <t>Downer</t>
        </is>
      </c>
      <c r="B1313" s="2" t="inlineStr">
        <is>
          <t>ITS NSW</t>
        </is>
      </c>
      <c r="C1313" s="2" t="inlineStr">
        <is>
          <t>Depot</t>
        </is>
      </c>
      <c r="D1313" s="2" t="inlineStr">
        <is>
          <t>L9.J.252102</t>
        </is>
      </c>
      <c r="E1313" s="2" t="inlineStr">
        <is>
          <t>ITS NSW</t>
        </is>
      </c>
      <c r="M1313" s="2" t="inlineStr">
        <is>
          <t>New South Wales</t>
        </is>
      </c>
      <c r="N1313" s="2" t="inlineStr">
        <is>
          <t>Australia</t>
        </is>
      </c>
      <c r="P1313" s="2" t="inlineStr">
        <is>
          <t>Operational Control</t>
        </is>
      </c>
      <c r="Q1313" s="2" t="inlineStr">
        <is>
          <t>Operational Control</t>
        </is>
      </c>
      <c r="R1313" s="2" t="inlineStr">
        <is>
          <t>Transport &amp; Infrastructure (T&amp;I)</t>
        </is>
      </c>
      <c r="S1313" s="2" t="inlineStr">
        <is>
          <t>Downer</t>
        </is>
      </c>
      <c r="T1313" s="2" t="n">
        <v>100</v>
      </c>
      <c r="W1313" s="2" t="inlineStr">
        <is>
          <t>Classification</t>
        </is>
      </c>
    </row>
    <row r="1314">
      <c r="A1314" s="2" t="inlineStr">
        <is>
          <t>Downer</t>
        </is>
      </c>
      <c r="B1314" s="2" t="inlineStr">
        <is>
          <t>ITS Operations Central</t>
        </is>
      </c>
      <c r="C1314" s="2" t="inlineStr">
        <is>
          <t>Other</t>
        </is>
      </c>
      <c r="D1314" s="2" t="inlineStr">
        <is>
          <t>L9.DNZJ.56903</t>
        </is>
      </c>
      <c r="E1314" s="2" t="n">
        <v>1514</v>
      </c>
      <c r="M1314" s="2" t="inlineStr">
        <is>
          <t>Manurewa</t>
        </is>
      </c>
      <c r="N1314" s="2" t="inlineStr">
        <is>
          <t>New Zealand</t>
        </is>
      </c>
      <c r="P1314" s="2" t="inlineStr">
        <is>
          <t>Operational Control</t>
        </is>
      </c>
      <c r="Q1314" s="2" t="inlineStr">
        <is>
          <t>Operational Control</t>
        </is>
      </c>
      <c r="R1314" s="2" t="inlineStr">
        <is>
          <t>Energy and Utilities (EU)</t>
        </is>
      </c>
      <c r="S1314" s="2" t="inlineStr">
        <is>
          <t>Downer</t>
        </is>
      </c>
      <c r="T1314" s="2" t="n">
        <v>100</v>
      </c>
      <c r="W1314" s="2" t="inlineStr">
        <is>
          <t>Classification</t>
        </is>
      </c>
    </row>
    <row r="1315">
      <c r="A1315" s="2" t="inlineStr">
        <is>
          <t>Downer</t>
        </is>
      </c>
      <c r="B1315" s="2" t="inlineStr">
        <is>
          <t>ITS Overheads</t>
        </is>
      </c>
      <c r="C1315" s="2" t="inlineStr">
        <is>
          <t>Other</t>
        </is>
      </c>
      <c r="D1315" s="2" t="inlineStr">
        <is>
          <t>L9.DNZJ.3511</t>
        </is>
      </c>
      <c r="E1315" s="2" t="n">
        <v>54706</v>
      </c>
      <c r="M1315" s="2" t="inlineStr">
        <is>
          <t>Auckland</t>
        </is>
      </c>
      <c r="N1315" s="2" t="inlineStr">
        <is>
          <t>New Zealand</t>
        </is>
      </c>
      <c r="P1315" s="2" t="inlineStr">
        <is>
          <t>Operational Control</t>
        </is>
      </c>
      <c r="Q1315" s="2" t="inlineStr">
        <is>
          <t>Operational Control</t>
        </is>
      </c>
      <c r="R1315" s="2" t="inlineStr">
        <is>
          <t>Transport &amp; Infrastructure (T&amp;I)</t>
        </is>
      </c>
      <c r="S1315" s="2" t="inlineStr">
        <is>
          <t>Downer</t>
        </is>
      </c>
      <c r="T1315" s="2" t="n">
        <v>100</v>
      </c>
      <c r="W1315" s="2" t="inlineStr">
        <is>
          <t>Classification</t>
        </is>
      </c>
    </row>
    <row r="1316">
      <c r="A1316" s="2" t="inlineStr">
        <is>
          <t>Downer</t>
        </is>
      </c>
      <c r="B1316" s="2" t="inlineStr">
        <is>
          <t>ITS South - Plant</t>
        </is>
      </c>
      <c r="C1316" s="2" t="inlineStr">
        <is>
          <t>Other</t>
        </is>
      </c>
      <c r="D1316" s="2" t="inlineStr">
        <is>
          <t>L9.DNZJ.54337</t>
        </is>
      </c>
      <c r="E1316" s="2" t="n">
        <v>54337</v>
      </c>
      <c r="M1316" s="2" t="inlineStr">
        <is>
          <t>Auckland</t>
        </is>
      </c>
      <c r="N1316" s="2" t="inlineStr">
        <is>
          <t>New Zealand</t>
        </is>
      </c>
      <c r="P1316" s="2" t="inlineStr">
        <is>
          <t>Operational Control</t>
        </is>
      </c>
      <c r="Q1316" s="2" t="inlineStr">
        <is>
          <t>Operational Control</t>
        </is>
      </c>
      <c r="R1316" s="2" t="inlineStr">
        <is>
          <t>Transport &amp; Infrastructure (T&amp;I)</t>
        </is>
      </c>
      <c r="S1316" s="2" t="inlineStr">
        <is>
          <t>Downer</t>
        </is>
      </c>
      <c r="T1316" s="2" t="n">
        <v>100</v>
      </c>
      <c r="W1316" s="2" t="inlineStr">
        <is>
          <t>Classification</t>
        </is>
      </c>
    </row>
    <row r="1317">
      <c r="A1317" s="2" t="inlineStr">
        <is>
          <t>Downer</t>
        </is>
      </c>
      <c r="B1317" s="2" t="inlineStr">
        <is>
          <t>ITS Support Services</t>
        </is>
      </c>
      <c r="C1317" s="2" t="inlineStr">
        <is>
          <t>Other</t>
        </is>
      </c>
      <c r="D1317" s="2" t="inlineStr">
        <is>
          <t>L9.DNZJ.56903</t>
        </is>
      </c>
      <c r="E1317" s="2" t="n">
        <v>56903</v>
      </c>
      <c r="F1317" s="2" t="n">
        <v>56903</v>
      </c>
      <c r="M1317" s="2" t="inlineStr">
        <is>
          <t>Wellington</t>
        </is>
      </c>
      <c r="N1317" s="2" t="inlineStr">
        <is>
          <t>New Zealand</t>
        </is>
      </c>
      <c r="P1317" s="2" t="inlineStr">
        <is>
          <t>Operational Control</t>
        </is>
      </c>
      <c r="Q1317" s="2" t="inlineStr">
        <is>
          <t>Operational Control</t>
        </is>
      </c>
      <c r="R1317" s="2" t="inlineStr">
        <is>
          <t>Energy and Utilities (EU)</t>
        </is>
      </c>
      <c r="S1317" s="2" t="inlineStr">
        <is>
          <t>Downer</t>
        </is>
      </c>
      <c r="T1317" s="2" t="n">
        <v>100</v>
      </c>
      <c r="W1317" s="2" t="inlineStr">
        <is>
          <t>Classification</t>
        </is>
      </c>
    </row>
    <row r="1318">
      <c r="A1318" s="2" t="inlineStr">
        <is>
          <t>Downer</t>
        </is>
      </c>
      <c r="B1318" s="2" t="inlineStr">
        <is>
          <t>ITS VIC</t>
        </is>
      </c>
      <c r="C1318" s="2" t="inlineStr">
        <is>
          <t>Depot</t>
        </is>
      </c>
      <c r="D1318" s="2" t="inlineStr">
        <is>
          <t>L9.J.170258</t>
        </is>
      </c>
      <c r="E1318" s="2" t="inlineStr">
        <is>
          <t>ITSVIC</t>
        </is>
      </c>
      <c r="M1318" s="2" t="inlineStr">
        <is>
          <t>Victoria</t>
        </is>
      </c>
      <c r="N1318" s="2" t="inlineStr">
        <is>
          <t>Australia</t>
        </is>
      </c>
      <c r="P1318" s="2" t="inlineStr">
        <is>
          <t>Operational Control</t>
        </is>
      </c>
      <c r="Q1318" s="2" t="inlineStr">
        <is>
          <t>Operational Control</t>
        </is>
      </c>
      <c r="R1318" s="2" t="inlineStr">
        <is>
          <t>Transport &amp; Infrastructure (T&amp;I)</t>
        </is>
      </c>
      <c r="S1318" s="2" t="inlineStr">
        <is>
          <t>Downer</t>
        </is>
      </c>
      <c r="T1318" s="2" t="n">
        <v>100</v>
      </c>
      <c r="W1318" s="2" t="inlineStr">
        <is>
          <t>Classification</t>
        </is>
      </c>
    </row>
    <row r="1319">
      <c r="A1319" s="2" t="inlineStr">
        <is>
          <t>Downer</t>
        </is>
      </c>
      <c r="B1319" s="2" t="inlineStr">
        <is>
          <t>ITS Wellington - Plant</t>
        </is>
      </c>
      <c r="C1319" s="2" t="inlineStr">
        <is>
          <t>Other</t>
        </is>
      </c>
      <c r="D1319" s="2" t="inlineStr">
        <is>
          <t>L9.DNZJ.54335</t>
        </is>
      </c>
      <c r="E1319" s="2" t="n">
        <v>54335</v>
      </c>
      <c r="G1319" s="2" t="inlineStr">
        <is>
          <t>TI-NZT-54335 - ITS Wellington - Plant</t>
        </is>
      </c>
      <c r="M1319" s="2" t="inlineStr">
        <is>
          <t>Wellington</t>
        </is>
      </c>
      <c r="N1319" s="2" t="inlineStr">
        <is>
          <t>New Zealand</t>
        </is>
      </c>
      <c r="P1319" s="2" t="inlineStr">
        <is>
          <t>Operational Control</t>
        </is>
      </c>
      <c r="Q1319" s="2" t="inlineStr">
        <is>
          <t>Operational Control</t>
        </is>
      </c>
      <c r="R1319" s="2" t="inlineStr">
        <is>
          <t>Transport &amp; Infrastructure (T&amp;I)</t>
        </is>
      </c>
      <c r="S1319" s="2" t="inlineStr">
        <is>
          <t>Downer</t>
        </is>
      </c>
      <c r="T1319" s="2" t="n">
        <v>100</v>
      </c>
      <c r="W1319" s="2" t="inlineStr">
        <is>
          <t>Classification</t>
        </is>
      </c>
    </row>
    <row r="1320">
      <c r="A1320" s="2" t="inlineStr">
        <is>
          <t>Downer</t>
        </is>
      </c>
      <c r="B1320" s="2" t="inlineStr">
        <is>
          <t>JAMES HARGEST SCHOOL- RDVLPMNT</t>
        </is>
      </c>
      <c r="C1320" s="2" t="inlineStr">
        <is>
          <t>School</t>
        </is>
      </c>
      <c r="D1320" s="2" t="inlineStr">
        <is>
          <t>L9.DNZ.HS0169</t>
        </is>
      </c>
      <c r="E1320" s="2" t="inlineStr">
        <is>
          <t>JP_HS0169</t>
        </is>
      </c>
      <c r="G1320" s="2" t="inlineStr">
        <is>
          <t>TI-NZT.BP.HS0169 James Hargest College</t>
        </is>
      </c>
      <c r="M1320" s="2" t="inlineStr">
        <is>
          <t>Invercargill</t>
        </is>
      </c>
      <c r="N1320" s="2" t="inlineStr">
        <is>
          <t>New Zealand</t>
        </is>
      </c>
      <c r="P1320" s="2" t="inlineStr">
        <is>
          <t>Operational Control</t>
        </is>
      </c>
      <c r="Q1320" s="2" t="inlineStr">
        <is>
          <t>Operational Control</t>
        </is>
      </c>
      <c r="R1320" s="2" t="inlineStr">
        <is>
          <t>Transport &amp; Infrastructure (T&amp;I)</t>
        </is>
      </c>
      <c r="S1320" s="2" t="inlineStr">
        <is>
          <t>Downer</t>
        </is>
      </c>
      <c r="T1320" s="2" t="n">
        <v>100</v>
      </c>
      <c r="W1320" s="2" t="inlineStr">
        <is>
          <t>Classification</t>
        </is>
      </c>
    </row>
    <row r="1321">
      <c r="A1321" s="2" t="inlineStr">
        <is>
          <t>Downer</t>
        </is>
      </c>
      <c r="B1321" s="2" t="inlineStr">
        <is>
          <t>Judgeford (Paremata Haywards)</t>
        </is>
      </c>
      <c r="C1321" s="2" t="inlineStr">
        <is>
          <t>Residential</t>
        </is>
      </c>
      <c r="D1321" s="2" t="inlineStr">
        <is>
          <t>L9.DNZJ.91251</t>
        </is>
      </c>
      <c r="E1321" s="2" t="n">
        <v>91251</v>
      </c>
      <c r="G1321" s="2" t="inlineStr">
        <is>
          <t>COR-NZHO.91251-Judge</t>
        </is>
      </c>
      <c r="M1321" s="2" t="inlineStr">
        <is>
          <t>Wellington</t>
        </is>
      </c>
      <c r="N1321" s="2" t="inlineStr">
        <is>
          <t>New Zealand</t>
        </is>
      </c>
      <c r="P1321" s="2" t="inlineStr">
        <is>
          <t>Operational Control</t>
        </is>
      </c>
      <c r="Q1321" s="2" t="inlineStr">
        <is>
          <t>Operational Control</t>
        </is>
      </c>
      <c r="R1321" s="2" t="inlineStr">
        <is>
          <t>Transport &amp; Infrastructure (T&amp;I)</t>
        </is>
      </c>
      <c r="S1321" s="2" t="inlineStr">
        <is>
          <t>Downer</t>
        </is>
      </c>
      <c r="T1321" s="2" t="n">
        <v>100</v>
      </c>
      <c r="W1321" s="2" t="inlineStr">
        <is>
          <t>Classification</t>
        </is>
      </c>
    </row>
    <row r="1322">
      <c r="A1322" s="2" t="inlineStr">
        <is>
          <t>Downer</t>
        </is>
      </c>
      <c r="B1322" s="2" t="inlineStr">
        <is>
          <t>Kaikoura Depot</t>
        </is>
      </c>
      <c r="C1322" s="2" t="inlineStr">
        <is>
          <t>Other</t>
        </is>
      </c>
      <c r="D1322" s="2" t="inlineStr">
        <is>
          <t>L9.DNZJ.55626</t>
        </is>
      </c>
      <c r="E1322" s="2" t="n">
        <v>55626</v>
      </c>
      <c r="H1322" s="2" t="inlineStr">
        <is>
          <t>89 Kowhai Ford Road</t>
        </is>
      </c>
      <c r="I1322" s="2" t="inlineStr">
        <is>
          <t>Kaikoura</t>
        </is>
      </c>
      <c r="J1322" s="2" t="inlineStr">
        <is>
          <t>Kaikoura</t>
        </is>
      </c>
      <c r="K1322" s="2" t="n">
        <v>7371</v>
      </c>
      <c r="L1322" s="2" t="inlineStr">
        <is>
          <t>New Zealand</t>
        </is>
      </c>
      <c r="M1322" s="2" t="inlineStr">
        <is>
          <t>Kaikoura</t>
        </is>
      </c>
      <c r="N1322" s="2" t="inlineStr">
        <is>
          <t>New Zealand</t>
        </is>
      </c>
      <c r="P1322" s="2" t="inlineStr">
        <is>
          <t>Operational Control</t>
        </is>
      </c>
      <c r="Q1322" s="2" t="inlineStr">
        <is>
          <t>Operational Control</t>
        </is>
      </c>
      <c r="R1322" s="2" t="inlineStr">
        <is>
          <t>Transport &amp; Infrastructure (T&amp;I)</t>
        </is>
      </c>
      <c r="S1322" s="2" t="inlineStr">
        <is>
          <t>Downer</t>
        </is>
      </c>
      <c r="T1322" s="2" t="n">
        <v>100</v>
      </c>
      <c r="W1322" s="2" t="inlineStr">
        <is>
          <t>Classification</t>
        </is>
      </c>
      <c r="X1322" s="2" t="n">
        <v>-42.3865</v>
      </c>
      <c r="Y1322" s="2" t="n">
        <v>173.6235</v>
      </c>
    </row>
    <row r="1323">
      <c r="A1323" s="2" t="inlineStr">
        <is>
          <t>Downer</t>
        </is>
      </c>
      <c r="B1323" s="2" t="inlineStr">
        <is>
          <t>Kaipara DC EU Subcontractors</t>
        </is>
      </c>
      <c r="C1323" s="2" t="inlineStr">
        <is>
          <t>Other</t>
        </is>
      </c>
      <c r="D1323" s="2" t="inlineStr">
        <is>
          <t>L9.DNZJ.561126</t>
        </is>
      </c>
      <c r="E1323" s="2" t="inlineStr">
        <is>
          <t>L9.DNZJ.561126</t>
        </is>
      </c>
      <c r="M1323" s="2" t="inlineStr">
        <is>
          <t>Auckland City</t>
        </is>
      </c>
      <c r="N1323" s="2" t="inlineStr">
        <is>
          <t>New Zealand</t>
        </is>
      </c>
      <c r="P1323" s="2" t="inlineStr">
        <is>
          <t>Operational Control</t>
        </is>
      </c>
      <c r="Q1323" s="2" t="inlineStr">
        <is>
          <t>Operational Control</t>
        </is>
      </c>
      <c r="R1323" s="2" t="inlineStr">
        <is>
          <t>Energy and Utilities (EU)</t>
        </is>
      </c>
      <c r="S1323" s="2" t="inlineStr">
        <is>
          <t>Downer</t>
        </is>
      </c>
      <c r="T1323" s="2" t="n">
        <v>100</v>
      </c>
      <c r="W1323" s="2" t="inlineStr">
        <is>
          <t>Classification</t>
        </is>
      </c>
    </row>
    <row r="1324">
      <c r="A1324" s="2" t="inlineStr">
        <is>
          <t>Downer</t>
        </is>
      </c>
      <c r="B1324" s="2" t="inlineStr">
        <is>
          <t>Kaipara People/Plant</t>
        </is>
      </c>
      <c r="C1324" s="2" t="inlineStr">
        <is>
          <t>Other</t>
        </is>
      </c>
      <c r="D1324" s="2" t="inlineStr">
        <is>
          <t>L9.DNZJ.66201</t>
        </is>
      </c>
      <c r="E1324" s="2" t="n">
        <v>66201</v>
      </c>
      <c r="H1324" s="2" t="inlineStr">
        <is>
          <t>130 Kerrs Road</t>
        </is>
      </c>
      <c r="I1324" s="2" t="inlineStr">
        <is>
          <t>Wiri</t>
        </is>
      </c>
      <c r="J1324" s="2" t="inlineStr">
        <is>
          <t>Auckland</t>
        </is>
      </c>
      <c r="K1324" s="2" t="n">
        <v>2104</v>
      </c>
      <c r="L1324" s="2" t="inlineStr">
        <is>
          <t>New Zealand</t>
        </is>
      </c>
      <c r="M1324" s="2" t="inlineStr">
        <is>
          <t>Manurewa</t>
        </is>
      </c>
      <c r="N1324" s="2" t="inlineStr">
        <is>
          <t>New Zealand</t>
        </is>
      </c>
      <c r="P1324" s="2" t="inlineStr">
        <is>
          <t>Operational Control</t>
        </is>
      </c>
      <c r="Q1324" s="2" t="inlineStr">
        <is>
          <t>Operational Control</t>
        </is>
      </c>
      <c r="R1324" s="2" t="inlineStr">
        <is>
          <t>Transport &amp; Infrastructure (T&amp;I)</t>
        </is>
      </c>
      <c r="S1324" s="2" t="inlineStr">
        <is>
          <t>Downer</t>
        </is>
      </c>
      <c r="T1324" s="2" t="n">
        <v>100</v>
      </c>
      <c r="W1324" s="2" t="inlineStr">
        <is>
          <t>Classification</t>
        </is>
      </c>
      <c r="X1324" s="2" t="n">
        <v>-37.0083</v>
      </c>
      <c r="Y1324" s="2" t="n">
        <v>174.8705</v>
      </c>
    </row>
    <row r="1325">
      <c r="A1325" s="2" t="inlineStr">
        <is>
          <t>Downer</t>
        </is>
      </c>
      <c r="B1325" s="2" t="inlineStr">
        <is>
          <t>Kalgoorlie</t>
        </is>
      </c>
      <c r="C1325" s="2" t="inlineStr">
        <is>
          <t>Fleet Fuel</t>
        </is>
      </c>
      <c r="D1325" s="2" t="inlineStr">
        <is>
          <t>L9.J.382852</t>
        </is>
      </c>
      <c r="E1325" s="2" t="inlineStr">
        <is>
          <t>ASV-382852, ASV-13381, ASV-13382, ASV-13387</t>
        </is>
      </c>
      <c r="F1325" s="2" t="n">
        <v>150</v>
      </c>
      <c r="H1325" s="2" t="inlineStr">
        <is>
          <t>Cnr Gt Eastern Hwy &amp; Hunter St</t>
        </is>
      </c>
      <c r="I1325" s="2" t="inlineStr">
        <is>
          <t>Kalgoorlie</t>
        </is>
      </c>
      <c r="J1325" s="2" t="inlineStr">
        <is>
          <t>WA</t>
        </is>
      </c>
      <c r="K1325" s="2" t="n">
        <v>6430</v>
      </c>
      <c r="L1325" s="2" t="inlineStr">
        <is>
          <t>Australia</t>
        </is>
      </c>
      <c r="M1325" s="2" t="inlineStr">
        <is>
          <t>Western Australia</t>
        </is>
      </c>
      <c r="N1325" s="2" t="inlineStr">
        <is>
          <t>Australia</t>
        </is>
      </c>
      <c r="P1325" s="2" t="inlineStr">
        <is>
          <t>Operational Control</t>
        </is>
      </c>
      <c r="Q1325" s="2" t="inlineStr">
        <is>
          <t>Operational Control</t>
        </is>
      </c>
      <c r="R1325" s="2" t="inlineStr">
        <is>
          <t>Energy and Utilities (EU)</t>
        </is>
      </c>
      <c r="S1325" s="2" t="inlineStr">
        <is>
          <t>Downer</t>
        </is>
      </c>
      <c r="T1325" s="2" t="n">
        <v>100</v>
      </c>
      <c r="W1325" s="2" t="inlineStr">
        <is>
          <t>Classification</t>
        </is>
      </c>
      <c r="X1325" s="2" t="n">
        <v>-30.747015</v>
      </c>
      <c r="Y1325" s="2" t="n">
        <v>121.474855</v>
      </c>
      <c r="Z1325" s="2" t="n">
        <v>692</v>
      </c>
    </row>
    <row r="1326">
      <c r="A1326" s="2" t="inlineStr">
        <is>
          <t>Downer</t>
        </is>
      </c>
      <c r="B1326" s="2" t="inlineStr">
        <is>
          <t>Katherine</t>
        </is>
      </c>
      <c r="C1326" s="2" t="inlineStr">
        <is>
          <t>Depot</t>
        </is>
      </c>
      <c r="D1326" s="2" t="inlineStr">
        <is>
          <t>L9.J.17050041</t>
        </is>
      </c>
      <c r="E1326" s="2" t="n">
        <v>154</v>
      </c>
      <c r="H1326" s="2" t="inlineStr">
        <is>
          <t>Lot 2378 Emungalan Road</t>
        </is>
      </c>
      <c r="I1326" s="2" t="inlineStr">
        <is>
          <t>Katherine</t>
        </is>
      </c>
      <c r="J1326" s="2" t="inlineStr">
        <is>
          <t>NT</t>
        </is>
      </c>
      <c r="K1326" s="2" t="n">
        <v>850</v>
      </c>
      <c r="L1326" s="2" t="inlineStr">
        <is>
          <t>Australia</t>
        </is>
      </c>
      <c r="M1326" s="2" t="inlineStr">
        <is>
          <t>Northern Territory</t>
        </is>
      </c>
      <c r="N1326" s="2" t="inlineStr">
        <is>
          <t>Australia</t>
        </is>
      </c>
      <c r="P1326" s="2" t="inlineStr">
        <is>
          <t>Operational Control</t>
        </is>
      </c>
      <c r="Q1326" s="2" t="inlineStr">
        <is>
          <t>Operational Control</t>
        </is>
      </c>
      <c r="R1326" s="2" t="inlineStr">
        <is>
          <t>Transport &amp; Infrastructure (T&amp;I)</t>
        </is>
      </c>
      <c r="S1326" s="2" t="inlineStr">
        <is>
          <t>Downer</t>
        </is>
      </c>
      <c r="T1326" s="2" t="n">
        <v>100</v>
      </c>
      <c r="W1326" s="2" t="inlineStr">
        <is>
          <t>Classification</t>
        </is>
      </c>
      <c r="X1326" s="2" t="n">
        <v>-14.439</v>
      </c>
      <c r="Y1326" s="2" t="n">
        <v>132.256</v>
      </c>
      <c r="Z1326" s="2" t="n">
        <v>310</v>
      </c>
    </row>
    <row r="1327">
      <c r="A1327" s="2" t="inlineStr">
        <is>
          <t>Downer</t>
        </is>
      </c>
      <c r="B1327" s="2" t="inlineStr">
        <is>
          <t>KDC - Stormwater</t>
        </is>
      </c>
      <c r="C1327" s="2" t="inlineStr">
        <is>
          <t>Other</t>
        </is>
      </c>
      <c r="D1327" s="2" t="inlineStr">
        <is>
          <t>L9.DNZJ.561124</t>
        </is>
      </c>
      <c r="E1327" s="2" t="n">
        <v>561124</v>
      </c>
      <c r="M1327" s="2" t="inlineStr">
        <is>
          <t>Manurewa</t>
        </is>
      </c>
      <c r="N1327" s="2" t="inlineStr">
        <is>
          <t>New Zealand</t>
        </is>
      </c>
      <c r="P1327" s="2" t="inlineStr">
        <is>
          <t>Operational Control</t>
        </is>
      </c>
      <c r="Q1327" s="2" t="inlineStr">
        <is>
          <t>Operational Control</t>
        </is>
      </c>
      <c r="R1327" s="2" t="inlineStr">
        <is>
          <t>Energy and Utilities (EU)</t>
        </is>
      </c>
      <c r="S1327" s="2" t="inlineStr">
        <is>
          <t>Downer</t>
        </is>
      </c>
      <c r="T1327" s="2" t="n">
        <v>100</v>
      </c>
      <c r="W1327" s="2" t="inlineStr">
        <is>
          <t>Classification</t>
        </is>
      </c>
    </row>
    <row r="1328">
      <c r="A1328" s="2" t="inlineStr">
        <is>
          <t>Downer</t>
        </is>
      </c>
      <c r="B1328" s="2" t="inlineStr">
        <is>
          <t>Kensington - Hobsons Rd</t>
        </is>
      </c>
      <c r="C1328" s="2" t="inlineStr">
        <is>
          <t>Retail, Warehouse</t>
        </is>
      </c>
      <c r="D1328" s="2" t="inlineStr">
        <is>
          <t>L9.S.13001208</t>
        </is>
      </c>
      <c r="E1328" s="2" t="n">
        <v>9045</v>
      </c>
      <c r="H1328" s="2" t="inlineStr">
        <is>
          <t>41-45 Hobsons Rd</t>
        </is>
      </c>
      <c r="I1328" s="2" t="inlineStr">
        <is>
          <t>Kensington</t>
        </is>
      </c>
      <c r="J1328" s="2" t="inlineStr">
        <is>
          <t>VIC</t>
        </is>
      </c>
      <c r="K1328" s="2" t="n">
        <v>3031</v>
      </c>
      <c r="M1328" s="2" t="inlineStr">
        <is>
          <t>Victoria</t>
        </is>
      </c>
      <c r="N1328" s="2" t="inlineStr">
        <is>
          <t>Australia</t>
        </is>
      </c>
      <c r="P1328" s="2" t="inlineStr">
        <is>
          <t>Operational Control</t>
        </is>
      </c>
      <c r="Q1328" s="2" t="inlineStr">
        <is>
          <t>Operational Control</t>
        </is>
      </c>
      <c r="R1328" s="2" t="inlineStr">
        <is>
          <t>Social Infra &amp; Citizen Serv (SICS)</t>
        </is>
      </c>
      <c r="S1328" s="2" t="inlineStr">
        <is>
          <t>Downer</t>
        </is>
      </c>
      <c r="T1328" s="2" t="n">
        <v>100</v>
      </c>
      <c r="W1328" s="2" t="inlineStr">
        <is>
          <t>Classification</t>
        </is>
      </c>
      <c r="X1328" s="2" t="n">
        <v>-37.797017</v>
      </c>
      <c r="Y1328" s="2" t="n">
        <v>144.91802</v>
      </c>
      <c r="Z1328" s="2" t="n">
        <v>530</v>
      </c>
    </row>
    <row r="1329">
      <c r="A1329" s="2" t="inlineStr">
        <is>
          <t>Downer</t>
        </is>
      </c>
      <c r="B1329" s="2" t="inlineStr">
        <is>
          <t>Keolis Downer-Australia based travel</t>
        </is>
      </c>
      <c r="C1329" s="2" t="inlineStr">
        <is>
          <t>Other</t>
        </is>
      </c>
      <c r="D1329" s="2" t="inlineStr">
        <is>
          <t>L9.KD.YT.5720</t>
        </is>
      </c>
      <c r="E1329" s="2" t="n">
        <v>1019</v>
      </c>
      <c r="M1329" s="2" t="inlineStr">
        <is>
          <t>New South Wales</t>
        </is>
      </c>
      <c r="N1329" s="2" t="inlineStr">
        <is>
          <t>Australia</t>
        </is>
      </c>
      <c r="P1329" s="2" t="inlineStr">
        <is>
          <t>Operational Control</t>
        </is>
      </c>
      <c r="Q1329" s="2" t="inlineStr">
        <is>
          <t>Operational Control</t>
        </is>
      </c>
      <c r="R1329" s="2" t="inlineStr">
        <is>
          <t>Joint Ventures</t>
        </is>
      </c>
      <c r="S1329" s="2" t="inlineStr">
        <is>
          <t>Downer</t>
        </is>
      </c>
      <c r="T1329" s="2" t="n">
        <v>100</v>
      </c>
      <c r="W1329" s="2" t="inlineStr">
        <is>
          <t>Classification</t>
        </is>
      </c>
      <c r="X1329" s="2" t="n">
        <v>-33.794</v>
      </c>
      <c r="Y1329" s="2" t="n">
        <v>151.139</v>
      </c>
      <c r="Z1329" s="2" t="n">
        <v>729</v>
      </c>
    </row>
    <row r="1330">
      <c r="A1330" s="2" t="inlineStr">
        <is>
          <t>Downer</t>
        </is>
      </c>
      <c r="B1330" s="2" t="inlineStr">
        <is>
          <t>Knights Drain Wetland</t>
        </is>
      </c>
      <c r="C1330" s="2" t="inlineStr">
        <is>
          <t>Public Facility</t>
        </is>
      </c>
      <c r="D1330" s="2" t="inlineStr">
        <is>
          <t>L9.DNZJ.554553</t>
        </is>
      </c>
      <c r="E1330" s="2" t="n">
        <v>554553</v>
      </c>
      <c r="G1330" s="2" t="inlineStr">
        <is>
          <t>TI-NZT-554553 - Knights Drain Wetland
589 Pages Road, Christchurch,  8061 New Zealand</t>
        </is>
      </c>
      <c r="M1330" s="2" t="inlineStr">
        <is>
          <t>Christchurch</t>
        </is>
      </c>
      <c r="N1330" s="2" t="inlineStr">
        <is>
          <t>New Zealand</t>
        </is>
      </c>
      <c r="P1330" s="2" t="inlineStr">
        <is>
          <t>Operational Control</t>
        </is>
      </c>
      <c r="Q1330" s="2" t="inlineStr">
        <is>
          <t>Operational Control</t>
        </is>
      </c>
      <c r="R1330" s="2" t="inlineStr">
        <is>
          <t>Transport &amp; Infrastructure (T&amp;I)</t>
        </is>
      </c>
      <c r="S1330" s="2" t="inlineStr">
        <is>
          <t>Downer</t>
        </is>
      </c>
      <c r="T1330" s="2" t="n">
        <v>100</v>
      </c>
      <c r="W1330" s="2" t="inlineStr">
        <is>
          <t>Classification</t>
        </is>
      </c>
    </row>
    <row r="1331">
      <c r="A1331" s="2" t="inlineStr">
        <is>
          <t>Downer</t>
        </is>
      </c>
      <c r="B1331" s="2" t="inlineStr">
        <is>
          <t>Kunda Park</t>
        </is>
      </c>
      <c r="C1331" s="2" t="inlineStr">
        <is>
          <t>Depot</t>
        </is>
      </c>
      <c r="D1331" s="2" t="inlineStr">
        <is>
          <t>L9.J.10920046</t>
        </is>
      </c>
      <c r="E1331" s="2" t="n">
        <v>10920046</v>
      </c>
      <c r="G1331" s="2" t="inlineStr">
        <is>
          <t>This site was originally put under 170431 BU code under T&amp;I. 30/04/2025 reassign to Corporate based on INX COR-10920046 - 32 Page St, Kunda Park, QLD.</t>
        </is>
      </c>
      <c r="H1331" s="2" t="inlineStr">
        <is>
          <t>32 Page Street</t>
        </is>
      </c>
      <c r="I1331" s="2" t="inlineStr">
        <is>
          <t>Kunda Park</t>
        </is>
      </c>
      <c r="J1331" s="2" t="inlineStr">
        <is>
          <t>QLD</t>
        </is>
      </c>
      <c r="K1331" s="2" t="n">
        <v>4556</v>
      </c>
      <c r="M1331" s="2" t="inlineStr">
        <is>
          <t>Queensland</t>
        </is>
      </c>
      <c r="N1331" s="2" t="inlineStr">
        <is>
          <t>Australia</t>
        </is>
      </c>
      <c r="P1331" s="2" t="inlineStr">
        <is>
          <t>Operational Control</t>
        </is>
      </c>
      <c r="Q1331" s="2" t="inlineStr">
        <is>
          <t>Operational Control</t>
        </is>
      </c>
      <c r="R1331" s="2" t="inlineStr">
        <is>
          <t>Corporate</t>
        </is>
      </c>
      <c r="S1331" s="2" t="inlineStr">
        <is>
          <t>Downer</t>
        </is>
      </c>
      <c r="T1331" s="2" t="n">
        <v>100</v>
      </c>
      <c r="W1331" s="2" t="inlineStr">
        <is>
          <t>Classification</t>
        </is>
      </c>
      <c r="Z1331" s="2" t="n">
        <v>310</v>
      </c>
    </row>
    <row r="1332">
      <c r="A1332" s="2" t="inlineStr">
        <is>
          <t>Downer</t>
        </is>
      </c>
      <c r="B1332" s="2" t="inlineStr">
        <is>
          <t>Kwinana &amp; SW EU Subcontractors</t>
        </is>
      </c>
      <c r="C1332" s="2" t="inlineStr">
        <is>
          <t>Other</t>
        </is>
      </c>
      <c r="D1332" s="2" t="inlineStr">
        <is>
          <t>L9.J.38270070</t>
        </is>
      </c>
      <c r="E1332" s="2" t="inlineStr">
        <is>
          <t>L9.J.38270070</t>
        </is>
      </c>
      <c r="M1332" s="2" t="inlineStr">
        <is>
          <t>North Ryde</t>
        </is>
      </c>
      <c r="N1332" s="2" t="inlineStr">
        <is>
          <t>Australia</t>
        </is>
      </c>
      <c r="P1332" s="2" t="inlineStr">
        <is>
          <t>Operational Control</t>
        </is>
      </c>
      <c r="Q1332" s="2" t="inlineStr">
        <is>
          <t>Operational Control</t>
        </is>
      </c>
      <c r="R1332" s="2" t="inlineStr">
        <is>
          <t>Energy and Utilities (EU)</t>
        </is>
      </c>
      <c r="S1332" s="2" t="inlineStr">
        <is>
          <t>Downer</t>
        </is>
      </c>
      <c r="T1332" s="2" t="n">
        <v>100</v>
      </c>
      <c r="W1332" s="2" t="inlineStr">
        <is>
          <t>Classification</t>
        </is>
      </c>
    </row>
    <row r="1333">
      <c r="A1333" s="2" t="inlineStr">
        <is>
          <t>Downer</t>
        </is>
      </c>
      <c r="B1333" s="2" t="inlineStr">
        <is>
          <t>Laboratories - Admin</t>
        </is>
      </c>
      <c r="C1333" s="2" t="inlineStr">
        <is>
          <t>Other</t>
        </is>
      </c>
      <c r="D1333" s="2" t="inlineStr">
        <is>
          <t>L9.DNZJ.3520</t>
        </is>
      </c>
      <c r="E1333" s="2" t="n">
        <v>3520</v>
      </c>
      <c r="M1333" s="2" t="inlineStr">
        <is>
          <t>Manurewa</t>
        </is>
      </c>
      <c r="N1333" s="2" t="inlineStr">
        <is>
          <t>New Zealand</t>
        </is>
      </c>
      <c r="P1333" s="2" t="inlineStr">
        <is>
          <t>Operational Control</t>
        </is>
      </c>
      <c r="Q1333" s="2" t="inlineStr">
        <is>
          <t>Operational Control</t>
        </is>
      </c>
      <c r="R1333" s="2" t="inlineStr">
        <is>
          <t>Transport &amp; Infrastructure (T&amp;I)</t>
        </is>
      </c>
      <c r="S1333" s="2" t="inlineStr">
        <is>
          <t>Downer</t>
        </is>
      </c>
      <c r="T1333" s="2" t="n">
        <v>100</v>
      </c>
      <c r="W1333" s="2" t="inlineStr">
        <is>
          <t>Classification</t>
        </is>
      </c>
    </row>
    <row r="1334">
      <c r="A1334" s="2" t="inlineStr">
        <is>
          <t>Downer</t>
        </is>
      </c>
      <c r="B1334" s="2" t="inlineStr">
        <is>
          <t>LAHC NSW - Central Coast</t>
        </is>
      </c>
      <c r="C1334" s="2" t="inlineStr">
        <is>
          <t>Office</t>
        </is>
      </c>
      <c r="D1334" s="2" t="inlineStr">
        <is>
          <t>L9.S.3174.45002371</t>
        </is>
      </c>
      <c r="E1334" s="2" t="inlineStr">
        <is>
          <t>L9.S.3174.45002371</t>
        </is>
      </c>
      <c r="M1334" s="2" t="inlineStr">
        <is>
          <t>New South Wales</t>
        </is>
      </c>
      <c r="N1334" s="2" t="inlineStr">
        <is>
          <t>Australia</t>
        </is>
      </c>
      <c r="P1334" s="2" t="inlineStr">
        <is>
          <t>Operational Control</t>
        </is>
      </c>
      <c r="Q1334" s="2" t="inlineStr">
        <is>
          <t>Operational Control</t>
        </is>
      </c>
      <c r="R1334" s="2" t="inlineStr">
        <is>
          <t>Social Infra &amp; Citizen Serv (SICS)</t>
        </is>
      </c>
      <c r="S1334" s="2" t="inlineStr">
        <is>
          <t>Downer</t>
        </is>
      </c>
      <c r="T1334" s="2" t="n">
        <v>100</v>
      </c>
      <c r="W1334" s="2" t="inlineStr">
        <is>
          <t>Classification</t>
        </is>
      </c>
    </row>
    <row r="1335">
      <c r="A1335" s="2" t="inlineStr">
        <is>
          <t>Downer</t>
        </is>
      </c>
      <c r="B1335" s="2" t="inlineStr">
        <is>
          <t>LAHC NSW - Kingsgrove</t>
        </is>
      </c>
      <c r="C1335" s="2" t="inlineStr">
        <is>
          <t>Office</t>
        </is>
      </c>
      <c r="D1335" s="2" t="inlineStr">
        <is>
          <t>L9.S.3174.45002371</t>
        </is>
      </c>
      <c r="E1335" s="2" t="inlineStr">
        <is>
          <t>L9.S.3174.45002371</t>
        </is>
      </c>
      <c r="H1335" s="2" t="inlineStr">
        <is>
          <t>6 The Crescent</t>
        </is>
      </c>
      <c r="I1335" s="2" t="inlineStr">
        <is>
          <t>Kingsgrove</t>
        </is>
      </c>
      <c r="J1335" s="2" t="inlineStr">
        <is>
          <t>New South Wales</t>
        </is>
      </c>
      <c r="K1335" s="2" t="n">
        <v>2208</v>
      </c>
      <c r="L1335" s="2" t="inlineStr">
        <is>
          <t>Australia</t>
        </is>
      </c>
      <c r="M1335" s="2" t="inlineStr">
        <is>
          <t>New South Wales</t>
        </is>
      </c>
      <c r="N1335" s="2" t="inlineStr">
        <is>
          <t>Australia</t>
        </is>
      </c>
      <c r="P1335" s="2" t="inlineStr">
        <is>
          <t>Operational Control</t>
        </is>
      </c>
      <c r="Q1335" s="2" t="inlineStr">
        <is>
          <t>Operational Control</t>
        </is>
      </c>
      <c r="R1335" s="2" t="inlineStr">
        <is>
          <t>Social Infra &amp; Citizen Serv (SICS)</t>
        </is>
      </c>
      <c r="S1335" s="2" t="inlineStr">
        <is>
          <t>Downer</t>
        </is>
      </c>
      <c r="T1335" s="2" t="n">
        <v>100</v>
      </c>
      <c r="W1335" s="2" t="inlineStr">
        <is>
          <t>Classification</t>
        </is>
      </c>
    </row>
    <row r="1336">
      <c r="A1336" s="2" t="inlineStr">
        <is>
          <t>Downer</t>
        </is>
      </c>
      <c r="B1336" s="2" t="inlineStr">
        <is>
          <t>LAHC NSW - Macarthur</t>
        </is>
      </c>
      <c r="C1336" s="2" t="inlineStr">
        <is>
          <t>Office</t>
        </is>
      </c>
      <c r="D1336" s="2" t="inlineStr">
        <is>
          <t>L9.S.3174.45002371</t>
        </is>
      </c>
      <c r="E1336" s="2" t="inlineStr">
        <is>
          <t>L9.S.3174.45002371</t>
        </is>
      </c>
      <c r="M1336" s="2" t="inlineStr">
        <is>
          <t>New South Wales</t>
        </is>
      </c>
      <c r="N1336" s="2" t="inlineStr">
        <is>
          <t>Australia</t>
        </is>
      </c>
      <c r="P1336" s="2" t="inlineStr">
        <is>
          <t>Operational Control</t>
        </is>
      </c>
      <c r="Q1336" s="2" t="inlineStr">
        <is>
          <t>Operational Control</t>
        </is>
      </c>
      <c r="R1336" s="2" t="inlineStr">
        <is>
          <t>Social Infra &amp; Citizen Serv (SICS)</t>
        </is>
      </c>
      <c r="S1336" s="2" t="inlineStr">
        <is>
          <t>Downer</t>
        </is>
      </c>
      <c r="T1336" s="2" t="n">
        <v>100</v>
      </c>
      <c r="W1336" s="2" t="inlineStr">
        <is>
          <t>Classification</t>
        </is>
      </c>
    </row>
    <row r="1337">
      <c r="A1337" s="2" t="inlineStr">
        <is>
          <t>Downer</t>
        </is>
      </c>
      <c r="B1337" s="2" t="inlineStr">
        <is>
          <t>LAHC NSW - Springhill</t>
        </is>
      </c>
      <c r="C1337" s="2" t="inlineStr">
        <is>
          <t>Office</t>
        </is>
      </c>
      <c r="D1337" s="2" t="inlineStr">
        <is>
          <t>L9.S.3174.45002371</t>
        </is>
      </c>
      <c r="E1337" s="2" t="inlineStr">
        <is>
          <t>L9.S.3174.45002371</t>
        </is>
      </c>
      <c r="H1337" s="2" t="inlineStr">
        <is>
          <t>5 Edney Lane</t>
        </is>
      </c>
      <c r="I1337" s="2" t="inlineStr">
        <is>
          <t>Spring Hill</t>
        </is>
      </c>
      <c r="J1337" s="2" t="inlineStr">
        <is>
          <t>NSW</t>
        </is>
      </c>
      <c r="K1337" s="2" t="n">
        <v>2500</v>
      </c>
      <c r="M1337" s="2" t="inlineStr">
        <is>
          <t>New South Wales</t>
        </is>
      </c>
      <c r="N1337" s="2" t="inlineStr">
        <is>
          <t>Australia</t>
        </is>
      </c>
      <c r="P1337" s="2" t="inlineStr">
        <is>
          <t>Operational Control</t>
        </is>
      </c>
      <c r="Q1337" s="2" t="inlineStr">
        <is>
          <t>Operational Control</t>
        </is>
      </c>
      <c r="R1337" s="2" t="inlineStr">
        <is>
          <t>Social Infra &amp; Citizen Serv (SICS)</t>
        </is>
      </c>
      <c r="S1337" s="2" t="inlineStr">
        <is>
          <t>Downer</t>
        </is>
      </c>
      <c r="T1337" s="2" t="n">
        <v>100</v>
      </c>
      <c r="W1337" s="2" t="inlineStr">
        <is>
          <t>Classification</t>
        </is>
      </c>
    </row>
    <row r="1338">
      <c r="A1338" s="2" t="inlineStr">
        <is>
          <t>Downer</t>
        </is>
      </c>
      <c r="B1338" s="2" t="inlineStr">
        <is>
          <t>Largs Bay</t>
        </is>
      </c>
      <c r="C1338" s="2" t="inlineStr">
        <is>
          <t>Emulsion Plant</t>
        </is>
      </c>
      <c r="D1338" s="2" t="inlineStr">
        <is>
          <t>L9.J.17090106</t>
        </is>
      </c>
      <c r="E1338" s="2" t="n">
        <v>163</v>
      </c>
      <c r="H1338" s="2" t="inlineStr">
        <is>
          <t>188-194 Jetty Road</t>
        </is>
      </c>
      <c r="I1338" s="2" t="inlineStr">
        <is>
          <t>Largs Bay</t>
        </is>
      </c>
      <c r="J1338" s="2" t="inlineStr">
        <is>
          <t>SA</t>
        </is>
      </c>
      <c r="K1338" s="2" t="n">
        <v>5016</v>
      </c>
      <c r="L1338" s="2" t="inlineStr">
        <is>
          <t>Australia</t>
        </is>
      </c>
      <c r="M1338" s="2" t="inlineStr">
        <is>
          <t>South Australia</t>
        </is>
      </c>
      <c r="N1338" s="2" t="inlineStr">
        <is>
          <t>Australia</t>
        </is>
      </c>
      <c r="P1338" s="2" t="inlineStr">
        <is>
          <t>Operational Control</t>
        </is>
      </c>
      <c r="Q1338" s="2" t="inlineStr">
        <is>
          <t>Operational Control</t>
        </is>
      </c>
      <c r="R1338" s="2" t="inlineStr">
        <is>
          <t>Transport &amp; Infrastructure (T&amp;I)</t>
        </is>
      </c>
      <c r="S1338" s="2" t="inlineStr">
        <is>
          <t>Downer</t>
        </is>
      </c>
      <c r="T1338" s="2" t="n">
        <v>100</v>
      </c>
      <c r="W1338" s="2" t="inlineStr">
        <is>
          <t>Classification</t>
        </is>
      </c>
      <c r="X1338" s="2" t="n">
        <v>-34.825</v>
      </c>
      <c r="Y1338" s="2" t="n">
        <v>138.496</v>
      </c>
      <c r="Z1338" s="2" t="n">
        <v>170</v>
      </c>
    </row>
    <row r="1339">
      <c r="A1339" s="2" t="inlineStr">
        <is>
          <t>Downer</t>
        </is>
      </c>
      <c r="B1339" s="2" t="inlineStr">
        <is>
          <t>Lawrence (6 Irvine St)</t>
        </is>
      </c>
      <c r="C1339" s="2" t="inlineStr">
        <is>
          <t>Depot</t>
        </is>
      </c>
      <c r="D1339" s="2" t="inlineStr">
        <is>
          <t>L9.DNZJ.91419</t>
        </is>
      </c>
      <c r="E1339" s="2" t="inlineStr">
        <is>
          <t>L9.DNZJ.91419</t>
        </is>
      </c>
      <c r="M1339" s="2" t="inlineStr">
        <is>
          <t>Balclutha</t>
        </is>
      </c>
      <c r="N1339" s="2" t="inlineStr">
        <is>
          <t>New Zealand</t>
        </is>
      </c>
      <c r="P1339" s="2" t="inlineStr">
        <is>
          <t>Operational Control</t>
        </is>
      </c>
      <c r="Q1339" s="2" t="inlineStr">
        <is>
          <t>Operational Control</t>
        </is>
      </c>
      <c r="R1339" s="2" t="inlineStr">
        <is>
          <t>Transport &amp; Infrastructure (T&amp;I)</t>
        </is>
      </c>
      <c r="S1339" s="2" t="inlineStr">
        <is>
          <t>Downer</t>
        </is>
      </c>
      <c r="T1339" s="2" t="n">
        <v>100</v>
      </c>
      <c r="W1339" s="2" t="inlineStr">
        <is>
          <t>Classification</t>
        </is>
      </c>
    </row>
    <row r="1340">
      <c r="A1340" s="2" t="inlineStr">
        <is>
          <t>Downer</t>
        </is>
      </c>
      <c r="B1340" s="2" t="inlineStr">
        <is>
          <t>Lawrence Depot</t>
        </is>
      </c>
      <c r="C1340" s="2" t="inlineStr">
        <is>
          <t>Other</t>
        </is>
      </c>
      <c r="D1340" s="2" t="inlineStr">
        <is>
          <t>L9.DNZJ.55688</t>
        </is>
      </c>
      <c r="E1340" s="2" t="n">
        <v>55688</v>
      </c>
      <c r="H1340" s="2" t="inlineStr">
        <is>
          <t>36 Waipori Road</t>
        </is>
      </c>
      <c r="I1340" s="2" t="inlineStr">
        <is>
          <t>Gabriels Gully</t>
        </is>
      </c>
      <c r="J1340" s="2" t="inlineStr">
        <is>
          <t>Gabriels Gully</t>
        </is>
      </c>
      <c r="K1340" s="2" t="n">
        <v>9591</v>
      </c>
      <c r="L1340" s="2" t="inlineStr">
        <is>
          <t>New Zealand</t>
        </is>
      </c>
      <c r="M1340" s="2" t="inlineStr">
        <is>
          <t>Milton</t>
        </is>
      </c>
      <c r="N1340" s="2" t="inlineStr">
        <is>
          <t>New Zealand</t>
        </is>
      </c>
      <c r="P1340" s="2" t="inlineStr">
        <is>
          <t>Operational Control</t>
        </is>
      </c>
      <c r="Q1340" s="2" t="inlineStr">
        <is>
          <t>Operational Control</t>
        </is>
      </c>
      <c r="R1340" s="2" t="inlineStr">
        <is>
          <t>Transport &amp; Infrastructure (T&amp;I)</t>
        </is>
      </c>
      <c r="S1340" s="2" t="inlineStr">
        <is>
          <t>Downer</t>
        </is>
      </c>
      <c r="T1340" s="2" t="n">
        <v>100</v>
      </c>
      <c r="W1340" s="2" t="inlineStr">
        <is>
          <t>Classification</t>
        </is>
      </c>
      <c r="X1340" s="2" t="n">
        <v>-45.9085</v>
      </c>
      <c r="Y1340" s="2" t="n">
        <v>169.7005</v>
      </c>
    </row>
    <row r="1341">
      <c r="A1341" s="2" t="inlineStr">
        <is>
          <t>Downer</t>
        </is>
      </c>
      <c r="B1341" s="2" t="inlineStr">
        <is>
          <t>LBI FM - Wellington EU Subcontractors</t>
        </is>
      </c>
      <c r="C1341" s="2" t="inlineStr">
        <is>
          <t>Other</t>
        </is>
      </c>
      <c r="D1341" s="2" t="inlineStr">
        <is>
          <t>L9.DNZ.810.20876</t>
        </is>
      </c>
      <c r="E1341" s="2" t="inlineStr">
        <is>
          <t>L9.DNZ.810.20876</t>
        </is>
      </c>
      <c r="M1341" s="2" t="inlineStr">
        <is>
          <t>Auckland City</t>
        </is>
      </c>
      <c r="N1341" s="2" t="inlineStr">
        <is>
          <t>New Zealand</t>
        </is>
      </c>
      <c r="P1341" s="2" t="inlineStr">
        <is>
          <t>Operational Control</t>
        </is>
      </c>
      <c r="Q1341" s="2" t="inlineStr">
        <is>
          <t>Operational Control</t>
        </is>
      </c>
      <c r="R1341" s="2" t="inlineStr">
        <is>
          <t>Energy and Utilities (EU)</t>
        </is>
      </c>
      <c r="S1341" s="2" t="inlineStr">
        <is>
          <t>Downer</t>
        </is>
      </c>
      <c r="T1341" s="2" t="n">
        <v>100</v>
      </c>
      <c r="W1341" s="2" t="inlineStr">
        <is>
          <t>Classification</t>
        </is>
      </c>
    </row>
    <row r="1342">
      <c r="A1342" s="2" t="inlineStr">
        <is>
          <t>Downer</t>
        </is>
      </c>
      <c r="B1342" s="2" t="inlineStr">
        <is>
          <t>LBI National Operations EU Subcontractors</t>
        </is>
      </c>
      <c r="C1342" s="2" t="inlineStr">
        <is>
          <t>Other</t>
        </is>
      </c>
      <c r="D1342" s="2" t="inlineStr">
        <is>
          <t>L9.DNZ.810.20785</t>
        </is>
      </c>
      <c r="E1342" s="2" t="inlineStr">
        <is>
          <t>L9.DNZ.810.20785</t>
        </is>
      </c>
      <c r="M1342" s="2" t="inlineStr">
        <is>
          <t>Auckland City</t>
        </is>
      </c>
      <c r="N1342" s="2" t="inlineStr">
        <is>
          <t>New Zealand</t>
        </is>
      </c>
      <c r="P1342" s="2" t="inlineStr">
        <is>
          <t>Operational Control</t>
        </is>
      </c>
      <c r="Q1342" s="2" t="inlineStr">
        <is>
          <t>Operational Control</t>
        </is>
      </c>
      <c r="R1342" s="2" t="inlineStr">
        <is>
          <t>Energy and Utilities (EU)</t>
        </is>
      </c>
      <c r="S1342" s="2" t="inlineStr">
        <is>
          <t>Downer</t>
        </is>
      </c>
      <c r="T1342" s="2" t="n">
        <v>100</v>
      </c>
      <c r="W1342" s="2" t="inlineStr">
        <is>
          <t>Classification</t>
        </is>
      </c>
    </row>
    <row r="1343">
      <c r="A1343" s="2" t="inlineStr">
        <is>
          <t>Downer</t>
        </is>
      </c>
      <c r="B1343" s="2" t="inlineStr">
        <is>
          <t>Learning EU Subcontractors</t>
        </is>
      </c>
      <c r="C1343" s="2" t="inlineStr">
        <is>
          <t>Other</t>
        </is>
      </c>
      <c r="D1343" s="2" t="inlineStr">
        <is>
          <t>L9.DNZ.810.10.060</t>
        </is>
      </c>
      <c r="E1343" s="2" t="inlineStr">
        <is>
          <t>L9.DNZ.810.10.060</t>
        </is>
      </c>
      <c r="F1343" s="2" t="inlineStr">
        <is>
          <t>L9.DNZ.810.10.060</t>
        </is>
      </c>
      <c r="M1343" s="2" t="inlineStr">
        <is>
          <t>Auckland</t>
        </is>
      </c>
      <c r="N1343" s="2" t="inlineStr">
        <is>
          <t>New Zealand</t>
        </is>
      </c>
      <c r="P1343" s="2" t="inlineStr">
        <is>
          <t>Operational Control</t>
        </is>
      </c>
      <c r="Q1343" s="2" t="inlineStr">
        <is>
          <t>Operational Control</t>
        </is>
      </c>
      <c r="R1343" s="2" t="inlineStr">
        <is>
          <t>Energy and Utilities (EU)</t>
        </is>
      </c>
      <c r="S1343" s="2" t="inlineStr">
        <is>
          <t>Downer</t>
        </is>
      </c>
      <c r="T1343" s="2" t="n">
        <v>100</v>
      </c>
      <c r="W1343" s="2" t="inlineStr">
        <is>
          <t>Classification</t>
        </is>
      </c>
    </row>
    <row r="1344">
      <c r="A1344" s="2" t="inlineStr">
        <is>
          <t>Downer</t>
        </is>
      </c>
      <c r="B1344" s="2" t="inlineStr">
        <is>
          <t>LGWM - SP2 THORNDON QUAY</t>
        </is>
      </c>
      <c r="C1344" s="2" t="inlineStr">
        <is>
          <t>Office</t>
        </is>
      </c>
      <c r="D1344" s="2" t="inlineStr">
        <is>
          <t>L9.DNZJ.DS2677</t>
        </is>
      </c>
      <c r="E1344" s="2" t="inlineStr">
        <is>
          <t>JP_DS2677</t>
        </is>
      </c>
      <c r="G1344" s="2" t="inlineStr">
        <is>
          <t>TI-NZT-DS2677 - LGWM - SP2 Thorndon Quay
LVL2/202 Thorndon Quay  Pipitea  Wellington 6011</t>
        </is>
      </c>
      <c r="H1344" s="2" t="inlineStr">
        <is>
          <t>L2, Tenancy 4, 202 Thorndon Quay</t>
        </is>
      </c>
      <c r="I1344" s="2" t="inlineStr">
        <is>
          <t>Pipitea</t>
        </is>
      </c>
      <c r="J1344" s="2" t="inlineStr">
        <is>
          <t>Wellington</t>
        </is>
      </c>
      <c r="K1344" s="2" t="n">
        <v>6011</v>
      </c>
      <c r="M1344" s="2" t="inlineStr">
        <is>
          <t>Wellington</t>
        </is>
      </c>
      <c r="N1344" s="2" t="inlineStr">
        <is>
          <t>New Zealand</t>
        </is>
      </c>
      <c r="P1344" s="2" t="inlineStr">
        <is>
          <t>Operational Control</t>
        </is>
      </c>
      <c r="Q1344" s="2" t="inlineStr">
        <is>
          <t>Operational Control</t>
        </is>
      </c>
      <c r="R1344" s="2" t="inlineStr">
        <is>
          <t>Transport &amp; Infrastructure (T&amp;I)</t>
        </is>
      </c>
      <c r="S1344" s="2" t="inlineStr">
        <is>
          <t>Downer</t>
        </is>
      </c>
      <c r="T1344" s="2" t="n">
        <v>100</v>
      </c>
      <c r="W1344" s="2" t="inlineStr">
        <is>
          <t>Classification</t>
        </is>
      </c>
    </row>
    <row r="1345">
      <c r="A1345" s="2" t="inlineStr">
        <is>
          <t>Downer</t>
        </is>
      </c>
      <c r="B1345" s="2" t="inlineStr">
        <is>
          <t>Light Vehicles</t>
        </is>
      </c>
      <c r="C1345" s="2" t="inlineStr">
        <is>
          <t>Other</t>
        </is>
      </c>
      <c r="D1345" s="2" t="inlineStr">
        <is>
          <t>L9.DNZJ.1904</t>
        </is>
      </c>
      <c r="E1345" s="2" t="n">
        <v>1904</v>
      </c>
      <c r="H1345" s="2" t="inlineStr">
        <is>
          <t>130 Kerrs Road</t>
        </is>
      </c>
      <c r="I1345" s="2" t="inlineStr">
        <is>
          <t>Wiri</t>
        </is>
      </c>
      <c r="J1345" s="2" t="inlineStr">
        <is>
          <t>Auckland</t>
        </is>
      </c>
      <c r="K1345" s="2" t="n">
        <v>2104</v>
      </c>
      <c r="L1345" s="2" t="inlineStr">
        <is>
          <t>New Zealand</t>
        </is>
      </c>
      <c r="M1345" s="2" t="inlineStr">
        <is>
          <t>Manurewa</t>
        </is>
      </c>
      <c r="N1345" s="2" t="inlineStr">
        <is>
          <t>New Zealand</t>
        </is>
      </c>
      <c r="P1345" s="2" t="inlineStr">
        <is>
          <t>Operational Control</t>
        </is>
      </c>
      <c r="Q1345" s="2" t="inlineStr">
        <is>
          <t>Operational Control</t>
        </is>
      </c>
      <c r="R1345" s="2" t="inlineStr">
        <is>
          <t>Transport &amp; Infrastructure (T&amp;I)</t>
        </is>
      </c>
      <c r="S1345" s="2" t="inlineStr">
        <is>
          <t>Downer</t>
        </is>
      </c>
      <c r="T1345" s="2" t="n">
        <v>100</v>
      </c>
      <c r="W1345" s="2" t="inlineStr">
        <is>
          <t>Classification</t>
        </is>
      </c>
      <c r="X1345" s="2" t="n">
        <v>-37.0083</v>
      </c>
      <c r="Y1345" s="2" t="n">
        <v>174.8705</v>
      </c>
    </row>
    <row r="1346">
      <c r="A1346" s="2" t="inlineStr">
        <is>
          <t>Downer</t>
        </is>
      </c>
      <c r="B1346" s="2" t="inlineStr">
        <is>
          <t>Linton Operations - 45002412</t>
        </is>
      </c>
      <c r="C1346" s="2" t="inlineStr">
        <is>
          <t>Other</t>
        </is>
      </c>
      <c r="D1346" s="2" t="inlineStr">
        <is>
          <t>L9.S.24000046</t>
        </is>
      </c>
      <c r="E1346" s="2" t="n">
        <v>2000004494</v>
      </c>
      <c r="H1346" s="2" t="inlineStr">
        <is>
          <t>Fosters Rd (Linton Military Camp)</t>
        </is>
      </c>
      <c r="I1346" s="2" t="inlineStr">
        <is>
          <t>Palmerston North</t>
        </is>
      </c>
      <c r="K1346" s="2" t="n">
        <v>4820</v>
      </c>
      <c r="L1346" s="2" t="inlineStr">
        <is>
          <t>New Zealand</t>
        </is>
      </c>
      <c r="M1346" s="2" t="inlineStr">
        <is>
          <t>Manurewa</t>
        </is>
      </c>
      <c r="N1346" s="2" t="inlineStr">
        <is>
          <t>New Zealand</t>
        </is>
      </c>
      <c r="P1346" s="2" t="inlineStr">
        <is>
          <t>Operational Control</t>
        </is>
      </c>
      <c r="Q1346" s="2" t="inlineStr">
        <is>
          <t>Operational Control</t>
        </is>
      </c>
      <c r="R1346" s="2" t="inlineStr">
        <is>
          <t>Social Infra &amp; Citizen Serv (SICS)</t>
        </is>
      </c>
      <c r="S1346" s="2" t="inlineStr">
        <is>
          <t>Downer</t>
        </is>
      </c>
      <c r="T1346" s="2" t="n">
        <v>100</v>
      </c>
      <c r="W1346" s="2" t="inlineStr">
        <is>
          <t>Classification</t>
        </is>
      </c>
      <c r="X1346" s="2" t="n">
        <v>-37.0083</v>
      </c>
      <c r="Y1346" s="2" t="n">
        <v>174.8705</v>
      </c>
    </row>
    <row r="1347">
      <c r="A1347" s="2" t="inlineStr">
        <is>
          <t>Downer</t>
        </is>
      </c>
      <c r="B1347" s="2" t="inlineStr">
        <is>
          <t>Linton Park Dam Construction</t>
        </is>
      </c>
      <c r="C1347" s="2" t="inlineStr">
        <is>
          <t>Other</t>
        </is>
      </c>
      <c r="D1347" s="2" t="inlineStr">
        <is>
          <t>L9.DNZJ.550718</t>
        </is>
      </c>
      <c r="E1347" s="2" t="n">
        <v>550718</v>
      </c>
      <c r="F1347" s="2" t="n">
        <v>550718</v>
      </c>
      <c r="M1347" s="2" t="inlineStr">
        <is>
          <t>Rotorua</t>
        </is>
      </c>
      <c r="N1347" s="2" t="inlineStr">
        <is>
          <t>New Zealand</t>
        </is>
      </c>
      <c r="P1347" s="2" t="inlineStr">
        <is>
          <t>Operational Control</t>
        </is>
      </c>
      <c r="Q1347" s="2" t="inlineStr">
        <is>
          <t>Operational Control</t>
        </is>
      </c>
      <c r="R1347" s="2" t="inlineStr">
        <is>
          <t>Transport &amp; Infrastructure (T&amp;I)</t>
        </is>
      </c>
      <c r="S1347" s="2" t="inlineStr">
        <is>
          <t>Downer</t>
        </is>
      </c>
      <c r="T1347" s="2" t="n">
        <v>100</v>
      </c>
      <c r="W1347" s="2" t="inlineStr">
        <is>
          <t>Classification</t>
        </is>
      </c>
    </row>
    <row r="1348">
      <c r="A1348" s="2" t="inlineStr">
        <is>
          <t>Downer</t>
        </is>
      </c>
      <c r="B1348" s="2" t="inlineStr">
        <is>
          <t>LINTON PARK SPILLWAY</t>
        </is>
      </c>
      <c r="C1348" s="2" t="inlineStr">
        <is>
          <t>Other</t>
        </is>
      </c>
      <c r="D1348" s="2" t="inlineStr">
        <is>
          <t>L9.DNZJ.DN1202</t>
        </is>
      </c>
      <c r="E1348" s="2" t="inlineStr">
        <is>
          <t>JP_DN1202</t>
        </is>
      </c>
      <c r="M1348" s="2" t="inlineStr">
        <is>
          <t>Manurewa</t>
        </is>
      </c>
      <c r="N1348" s="2" t="inlineStr">
        <is>
          <t>New Zealand</t>
        </is>
      </c>
      <c r="P1348" s="2" t="inlineStr">
        <is>
          <t>Operational Control</t>
        </is>
      </c>
      <c r="Q1348" s="2" t="inlineStr">
        <is>
          <t>Operational Control</t>
        </is>
      </c>
      <c r="R1348" s="2" t="inlineStr">
        <is>
          <t>Transport &amp; Infrastructure (T&amp;I)</t>
        </is>
      </c>
      <c r="S1348" s="2" t="inlineStr">
        <is>
          <t>Downer</t>
        </is>
      </c>
      <c r="T1348" s="2" t="n">
        <v>100</v>
      </c>
      <c r="W1348" s="2" t="inlineStr">
        <is>
          <t>Classification</t>
        </is>
      </c>
    </row>
    <row r="1349">
      <c r="A1349" s="2" t="inlineStr">
        <is>
          <t>Downer</t>
        </is>
      </c>
      <c r="B1349" s="2" t="inlineStr">
        <is>
          <t>Lloyd Elsmore Park</t>
        </is>
      </c>
      <c r="C1349" s="2" t="inlineStr">
        <is>
          <t>Other</t>
        </is>
      </c>
      <c r="D1349" s="2" t="inlineStr">
        <is>
          <t>L9.DNZJ.553198</t>
        </is>
      </c>
      <c r="E1349" s="2" t="n">
        <v>553198</v>
      </c>
      <c r="H1349" s="2" t="inlineStr">
        <is>
          <t>Pakuranga Heights</t>
        </is>
      </c>
      <c r="I1349" s="2" t="inlineStr">
        <is>
          <t>Auckland</t>
        </is>
      </c>
      <c r="J1349" s="2" t="inlineStr">
        <is>
          <t>Auckland</t>
        </is>
      </c>
      <c r="K1349" s="2" t="n">
        <v>2010</v>
      </c>
      <c r="L1349" s="2" t="inlineStr">
        <is>
          <t>New Zealand</t>
        </is>
      </c>
      <c r="M1349" s="2" t="inlineStr">
        <is>
          <t>Panmure</t>
        </is>
      </c>
      <c r="N1349" s="2" t="inlineStr">
        <is>
          <t>New Zealand</t>
        </is>
      </c>
      <c r="P1349" s="2" t="inlineStr">
        <is>
          <t>Operational Control</t>
        </is>
      </c>
      <c r="Q1349" s="2" t="inlineStr">
        <is>
          <t>Operational Control</t>
        </is>
      </c>
      <c r="R1349" s="2" t="inlineStr">
        <is>
          <t>Transport &amp; Infrastructure (T&amp;I)</t>
        </is>
      </c>
      <c r="S1349" s="2" t="inlineStr">
        <is>
          <t>Downer</t>
        </is>
      </c>
      <c r="T1349" s="2" t="n">
        <v>100</v>
      </c>
      <c r="W1349" s="2" t="inlineStr">
        <is>
          <t>Classification</t>
        </is>
      </c>
      <c r="X1349" s="2" t="n">
        <v>-36.9126</v>
      </c>
      <c r="Y1349" s="2" t="n">
        <v>174.8838</v>
      </c>
    </row>
    <row r="1350">
      <c r="A1350" s="2" t="inlineStr">
        <is>
          <t>Downer</t>
        </is>
      </c>
      <c r="B1350" s="2" t="inlineStr">
        <is>
          <t>LOGAN WIPA EU Subcontractors</t>
        </is>
      </c>
      <c r="C1350" s="2" t="inlineStr">
        <is>
          <t>Other</t>
        </is>
      </c>
      <c r="D1350" s="2" t="inlineStr">
        <is>
          <t>L9.J.241697</t>
        </is>
      </c>
      <c r="E1350" s="2" t="inlineStr">
        <is>
          <t>L9.J.241697</t>
        </is>
      </c>
      <c r="M1350" s="2" t="inlineStr">
        <is>
          <t>North Ryde</t>
        </is>
      </c>
      <c r="N1350" s="2" t="inlineStr">
        <is>
          <t>Australia</t>
        </is>
      </c>
      <c r="P1350" s="2" t="inlineStr">
        <is>
          <t>Operational Control</t>
        </is>
      </c>
      <c r="Q1350" s="2" t="inlineStr">
        <is>
          <t>Operational Control</t>
        </is>
      </c>
      <c r="R1350" s="2" t="inlineStr">
        <is>
          <t>Energy and Utilities (EU)</t>
        </is>
      </c>
      <c r="S1350" s="2" t="inlineStr">
        <is>
          <t>Downer</t>
        </is>
      </c>
      <c r="T1350" s="2" t="n">
        <v>100</v>
      </c>
      <c r="W1350" s="2" t="inlineStr">
        <is>
          <t>Classification</t>
        </is>
      </c>
    </row>
    <row r="1351">
      <c r="A1351" s="2" t="inlineStr">
        <is>
          <t>Downer</t>
        </is>
      </c>
      <c r="B1351" s="2" t="inlineStr">
        <is>
          <t>LOGISTICS OPERATIONS EU Subcontractors</t>
        </is>
      </c>
      <c r="C1351" s="2" t="inlineStr">
        <is>
          <t>Other</t>
        </is>
      </c>
      <c r="D1351" s="2" t="inlineStr">
        <is>
          <t>L9.DNZJ.63985</t>
        </is>
      </c>
      <c r="E1351" s="2" t="inlineStr">
        <is>
          <t>L9.DNZJ.63985</t>
        </is>
      </c>
      <c r="F1351" s="2" t="inlineStr">
        <is>
          <t>L9.DNZJ.63985</t>
        </is>
      </c>
      <c r="M1351" s="2" t="inlineStr">
        <is>
          <t>Auckland</t>
        </is>
      </c>
      <c r="N1351" s="2" t="inlineStr">
        <is>
          <t>New Zealand</t>
        </is>
      </c>
      <c r="P1351" s="2" t="inlineStr">
        <is>
          <t>Operational Control</t>
        </is>
      </c>
      <c r="Q1351" s="2" t="inlineStr">
        <is>
          <t>Operational Control</t>
        </is>
      </c>
      <c r="R1351" s="2" t="inlineStr">
        <is>
          <t>Energy and Utilities (EU)</t>
        </is>
      </c>
      <c r="S1351" s="2" t="inlineStr">
        <is>
          <t>Downer</t>
        </is>
      </c>
      <c r="T1351" s="2" t="n">
        <v>100</v>
      </c>
      <c r="W1351" s="2" t="inlineStr">
        <is>
          <t>Classification</t>
        </is>
      </c>
    </row>
    <row r="1352">
      <c r="A1352" s="2" t="inlineStr">
        <is>
          <t>Downer</t>
        </is>
      </c>
      <c r="B1352" s="2" t="inlineStr">
        <is>
          <t>Logistics Ops North Island</t>
        </is>
      </c>
      <c r="C1352" s="2" t="inlineStr">
        <is>
          <t>Other</t>
        </is>
      </c>
      <c r="D1352" s="2" t="inlineStr">
        <is>
          <t>L9.DNZ.810.10.033</t>
        </is>
      </c>
      <c r="E1352" s="2" t="n">
        <v>10033</v>
      </c>
      <c r="G1352" s="2" t="n">
        <v>10.033</v>
      </c>
      <c r="H1352" s="2" t="inlineStr">
        <is>
          <t>130 Kerrs Road</t>
        </is>
      </c>
      <c r="I1352" s="2" t="inlineStr">
        <is>
          <t>Wiri</t>
        </is>
      </c>
      <c r="J1352" s="2" t="inlineStr">
        <is>
          <t>Auckland</t>
        </is>
      </c>
      <c r="K1352" s="2" t="n">
        <v>2104</v>
      </c>
      <c r="L1352" s="2" t="inlineStr">
        <is>
          <t>New Zealand</t>
        </is>
      </c>
      <c r="M1352" s="2" t="inlineStr">
        <is>
          <t>Manurewa</t>
        </is>
      </c>
      <c r="N1352" s="2" t="inlineStr">
        <is>
          <t>New Zealand</t>
        </is>
      </c>
      <c r="P1352" s="2" t="inlineStr">
        <is>
          <t>Operational Control</t>
        </is>
      </c>
      <c r="Q1352" s="2" t="inlineStr">
        <is>
          <t>Operational Control</t>
        </is>
      </c>
      <c r="R1352" s="2" t="inlineStr">
        <is>
          <t>Energy and Utilities (EU)</t>
        </is>
      </c>
      <c r="S1352" s="2" t="inlineStr">
        <is>
          <t>Downer</t>
        </is>
      </c>
      <c r="T1352" s="2" t="n">
        <v>100</v>
      </c>
      <c r="W1352" s="2" t="inlineStr">
        <is>
          <t>Classification</t>
        </is>
      </c>
      <c r="X1352" s="2" t="n">
        <v>-37.0083</v>
      </c>
      <c r="Y1352" s="2" t="n">
        <v>174.8705</v>
      </c>
    </row>
    <row r="1353">
      <c r="A1353" s="2" t="inlineStr">
        <is>
          <t>Downer</t>
        </is>
      </c>
      <c r="B1353" s="2" t="inlineStr">
        <is>
          <t>Logistics Ops South Island</t>
        </is>
      </c>
      <c r="C1353" s="2" t="inlineStr">
        <is>
          <t>Other</t>
        </is>
      </c>
      <c r="D1353" s="2" t="inlineStr">
        <is>
          <t>L9.DNZJ.63981</t>
        </is>
      </c>
      <c r="E1353" s="2" t="n">
        <v>63981</v>
      </c>
      <c r="H1353" s="2" t="inlineStr">
        <is>
          <t>31 Canada Crescent</t>
        </is>
      </c>
      <c r="I1353" s="2" t="inlineStr">
        <is>
          <t>Hornby South</t>
        </is>
      </c>
      <c r="J1353" s="2" t="inlineStr">
        <is>
          <t>Christchurch</t>
        </is>
      </c>
      <c r="K1353" s="2" t="n">
        <v>8042</v>
      </c>
      <c r="L1353" s="2" t="inlineStr">
        <is>
          <t>New Zealand</t>
        </is>
      </c>
      <c r="M1353" s="2" t="inlineStr">
        <is>
          <t>Christchurch</t>
        </is>
      </c>
      <c r="N1353" s="2" t="inlineStr">
        <is>
          <t>New Zealand</t>
        </is>
      </c>
      <c r="P1353" s="2" t="inlineStr">
        <is>
          <t>Operational Control</t>
        </is>
      </c>
      <c r="Q1353" s="2" t="inlineStr">
        <is>
          <t>Operational Control</t>
        </is>
      </c>
      <c r="R1353" s="2" t="inlineStr">
        <is>
          <t>Energy and Utilities (EU)</t>
        </is>
      </c>
      <c r="S1353" s="2" t="inlineStr">
        <is>
          <t>Downer</t>
        </is>
      </c>
      <c r="T1353" s="2" t="n">
        <v>100</v>
      </c>
      <c r="W1353" s="2" t="inlineStr">
        <is>
          <t>Classification</t>
        </is>
      </c>
      <c r="X1353" s="2" t="n">
        <v>-43.5606</v>
      </c>
      <c r="Y1353" s="2" t="n">
        <v>172.5185</v>
      </c>
    </row>
    <row r="1354">
      <c r="A1354" s="2" t="inlineStr">
        <is>
          <t>Downer</t>
        </is>
      </c>
      <c r="B1354" s="2" t="inlineStr">
        <is>
          <t>LOGISTICS PROJECTS EU Subcontractors</t>
        </is>
      </c>
      <c r="C1354" s="2" t="inlineStr">
        <is>
          <t>Other</t>
        </is>
      </c>
      <c r="D1354" s="2" t="inlineStr">
        <is>
          <t>L9.DNZ.810.10.039</t>
        </is>
      </c>
      <c r="E1354" s="2" t="inlineStr">
        <is>
          <t>L9.DNZ.810.10.039</t>
        </is>
      </c>
      <c r="F1354" s="2" t="inlineStr">
        <is>
          <t>L9.DNZ.810.10.039</t>
        </is>
      </c>
      <c r="M1354" s="2" t="inlineStr">
        <is>
          <t>Auckland</t>
        </is>
      </c>
      <c r="N1354" s="2" t="inlineStr">
        <is>
          <t>New Zealand</t>
        </is>
      </c>
      <c r="P1354" s="2" t="inlineStr">
        <is>
          <t>Operational Control</t>
        </is>
      </c>
      <c r="Q1354" s="2" t="inlineStr">
        <is>
          <t>Operational Control</t>
        </is>
      </c>
      <c r="R1354" s="2" t="inlineStr">
        <is>
          <t>Energy and Utilities (EU)</t>
        </is>
      </c>
      <c r="S1354" s="2" t="inlineStr">
        <is>
          <t>Downer</t>
        </is>
      </c>
      <c r="T1354" s="2" t="n">
        <v>100</v>
      </c>
      <c r="W1354" s="2" t="inlineStr">
        <is>
          <t>Classification</t>
        </is>
      </c>
    </row>
    <row r="1355">
      <c r="A1355" s="2" t="inlineStr">
        <is>
          <t>Downer</t>
        </is>
      </c>
      <c r="B1355" s="2" t="inlineStr">
        <is>
          <t>Lotus Creek Transmission Line</t>
        </is>
      </c>
      <c r="C1355" s="2" t="inlineStr">
        <is>
          <t>Infrastructure</t>
        </is>
      </c>
      <c r="D1355" s="2" t="inlineStr">
        <is>
          <t>L9.J.37740125</t>
        </is>
      </c>
      <c r="E1355" s="2" t="n">
        <v>37740125</v>
      </c>
      <c r="H1355" s="2" t="inlineStr">
        <is>
          <t>Lotus Creek, QLD Australia</t>
        </is>
      </c>
      <c r="I1355" s="2" t="inlineStr">
        <is>
          <t>Lotus Creek</t>
        </is>
      </c>
      <c r="M1355" s="2" t="inlineStr">
        <is>
          <t>Queensland</t>
        </is>
      </c>
      <c r="N1355" s="2" t="inlineStr">
        <is>
          <t>Australia</t>
        </is>
      </c>
      <c r="P1355" s="2" t="inlineStr">
        <is>
          <t>Operational Control</t>
        </is>
      </c>
      <c r="Q1355" s="2" t="inlineStr">
        <is>
          <t>Operational Control</t>
        </is>
      </c>
      <c r="R1355" s="2" t="inlineStr">
        <is>
          <t>Energy and Utilities (EU)</t>
        </is>
      </c>
      <c r="S1355" s="2" t="inlineStr">
        <is>
          <t>Downer</t>
        </is>
      </c>
      <c r="T1355" s="2" t="n">
        <v>100</v>
      </c>
      <c r="W1355" s="2" t="inlineStr">
        <is>
          <t>Classification</t>
        </is>
      </c>
    </row>
    <row r="1356">
      <c r="A1356" s="2" t="inlineStr">
        <is>
          <t>Downer</t>
        </is>
      </c>
      <c r="B1356" s="2" t="inlineStr">
        <is>
          <t>Lower Hutt (26A Bracken St)</t>
        </is>
      </c>
      <c r="C1356" s="2" t="inlineStr">
        <is>
          <t>Other</t>
        </is>
      </c>
      <c r="D1356" s="2" t="inlineStr">
        <is>
          <t>L9.DNZJ.91266</t>
        </is>
      </c>
      <c r="E1356" s="2" t="n">
        <v>91266</v>
      </c>
      <c r="H1356" s="2" t="inlineStr">
        <is>
          <t>26A Bracken Street</t>
        </is>
      </c>
      <c r="I1356" s="2" t="inlineStr">
        <is>
          <t>Petone</t>
        </is>
      </c>
      <c r="J1356" s="2" t="inlineStr">
        <is>
          <t>Lower Hutt</t>
        </is>
      </c>
      <c r="K1356" s="2" t="n">
        <v>5012</v>
      </c>
      <c r="L1356" s="2" t="inlineStr">
        <is>
          <t>New Zealand</t>
        </is>
      </c>
      <c r="M1356" s="2" t="inlineStr">
        <is>
          <t>Lower Hutt</t>
        </is>
      </c>
      <c r="N1356" s="2" t="inlineStr">
        <is>
          <t>New Zealand</t>
        </is>
      </c>
      <c r="P1356" s="2" t="inlineStr">
        <is>
          <t>Operational Control</t>
        </is>
      </c>
      <c r="Q1356" s="2" t="inlineStr">
        <is>
          <t>Operational Control</t>
        </is>
      </c>
      <c r="R1356" s="2" t="inlineStr">
        <is>
          <t>Corporate</t>
        </is>
      </c>
      <c r="S1356" s="2" t="inlineStr">
        <is>
          <t>Downer</t>
        </is>
      </c>
      <c r="T1356" s="2" t="n">
        <v>100</v>
      </c>
      <c r="W1356" s="2" t="inlineStr">
        <is>
          <t>Classification</t>
        </is>
      </c>
      <c r="X1356" s="2" t="n">
        <v>-41.2241</v>
      </c>
      <c r="Y1356" s="2" t="n">
        <v>174.8937</v>
      </c>
    </row>
    <row r="1357">
      <c r="A1357" s="2" t="inlineStr">
        <is>
          <t>Downer</t>
        </is>
      </c>
      <c r="B1357" s="2" t="inlineStr">
        <is>
          <t>Lower Hutt (3-69 Hutt Rd)</t>
        </is>
      </c>
      <c r="C1357" s="2" t="inlineStr">
        <is>
          <t>Other</t>
        </is>
      </c>
      <c r="D1357" s="2" t="inlineStr">
        <is>
          <t>L9.DNZJ.91377</t>
        </is>
      </c>
      <c r="E1357" s="2" t="n">
        <v>91377</v>
      </c>
      <c r="H1357" s="2" t="inlineStr">
        <is>
          <t>3/69 Hutt Rd</t>
        </is>
      </c>
      <c r="I1357" s="2" t="inlineStr">
        <is>
          <t>Petone</t>
        </is>
      </c>
      <c r="J1357" s="2" t="inlineStr">
        <is>
          <t>Lower Hutt</t>
        </is>
      </c>
      <c r="K1357" s="2" t="n">
        <v>5012</v>
      </c>
      <c r="M1357" s="2" t="inlineStr">
        <is>
          <t>Manurewa</t>
        </is>
      </c>
      <c r="N1357" s="2" t="inlineStr">
        <is>
          <t>New Zealand</t>
        </is>
      </c>
      <c r="P1357" s="2" t="inlineStr">
        <is>
          <t>Operational Control</t>
        </is>
      </c>
      <c r="Q1357" s="2" t="inlineStr">
        <is>
          <t>Operational Control</t>
        </is>
      </c>
      <c r="R1357" s="2" t="inlineStr">
        <is>
          <t>Corporate</t>
        </is>
      </c>
      <c r="S1357" s="2" t="inlineStr">
        <is>
          <t>Downer</t>
        </is>
      </c>
      <c r="T1357" s="2" t="n">
        <v>100</v>
      </c>
      <c r="W1357" s="2" t="inlineStr">
        <is>
          <t>Classification</t>
        </is>
      </c>
    </row>
    <row r="1358">
      <c r="A1358" s="2" t="inlineStr">
        <is>
          <t>Downer</t>
        </is>
      </c>
      <c r="B1358" s="2" t="inlineStr">
        <is>
          <t>Lower North Design</t>
        </is>
      </c>
      <c r="C1358" s="2" t="inlineStr">
        <is>
          <t>Other</t>
        </is>
      </c>
      <c r="D1358" s="2" t="inlineStr">
        <is>
          <t>L9.DNZ.810.10.261</t>
        </is>
      </c>
      <c r="E1358" s="2" t="n">
        <v>10261</v>
      </c>
      <c r="G1358" s="2" t="n">
        <v>10.261</v>
      </c>
      <c r="H1358" s="2" t="inlineStr">
        <is>
          <t>130 Kerrs Road</t>
        </is>
      </c>
      <c r="I1358" s="2" t="inlineStr">
        <is>
          <t>Wiri</t>
        </is>
      </c>
      <c r="J1358" s="2" t="inlineStr">
        <is>
          <t>Auckland</t>
        </is>
      </c>
      <c r="K1358" s="2" t="n">
        <v>2104</v>
      </c>
      <c r="L1358" s="2" t="inlineStr">
        <is>
          <t>New Zealand</t>
        </is>
      </c>
      <c r="M1358" s="2" t="inlineStr">
        <is>
          <t>Manurewa</t>
        </is>
      </c>
      <c r="N1358" s="2" t="inlineStr">
        <is>
          <t>New Zealand</t>
        </is>
      </c>
      <c r="P1358" s="2" t="inlineStr">
        <is>
          <t>Operational Control</t>
        </is>
      </c>
      <c r="Q1358" s="2" t="inlineStr">
        <is>
          <t>Operational Control</t>
        </is>
      </c>
      <c r="R1358" s="2" t="inlineStr">
        <is>
          <t>Energy and Utilities (EU)</t>
        </is>
      </c>
      <c r="S1358" s="2" t="inlineStr">
        <is>
          <t>Downer</t>
        </is>
      </c>
      <c r="T1358" s="2" t="n">
        <v>100</v>
      </c>
      <c r="W1358" s="2" t="inlineStr">
        <is>
          <t>Classification</t>
        </is>
      </c>
      <c r="X1358" s="2" t="n">
        <v>-37.0083</v>
      </c>
      <c r="Y1358" s="2" t="n">
        <v>174.8705</v>
      </c>
    </row>
    <row r="1359">
      <c r="A1359" s="2" t="inlineStr">
        <is>
          <t>Downer</t>
        </is>
      </c>
      <c r="B1359" s="2" t="inlineStr">
        <is>
          <t>Lower North Island Corrections</t>
        </is>
      </c>
      <c r="C1359" s="2" t="inlineStr">
        <is>
          <t>Other</t>
        </is>
      </c>
      <c r="D1359" s="2" t="inlineStr">
        <is>
          <t>L9.DNZ.810.10.135</t>
        </is>
      </c>
      <c r="E1359" s="2" t="n">
        <v>10135</v>
      </c>
      <c r="G1359" s="2" t="n">
        <v>10.135</v>
      </c>
      <c r="H1359" s="2" t="inlineStr">
        <is>
          <t>130 Kerrs Road</t>
        </is>
      </c>
      <c r="I1359" s="2" t="inlineStr">
        <is>
          <t>Wiri</t>
        </is>
      </c>
      <c r="J1359" s="2" t="inlineStr">
        <is>
          <t>Auckland</t>
        </is>
      </c>
      <c r="K1359" s="2" t="n">
        <v>2104</v>
      </c>
      <c r="L1359" s="2" t="inlineStr">
        <is>
          <t>New Zealand</t>
        </is>
      </c>
      <c r="M1359" s="2" t="inlineStr">
        <is>
          <t>Manurewa</t>
        </is>
      </c>
      <c r="N1359" s="2" t="inlineStr">
        <is>
          <t>New Zealand</t>
        </is>
      </c>
      <c r="P1359" s="2" t="inlineStr">
        <is>
          <t>Operational Control</t>
        </is>
      </c>
      <c r="Q1359" s="2" t="inlineStr">
        <is>
          <t>Operational Control</t>
        </is>
      </c>
      <c r="R1359" s="2" t="inlineStr">
        <is>
          <t>Social Infra &amp; Citizen Serv (SICS)</t>
        </is>
      </c>
      <c r="S1359" s="2" t="inlineStr">
        <is>
          <t>Downer</t>
        </is>
      </c>
      <c r="T1359" s="2" t="n">
        <v>100</v>
      </c>
      <c r="W1359" s="2" t="inlineStr">
        <is>
          <t>Classification</t>
        </is>
      </c>
      <c r="X1359" s="2" t="n">
        <v>-37.0083</v>
      </c>
      <c r="Y1359" s="2" t="n">
        <v>174.8705</v>
      </c>
    </row>
    <row r="1360">
      <c r="A1360" s="2" t="inlineStr">
        <is>
          <t>Downer</t>
        </is>
      </c>
      <c r="B1360" s="2" t="inlineStr">
        <is>
          <t>Lower North Regional</t>
        </is>
      </c>
      <c r="C1360" s="2" t="inlineStr">
        <is>
          <t>Other</t>
        </is>
      </c>
      <c r="D1360" s="2" t="inlineStr">
        <is>
          <t>L9.DNZ.810.10.136</t>
        </is>
      </c>
      <c r="E1360" s="2" t="n">
        <v>10136</v>
      </c>
      <c r="G1360" s="2" t="n">
        <v>10.136</v>
      </c>
      <c r="H1360" s="2" t="inlineStr">
        <is>
          <t>130 Kerrs Road</t>
        </is>
      </c>
      <c r="I1360" s="2" t="inlineStr">
        <is>
          <t>Wiri</t>
        </is>
      </c>
      <c r="J1360" s="2" t="inlineStr">
        <is>
          <t>Auckland</t>
        </is>
      </c>
      <c r="K1360" s="2" t="n">
        <v>2104</v>
      </c>
      <c r="L1360" s="2" t="inlineStr">
        <is>
          <t>New Zealand</t>
        </is>
      </c>
      <c r="M1360" s="2" t="inlineStr">
        <is>
          <t>Manurewa</t>
        </is>
      </c>
      <c r="N1360" s="2" t="inlineStr">
        <is>
          <t>New Zealand</t>
        </is>
      </c>
      <c r="P1360" s="2" t="inlineStr">
        <is>
          <t>Operational Control</t>
        </is>
      </c>
      <c r="Q1360" s="2" t="inlineStr">
        <is>
          <t>Operational Control</t>
        </is>
      </c>
      <c r="R1360" s="2" t="inlineStr">
        <is>
          <t>Social Infra &amp; Citizen Serv (SICS)</t>
        </is>
      </c>
      <c r="S1360" s="2" t="inlineStr">
        <is>
          <t>Downer</t>
        </is>
      </c>
      <c r="T1360" s="2" t="n">
        <v>100</v>
      </c>
      <c r="W1360" s="2" t="inlineStr">
        <is>
          <t>Classification</t>
        </is>
      </c>
      <c r="X1360" s="2" t="n">
        <v>-37.0083</v>
      </c>
      <c r="Y1360" s="2" t="n">
        <v>174.8705</v>
      </c>
    </row>
    <row r="1361">
      <c r="A1361" s="2" t="inlineStr">
        <is>
          <t>Downer</t>
        </is>
      </c>
      <c r="B1361" s="2" t="inlineStr">
        <is>
          <t>LSE - Perth Convention &amp; Exhibition Centre (WA)</t>
        </is>
      </c>
      <c r="C1361" s="2" t="inlineStr">
        <is>
          <t>Facility</t>
        </is>
      </c>
      <c r="D1361" s="2" t="inlineStr">
        <is>
          <t>L9.S.16011871</t>
        </is>
      </c>
      <c r="E1361" s="2" t="n">
        <v>9068</v>
      </c>
      <c r="H1361" s="2" t="inlineStr">
        <is>
          <t>21 Mounts Bay Rd</t>
        </is>
      </c>
      <c r="I1361" s="2" t="inlineStr">
        <is>
          <t>Perth</t>
        </is>
      </c>
      <c r="J1361" s="2" t="inlineStr">
        <is>
          <t>WA</t>
        </is>
      </c>
      <c r="K1361" s="2" t="n">
        <v>6000</v>
      </c>
      <c r="M1361" s="2" t="inlineStr">
        <is>
          <t>Western Australia</t>
        </is>
      </c>
      <c r="N1361" s="2" t="inlineStr">
        <is>
          <t>Australia</t>
        </is>
      </c>
      <c r="P1361" s="2" t="inlineStr">
        <is>
          <t>Operational Control</t>
        </is>
      </c>
      <c r="Q1361" s="2" t="inlineStr">
        <is>
          <t>Operational Control</t>
        </is>
      </c>
      <c r="R1361" s="2" t="inlineStr">
        <is>
          <t>Social Infra &amp; Citizen Serv (SICS)</t>
        </is>
      </c>
      <c r="S1361" s="2" t="inlineStr">
        <is>
          <t>Downer</t>
        </is>
      </c>
      <c r="T1361" s="2" t="n">
        <v>100</v>
      </c>
      <c r="W1361" s="2" t="inlineStr">
        <is>
          <t>Classification</t>
        </is>
      </c>
      <c r="X1361" s="2" t="n">
        <v>-31.956872</v>
      </c>
      <c r="Y1361" s="2" t="n">
        <v>115.853601</v>
      </c>
      <c r="Z1361" s="2" t="n">
        <v>451</v>
      </c>
    </row>
    <row r="1362">
      <c r="A1362" s="2" t="inlineStr">
        <is>
          <t>Downer</t>
        </is>
      </c>
      <c r="B1362" s="2" t="inlineStr">
        <is>
          <t>LSE - Zinc (VIC)</t>
        </is>
      </c>
      <c r="C1362" s="2" t="inlineStr">
        <is>
          <t>Facility</t>
        </is>
      </c>
      <c r="D1362" s="2" t="inlineStr">
        <is>
          <t>L9.S.16008450</t>
        </is>
      </c>
      <c r="E1362" s="2" t="n">
        <v>9070</v>
      </c>
      <c r="H1362" s="2" t="inlineStr">
        <is>
          <t>Cnr Swanston and Flinders St Federation Bld</t>
        </is>
      </c>
      <c r="I1362" s="2" t="inlineStr">
        <is>
          <t>Melbourne</t>
        </is>
      </c>
      <c r="J1362" s="2" t="inlineStr">
        <is>
          <t>VIC</t>
        </is>
      </c>
      <c r="K1362" s="2" t="n">
        <v>3000</v>
      </c>
      <c r="M1362" s="2" t="inlineStr">
        <is>
          <t>Victoria</t>
        </is>
      </c>
      <c r="N1362" s="2" t="inlineStr">
        <is>
          <t>Australia</t>
        </is>
      </c>
      <c r="P1362" s="2" t="inlineStr">
        <is>
          <t>Operational Control</t>
        </is>
      </c>
      <c r="Q1362" s="2" t="inlineStr">
        <is>
          <t>Operational Control</t>
        </is>
      </c>
      <c r="R1362" s="2" t="inlineStr">
        <is>
          <t>Social Infra &amp; Citizen Serv (SICS)</t>
        </is>
      </c>
      <c r="S1362" s="2" t="inlineStr">
        <is>
          <t>Downer</t>
        </is>
      </c>
      <c r="T1362" s="2" t="n">
        <v>100</v>
      </c>
      <c r="W1362" s="2" t="inlineStr">
        <is>
          <t>Classification</t>
        </is>
      </c>
      <c r="X1362" s="2" t="n">
        <v>-37.817425</v>
      </c>
      <c r="Y1362" s="2" t="n">
        <v>144.9696</v>
      </c>
      <c r="Z1362" s="2" t="n">
        <v>451</v>
      </c>
    </row>
    <row r="1363">
      <c r="A1363" s="2" t="inlineStr">
        <is>
          <t>Downer</t>
        </is>
      </c>
      <c r="B1363" s="2" t="inlineStr">
        <is>
          <t>LTP Reservoirs Construction</t>
        </is>
      </c>
      <c r="C1363" s="2" t="inlineStr">
        <is>
          <t>Other</t>
        </is>
      </c>
      <c r="D1363" s="2" t="inlineStr">
        <is>
          <t>L9.DNZJ.DN1181</t>
        </is>
      </c>
      <c r="E1363" s="2" t="inlineStr">
        <is>
          <t>JP_DN1181</t>
        </is>
      </c>
      <c r="H1363" s="2" t="inlineStr">
        <is>
          <t>43 Rawiri Drive</t>
        </is>
      </c>
      <c r="I1363" s="2" t="inlineStr">
        <is>
          <t>Bell Block</t>
        </is>
      </c>
      <c r="J1363" s="2" t="inlineStr">
        <is>
          <t>New Plymouth</t>
        </is>
      </c>
      <c r="K1363" s="2" t="n">
        <v>4312</v>
      </c>
      <c r="L1363" s="2" t="inlineStr">
        <is>
          <t>New Zealand</t>
        </is>
      </c>
      <c r="M1363" s="2" t="inlineStr">
        <is>
          <t>New Plymouth</t>
        </is>
      </c>
      <c r="N1363" s="2" t="inlineStr">
        <is>
          <t>New Zealand</t>
        </is>
      </c>
      <c r="P1363" s="2" t="inlineStr">
        <is>
          <t>Operational Control</t>
        </is>
      </c>
      <c r="Q1363" s="2" t="inlineStr">
        <is>
          <t>Operational Control</t>
        </is>
      </c>
      <c r="R1363" s="2" t="inlineStr">
        <is>
          <t>Transport &amp; Infrastructure (T&amp;I)</t>
        </is>
      </c>
      <c r="S1363" s="2" t="inlineStr">
        <is>
          <t>Downer</t>
        </is>
      </c>
      <c r="T1363" s="2" t="n">
        <v>100</v>
      </c>
      <c r="W1363" s="2" t="inlineStr">
        <is>
          <t>Classification</t>
        </is>
      </c>
      <c r="X1363" s="2" t="n">
        <v>-39.0268</v>
      </c>
      <c r="Y1363" s="2" t="n">
        <v>174.1604</v>
      </c>
    </row>
    <row r="1364">
      <c r="A1364" s="2" t="inlineStr">
        <is>
          <t>Downer</t>
        </is>
      </c>
      <c r="B1364" s="2" t="inlineStr">
        <is>
          <t>LYTTELTON PORT WORKSHOPS-PCSA</t>
        </is>
      </c>
      <c r="C1364" s="2" t="inlineStr">
        <is>
          <t>Other</t>
        </is>
      </c>
      <c r="D1364" s="2" t="inlineStr">
        <is>
          <t>L9.DNZ.HS0160</t>
        </is>
      </c>
      <c r="E1364" s="2" t="inlineStr">
        <is>
          <t>JP_HS0160</t>
        </is>
      </c>
      <c r="M1364" s="2" t="inlineStr">
        <is>
          <t>Manurewa</t>
        </is>
      </c>
      <c r="N1364" s="2" t="inlineStr">
        <is>
          <t>New Zealand</t>
        </is>
      </c>
      <c r="P1364" s="2" t="inlineStr">
        <is>
          <t>Operational Control</t>
        </is>
      </c>
      <c r="Q1364" s="2" t="inlineStr">
        <is>
          <t>Operational Control</t>
        </is>
      </c>
      <c r="R1364" s="2" t="inlineStr">
        <is>
          <t>Transport &amp; Infrastructure (T&amp;I)</t>
        </is>
      </c>
      <c r="S1364" s="2" t="inlineStr">
        <is>
          <t>Downer</t>
        </is>
      </c>
      <c r="T1364" s="2" t="n">
        <v>100</v>
      </c>
      <c r="W1364" s="2" t="inlineStr">
        <is>
          <t>Classification</t>
        </is>
      </c>
    </row>
    <row r="1365">
      <c r="A1365" s="2" t="inlineStr">
        <is>
          <t>Downer</t>
        </is>
      </c>
      <c r="B1365" s="2" t="inlineStr">
        <is>
          <t>Maddington - BIT</t>
        </is>
      </c>
      <c r="C1365" s="2" t="inlineStr">
        <is>
          <t>Depot</t>
        </is>
      </c>
      <c r="D1365" s="2" t="inlineStr">
        <is>
          <t>L9.J.170617</t>
        </is>
      </c>
      <c r="E1365" s="2" t="n">
        <v>171</v>
      </c>
      <c r="H1365" s="2" t="inlineStr">
        <is>
          <t>5 Marion Road</t>
        </is>
      </c>
      <c r="I1365" s="2" t="inlineStr">
        <is>
          <t>Maddington</t>
        </is>
      </c>
      <c r="J1365" s="2" t="inlineStr">
        <is>
          <t>WA</t>
        </is>
      </c>
      <c r="K1365" s="2" t="n">
        <v>6109</v>
      </c>
      <c r="L1365" s="2" t="inlineStr">
        <is>
          <t>Australia</t>
        </is>
      </c>
      <c r="M1365" s="2" t="inlineStr">
        <is>
          <t>Western Australia</t>
        </is>
      </c>
      <c r="N1365" s="2" t="inlineStr">
        <is>
          <t>Australia</t>
        </is>
      </c>
      <c r="P1365" s="2" t="inlineStr">
        <is>
          <t>Operational Control</t>
        </is>
      </c>
      <c r="Q1365" s="2" t="inlineStr">
        <is>
          <t>Operational Control</t>
        </is>
      </c>
      <c r="R1365" s="2" t="inlineStr">
        <is>
          <t>Transport &amp; Infrastructure (T&amp;I)</t>
        </is>
      </c>
      <c r="S1365" s="2" t="inlineStr">
        <is>
          <t>Downer</t>
        </is>
      </c>
      <c r="T1365" s="2" t="n">
        <v>100</v>
      </c>
      <c r="W1365" s="2" t="inlineStr">
        <is>
          <t>Classification</t>
        </is>
      </c>
      <c r="X1365" s="2" t="n">
        <v>-32.039</v>
      </c>
      <c r="Y1365" s="2" t="n">
        <v>115.985</v>
      </c>
      <c r="Z1365" s="2" t="n">
        <v>310</v>
      </c>
    </row>
    <row r="1366">
      <c r="A1366" s="2" t="inlineStr">
        <is>
          <t>Downer</t>
        </is>
      </c>
      <c r="B1366" s="2" t="inlineStr">
        <is>
          <t>Maddington - P&amp;E</t>
        </is>
      </c>
      <c r="C1366" s="2" t="inlineStr">
        <is>
          <t>Plant</t>
        </is>
      </c>
      <c r="D1366" s="2" t="inlineStr">
        <is>
          <t>L9.J.170691</t>
        </is>
      </c>
      <c r="M1366" s="2" t="inlineStr">
        <is>
          <t>Western Australia</t>
        </is>
      </c>
      <c r="N1366" s="2" t="inlineStr">
        <is>
          <t>Australia</t>
        </is>
      </c>
      <c r="P1366" s="2" t="inlineStr">
        <is>
          <t>Operational Control</t>
        </is>
      </c>
      <c r="Q1366" s="2" t="inlineStr">
        <is>
          <t>Operational Control</t>
        </is>
      </c>
      <c r="R1366" s="2" t="inlineStr">
        <is>
          <t>Transport &amp; Infrastructure (T&amp;I)</t>
        </is>
      </c>
      <c r="S1366" s="2" t="inlineStr">
        <is>
          <t>Downer</t>
        </is>
      </c>
      <c r="T1366" s="2" t="n">
        <v>100</v>
      </c>
      <c r="W1366" s="2" t="inlineStr">
        <is>
          <t>Classification</t>
        </is>
      </c>
    </row>
    <row r="1367">
      <c r="A1367" s="2" t="inlineStr">
        <is>
          <t>Downer</t>
        </is>
      </c>
      <c r="B1367" s="2" t="inlineStr">
        <is>
          <t>Maintenance &amp; OPEX</t>
        </is>
      </c>
      <c r="C1367" s="2" t="inlineStr">
        <is>
          <t>Other</t>
        </is>
      </c>
      <c r="D1367" s="2" t="inlineStr">
        <is>
          <t>L9.DNZJ.553302</t>
        </is>
      </c>
      <c r="E1367" s="2" t="n">
        <v>553302</v>
      </c>
      <c r="H1367" s="2" t="inlineStr">
        <is>
          <t>130 Kerrs Road</t>
        </is>
      </c>
      <c r="I1367" s="2" t="inlineStr">
        <is>
          <t>Wiri</t>
        </is>
      </c>
      <c r="J1367" s="2" t="inlineStr">
        <is>
          <t>Auckland</t>
        </is>
      </c>
      <c r="K1367" s="2" t="n">
        <v>2104</v>
      </c>
      <c r="L1367" s="2" t="inlineStr">
        <is>
          <t>New Zealand</t>
        </is>
      </c>
      <c r="M1367" s="2" t="inlineStr">
        <is>
          <t>Manurewa</t>
        </is>
      </c>
      <c r="N1367" s="2" t="inlineStr">
        <is>
          <t>New Zealand</t>
        </is>
      </c>
      <c r="P1367" s="2" t="inlineStr">
        <is>
          <t>Operational Control</t>
        </is>
      </c>
      <c r="Q1367" s="2" t="inlineStr">
        <is>
          <t>Operational Control</t>
        </is>
      </c>
      <c r="R1367" s="2" t="inlineStr">
        <is>
          <t>Transport &amp; Infrastructure (T&amp;I)</t>
        </is>
      </c>
      <c r="S1367" s="2" t="inlineStr">
        <is>
          <t>Downer</t>
        </is>
      </c>
      <c r="T1367" s="2" t="n">
        <v>100</v>
      </c>
      <c r="W1367" s="2" t="inlineStr">
        <is>
          <t>Classification</t>
        </is>
      </c>
      <c r="X1367" s="2" t="n">
        <v>-37.0083</v>
      </c>
      <c r="Y1367" s="2" t="n">
        <v>174.8705</v>
      </c>
    </row>
    <row r="1368">
      <c r="A1368" s="2" t="inlineStr">
        <is>
          <t>Downer</t>
        </is>
      </c>
      <c r="B1368" s="2" t="inlineStr">
        <is>
          <t>MAIREHAU HS - CSR RDLPM STG2</t>
        </is>
      </c>
      <c r="C1368" s="2" t="inlineStr">
        <is>
          <t>Other</t>
        </is>
      </c>
      <c r="D1368" s="2" t="inlineStr">
        <is>
          <t>L9.DNZ.HS0152</t>
        </is>
      </c>
      <c r="E1368" s="2" t="inlineStr">
        <is>
          <t>JP_HS0153</t>
        </is>
      </c>
      <c r="M1368" s="2" t="inlineStr">
        <is>
          <t>Manurewa</t>
        </is>
      </c>
      <c r="N1368" s="2" t="inlineStr">
        <is>
          <t>New Zealand</t>
        </is>
      </c>
      <c r="P1368" s="2" t="inlineStr">
        <is>
          <t>Operational Control</t>
        </is>
      </c>
      <c r="Q1368" s="2" t="inlineStr">
        <is>
          <t>Operational Control</t>
        </is>
      </c>
      <c r="R1368" s="2" t="inlineStr">
        <is>
          <t>Transport &amp; Infrastructure (T&amp;I)</t>
        </is>
      </c>
      <c r="S1368" s="2" t="inlineStr">
        <is>
          <t>Downer</t>
        </is>
      </c>
      <c r="T1368" s="2" t="n">
        <v>100</v>
      </c>
      <c r="W1368" s="2" t="inlineStr">
        <is>
          <t>Classification</t>
        </is>
      </c>
    </row>
    <row r="1369">
      <c r="A1369" s="2" t="inlineStr">
        <is>
          <t>Downer</t>
        </is>
      </c>
      <c r="B1369" s="2" t="inlineStr">
        <is>
          <t>Maitland Depot</t>
        </is>
      </c>
      <c r="C1369" s="2" t="inlineStr">
        <is>
          <t>Depot</t>
        </is>
      </c>
      <c r="D1369" s="2" t="inlineStr">
        <is>
          <t>L9.J.17023128</t>
        </is>
      </c>
      <c r="E1369" s="2" t="n">
        <v>17023128</v>
      </c>
      <c r="G1369" s="2" t="inlineStr">
        <is>
          <t>Temporarily allocate to TI-17023128 - Downer- Maitland Depot</t>
        </is>
      </c>
      <c r="H1369" s="2" t="inlineStr">
        <is>
          <t>28-34 Yorketown Rd, Maitland</t>
        </is>
      </c>
      <c r="I1369" s="2" t="inlineStr">
        <is>
          <t>Maitland</t>
        </is>
      </c>
      <c r="J1369" s="2" t="inlineStr">
        <is>
          <t>South Australia</t>
        </is>
      </c>
      <c r="M1369" s="2" t="inlineStr">
        <is>
          <t>Maitland</t>
        </is>
      </c>
      <c r="N1369" s="2" t="inlineStr">
        <is>
          <t>Australia</t>
        </is>
      </c>
      <c r="P1369" s="2" t="inlineStr">
        <is>
          <t>Operational Control</t>
        </is>
      </c>
      <c r="Q1369" s="2" t="inlineStr">
        <is>
          <t>Operational Control</t>
        </is>
      </c>
      <c r="R1369" s="2" t="inlineStr">
        <is>
          <t>Transport &amp; Infrastructure (T&amp;I)</t>
        </is>
      </c>
      <c r="S1369" s="2" t="inlineStr">
        <is>
          <t>Downer</t>
        </is>
      </c>
      <c r="T1369" s="2" t="n">
        <v>100</v>
      </c>
      <c r="W1369" s="2" t="inlineStr">
        <is>
          <t>Classification</t>
        </is>
      </c>
    </row>
    <row r="1370">
      <c r="A1370" s="2" t="inlineStr">
        <is>
          <t>Downer</t>
        </is>
      </c>
      <c r="B1370" s="2" t="inlineStr">
        <is>
          <t>Major Projects Leadership</t>
        </is>
      </c>
      <c r="C1370" s="2" t="inlineStr">
        <is>
          <t>Other</t>
        </is>
      </c>
      <c r="D1370" s="2" t="inlineStr">
        <is>
          <t>L9.DNZJ.8803</t>
        </is>
      </c>
      <c r="E1370" s="2" t="n">
        <v>8803</v>
      </c>
      <c r="G1370" s="2" t="inlineStr">
        <is>
          <t>TI-NZT.MAP.MPR.MPR - Major Projects
TI-NZT-8803 - Estimating</t>
        </is>
      </c>
      <c r="M1370" s="2" t="inlineStr">
        <is>
          <t>Auckland</t>
        </is>
      </c>
      <c r="N1370" s="2" t="inlineStr">
        <is>
          <t>New Zealand</t>
        </is>
      </c>
      <c r="P1370" s="2" t="inlineStr">
        <is>
          <t>Operational Control</t>
        </is>
      </c>
      <c r="Q1370" s="2" t="inlineStr">
        <is>
          <t>Operational Control</t>
        </is>
      </c>
      <c r="R1370" s="2" t="inlineStr">
        <is>
          <t>Transport &amp; Infrastructure (T&amp;I)</t>
        </is>
      </c>
      <c r="S1370" s="2" t="inlineStr">
        <is>
          <t>Downer</t>
        </is>
      </c>
      <c r="T1370" s="2" t="n">
        <v>100</v>
      </c>
      <c r="W1370" s="2" t="inlineStr">
        <is>
          <t>Classification</t>
        </is>
      </c>
    </row>
    <row r="1371">
      <c r="A1371" s="2" t="inlineStr">
        <is>
          <t>Downer</t>
        </is>
      </c>
      <c r="B1371" s="2" t="inlineStr">
        <is>
          <t>Management &amp; Support EU Subcontractors</t>
        </is>
      </c>
      <c r="C1371" s="2" t="inlineStr">
        <is>
          <t>Other</t>
        </is>
      </c>
      <c r="D1371" s="2" t="inlineStr">
        <is>
          <t>L9.J.381</t>
        </is>
      </c>
      <c r="E1371" s="2" t="inlineStr">
        <is>
          <t>L9.J.381</t>
        </is>
      </c>
      <c r="F1371" s="2" t="inlineStr">
        <is>
          <t>L9.J.381</t>
        </is>
      </c>
      <c r="M1371" s="2" t="inlineStr">
        <is>
          <t>North Ryde</t>
        </is>
      </c>
      <c r="N1371" s="2" t="inlineStr">
        <is>
          <t>Australia</t>
        </is>
      </c>
      <c r="P1371" s="2" t="inlineStr">
        <is>
          <t>Operational Control</t>
        </is>
      </c>
      <c r="Q1371" s="2" t="inlineStr">
        <is>
          <t>Operational Control</t>
        </is>
      </c>
      <c r="R1371" s="2" t="inlineStr">
        <is>
          <t>Energy and Utilities (EU)</t>
        </is>
      </c>
      <c r="S1371" s="2" t="inlineStr">
        <is>
          <t>Downer</t>
        </is>
      </c>
      <c r="T1371" s="2" t="n">
        <v>100</v>
      </c>
      <c r="W1371" s="2" t="inlineStr">
        <is>
          <t>Classification</t>
        </is>
      </c>
    </row>
    <row r="1372">
      <c r="A1372" s="2" t="inlineStr">
        <is>
          <t>Downer</t>
        </is>
      </c>
      <c r="B1372" s="2" t="inlineStr">
        <is>
          <t>Management EU Subcontractors</t>
        </is>
      </c>
      <c r="C1372" s="2" t="inlineStr">
        <is>
          <t>Other</t>
        </is>
      </c>
      <c r="D1372" s="2" t="inlineStr">
        <is>
          <t>L9.DUA.RESCKW</t>
        </is>
      </c>
      <c r="E1372" s="2" t="inlineStr">
        <is>
          <t>L9.DUA.RESCKW</t>
        </is>
      </c>
      <c r="F1372" s="2" t="inlineStr">
        <is>
          <t>L9.DUA.RESCKW</t>
        </is>
      </c>
      <c r="M1372" s="2" t="inlineStr">
        <is>
          <t>Auckland</t>
        </is>
      </c>
      <c r="N1372" s="2" t="inlineStr">
        <is>
          <t>New Zealand</t>
        </is>
      </c>
      <c r="P1372" s="2" t="inlineStr">
        <is>
          <t>Operational Control</t>
        </is>
      </c>
      <c r="Q1372" s="2" t="inlineStr">
        <is>
          <t>Operational Control</t>
        </is>
      </c>
      <c r="R1372" s="2" t="inlineStr">
        <is>
          <t>Energy and Utilities (EU)</t>
        </is>
      </c>
      <c r="S1372" s="2" t="inlineStr">
        <is>
          <t>Downer</t>
        </is>
      </c>
      <c r="T1372" s="2" t="n">
        <v>100</v>
      </c>
      <c r="W1372" s="2" t="inlineStr">
        <is>
          <t>Classification</t>
        </is>
      </c>
    </row>
    <row r="1373">
      <c r="A1373" s="2" t="inlineStr">
        <is>
          <t>Downer</t>
        </is>
      </c>
      <c r="B1373" s="2" t="inlineStr">
        <is>
          <t>Manawatu Overhead</t>
        </is>
      </c>
      <c r="C1373" s="2" t="inlineStr">
        <is>
          <t>Other</t>
        </is>
      </c>
      <c r="D1373" s="2" t="inlineStr">
        <is>
          <t>L9.DNZJ.54939</t>
        </is>
      </c>
      <c r="E1373" s="2" t="n">
        <v>54939</v>
      </c>
      <c r="G1373" s="2" t="inlineStr">
        <is>
          <t>TI-NZT-54939 - Manawatu Overhead</t>
        </is>
      </c>
      <c r="M1373" s="2" t="inlineStr">
        <is>
          <t>Auckland City</t>
        </is>
      </c>
      <c r="N1373" s="2" t="inlineStr">
        <is>
          <t>New Zealand</t>
        </is>
      </c>
      <c r="P1373" s="2" t="inlineStr">
        <is>
          <t>Operational Control</t>
        </is>
      </c>
      <c r="Q1373" s="2" t="inlineStr">
        <is>
          <t>Operational Control</t>
        </is>
      </c>
      <c r="R1373" s="2" t="inlineStr">
        <is>
          <t>Transport &amp; Infrastructure (T&amp;I)</t>
        </is>
      </c>
      <c r="S1373" s="2" t="inlineStr">
        <is>
          <t>Downer</t>
        </is>
      </c>
      <c r="T1373" s="2" t="n">
        <v>100</v>
      </c>
      <c r="W1373" s="2" t="inlineStr">
        <is>
          <t>Classification</t>
        </is>
      </c>
    </row>
    <row r="1374">
      <c r="A1374" s="2" t="inlineStr">
        <is>
          <t>Downer</t>
        </is>
      </c>
      <c r="B1374" s="2" t="inlineStr">
        <is>
          <t>Manawatu SIP Long Life</t>
        </is>
      </c>
      <c r="C1374" s="2" t="inlineStr">
        <is>
          <t>Other</t>
        </is>
      </c>
      <c r="D1374" s="2" t="inlineStr">
        <is>
          <t>L9.DNZJ.552412</t>
        </is>
      </c>
      <c r="E1374" s="2" t="n">
        <v>552412</v>
      </c>
      <c r="M1374" s="2" t="inlineStr">
        <is>
          <t>Auckland</t>
        </is>
      </c>
      <c r="N1374" s="2" t="inlineStr">
        <is>
          <t>New Zealand</t>
        </is>
      </c>
      <c r="P1374" s="2" t="inlineStr">
        <is>
          <t>Operational Control</t>
        </is>
      </c>
      <c r="Q1374" s="2" t="inlineStr">
        <is>
          <t>Operational Control</t>
        </is>
      </c>
      <c r="R1374" s="2" t="inlineStr">
        <is>
          <t>Transport &amp; Infrastructure (T&amp;I)</t>
        </is>
      </c>
      <c r="S1374" s="2" t="inlineStr">
        <is>
          <t>Downer</t>
        </is>
      </c>
      <c r="T1374" s="2" t="n">
        <v>100</v>
      </c>
      <c r="W1374" s="2" t="inlineStr">
        <is>
          <t>Classification</t>
        </is>
      </c>
    </row>
    <row r="1375">
      <c r="A1375" s="2" t="inlineStr">
        <is>
          <t>Downer</t>
        </is>
      </c>
      <c r="B1375" s="2" t="inlineStr">
        <is>
          <t>Manawatu Support Services - 45002412</t>
        </is>
      </c>
      <c r="C1375" s="2" t="inlineStr">
        <is>
          <t>Other</t>
        </is>
      </c>
      <c r="D1375" s="2" t="inlineStr">
        <is>
          <t>L9.S.24000034</t>
        </is>
      </c>
      <c r="E1375" s="2" t="n">
        <v>2000004495</v>
      </c>
      <c r="H1375" s="2" t="inlineStr">
        <is>
          <t>130 Kerrs Road</t>
        </is>
      </c>
      <c r="I1375" s="2" t="inlineStr">
        <is>
          <t>Wiri</t>
        </is>
      </c>
      <c r="J1375" s="2" t="inlineStr">
        <is>
          <t>Auckland</t>
        </is>
      </c>
      <c r="K1375" s="2" t="n">
        <v>2104</v>
      </c>
      <c r="L1375" s="2" t="inlineStr">
        <is>
          <t>New Zealand</t>
        </is>
      </c>
      <c r="M1375" s="2" t="inlineStr">
        <is>
          <t>Manurewa</t>
        </is>
      </c>
      <c r="N1375" s="2" t="inlineStr">
        <is>
          <t>New Zealand</t>
        </is>
      </c>
      <c r="P1375" s="2" t="inlineStr">
        <is>
          <t>Operational Control</t>
        </is>
      </c>
      <c r="Q1375" s="2" t="inlineStr">
        <is>
          <t>Operational Control</t>
        </is>
      </c>
      <c r="R1375" s="2" t="inlineStr">
        <is>
          <t>Social Infra &amp; Citizen Serv (SICS)</t>
        </is>
      </c>
      <c r="S1375" s="2" t="inlineStr">
        <is>
          <t>Downer</t>
        </is>
      </c>
      <c r="T1375" s="2" t="n">
        <v>100</v>
      </c>
      <c r="W1375" s="2" t="inlineStr">
        <is>
          <t>Classification</t>
        </is>
      </c>
      <c r="X1375" s="2" t="n">
        <v>-37.0083</v>
      </c>
      <c r="Y1375" s="2" t="n">
        <v>174.8705</v>
      </c>
    </row>
    <row r="1376">
      <c r="A1376" s="2" t="inlineStr">
        <is>
          <t>Downer</t>
        </is>
      </c>
      <c r="B1376" s="2" t="inlineStr">
        <is>
          <t>Mangawhai (10 Nautical Heights</t>
        </is>
      </c>
      <c r="C1376" s="2" t="inlineStr">
        <is>
          <t>Residential</t>
        </is>
      </c>
      <c r="D1376" s="2" t="inlineStr">
        <is>
          <t>L9.DNZJ.55907</t>
        </is>
      </c>
      <c r="E1376" s="2" t="n">
        <v>55907</v>
      </c>
      <c r="G1376" s="2" t="inlineStr">
        <is>
          <t>10 Nautical Heights  Mangawhai Heads  Mangawhai 0505  Northland Region</t>
        </is>
      </c>
      <c r="M1376" s="2" t="inlineStr">
        <is>
          <t>Northland</t>
        </is>
      </c>
      <c r="N1376" s="2" t="inlineStr">
        <is>
          <t>New Zealand</t>
        </is>
      </c>
      <c r="P1376" s="2" t="inlineStr">
        <is>
          <t>Operational Control</t>
        </is>
      </c>
      <c r="Q1376" s="2" t="inlineStr">
        <is>
          <t>Operational Control</t>
        </is>
      </c>
      <c r="R1376" s="2" t="inlineStr">
        <is>
          <t>Transport &amp; Infrastructure (T&amp;I)</t>
        </is>
      </c>
      <c r="S1376" s="2" t="inlineStr">
        <is>
          <t>Downer</t>
        </is>
      </c>
      <c r="T1376" s="2" t="n">
        <v>100</v>
      </c>
      <c r="W1376" s="2" t="inlineStr">
        <is>
          <t>Classification</t>
        </is>
      </c>
    </row>
    <row r="1377">
      <c r="A1377" s="2" t="inlineStr">
        <is>
          <t>Downer</t>
        </is>
      </c>
      <c r="B1377" s="2" t="inlineStr">
        <is>
          <t>Manufacturing EU Subcontractors</t>
        </is>
      </c>
      <c r="C1377" s="2" t="inlineStr">
        <is>
          <t>Other</t>
        </is>
      </c>
      <c r="D1377" s="2" t="inlineStr">
        <is>
          <t>L9.S.GNMANUFC00</t>
        </is>
      </c>
      <c r="E1377" s="2" t="inlineStr">
        <is>
          <t>L9.S.GNMANUFC00</t>
        </is>
      </c>
      <c r="M1377" s="2" t="inlineStr">
        <is>
          <t>North Ryde</t>
        </is>
      </c>
      <c r="N1377" s="2" t="inlineStr">
        <is>
          <t>Australia</t>
        </is>
      </c>
      <c r="P1377" s="2" t="inlineStr">
        <is>
          <t>Operational Control</t>
        </is>
      </c>
      <c r="Q1377" s="2" t="inlineStr">
        <is>
          <t>Operational Control</t>
        </is>
      </c>
      <c r="R1377" s="2" t="inlineStr">
        <is>
          <t>Energy and Utilities (EU)</t>
        </is>
      </c>
      <c r="S1377" s="2" t="inlineStr">
        <is>
          <t>Downer</t>
        </is>
      </c>
      <c r="T1377" s="2" t="n">
        <v>100</v>
      </c>
      <c r="W1377" s="2" t="inlineStr">
        <is>
          <t>Classification</t>
        </is>
      </c>
    </row>
    <row r="1378">
      <c r="A1378" s="2" t="inlineStr">
        <is>
          <t>Downer</t>
        </is>
      </c>
      <c r="B1378" s="2" t="inlineStr">
        <is>
          <t>Marini Mobile Asphalt Plant</t>
        </is>
      </c>
      <c r="C1378" s="2" t="inlineStr">
        <is>
          <t>Asphalt Plant</t>
        </is>
      </c>
      <c r="D1378" s="2" t="inlineStr">
        <is>
          <t>L9.DNZJ.3511</t>
        </is>
      </c>
      <c r="E1378" s="2" t="n">
        <v>3511</v>
      </c>
      <c r="F1378" s="2" t="n">
        <v>3511</v>
      </c>
      <c r="M1378" s="2" t="inlineStr">
        <is>
          <t>Auckland</t>
        </is>
      </c>
      <c r="N1378" s="2" t="inlineStr">
        <is>
          <t>New Zealand</t>
        </is>
      </c>
      <c r="P1378" s="2" t="inlineStr">
        <is>
          <t>Operational Control</t>
        </is>
      </c>
      <c r="Q1378" s="2" t="inlineStr">
        <is>
          <t>Operational Control</t>
        </is>
      </c>
      <c r="R1378" s="2" t="inlineStr">
        <is>
          <t>Transport &amp; Infrastructure (T&amp;I)</t>
        </is>
      </c>
      <c r="S1378" s="2" t="inlineStr">
        <is>
          <t>Downer</t>
        </is>
      </c>
      <c r="T1378" s="2" t="n">
        <v>100</v>
      </c>
      <c r="W1378" s="2" t="inlineStr">
        <is>
          <t>Classification</t>
        </is>
      </c>
    </row>
    <row r="1379">
      <c r="A1379" s="2" t="inlineStr">
        <is>
          <t>Downer</t>
        </is>
      </c>
      <c r="B1379" s="2" t="inlineStr">
        <is>
          <t>Maritime NZ EU Subcontractors</t>
        </is>
      </c>
      <c r="C1379" s="2" t="inlineStr">
        <is>
          <t>Other</t>
        </is>
      </c>
      <c r="D1379" s="2" t="inlineStr">
        <is>
          <t>L9.DNZ.810.20206</t>
        </is>
      </c>
      <c r="E1379" s="2" t="inlineStr">
        <is>
          <t>L9.DNZ.810.20206</t>
        </is>
      </c>
      <c r="F1379" s="2" t="inlineStr">
        <is>
          <t>L9.DNZ.810.20206</t>
        </is>
      </c>
      <c r="M1379" s="2" t="inlineStr">
        <is>
          <t>North Ryde</t>
        </is>
      </c>
      <c r="N1379" s="2" t="inlineStr">
        <is>
          <t>Australia</t>
        </is>
      </c>
      <c r="P1379" s="2" t="inlineStr">
        <is>
          <t>Operational Control</t>
        </is>
      </c>
      <c r="Q1379" s="2" t="inlineStr">
        <is>
          <t>Operational Control</t>
        </is>
      </c>
      <c r="R1379" s="2" t="inlineStr">
        <is>
          <t>Energy and Utilities (EU)</t>
        </is>
      </c>
      <c r="S1379" s="2" t="inlineStr">
        <is>
          <t>Downer</t>
        </is>
      </c>
      <c r="T1379" s="2" t="n">
        <v>100</v>
      </c>
      <c r="W1379" s="2" t="inlineStr">
        <is>
          <t>Classification</t>
        </is>
      </c>
    </row>
    <row r="1380">
      <c r="A1380" s="2" t="inlineStr">
        <is>
          <t>Downer</t>
        </is>
      </c>
      <c r="B1380" s="2" t="inlineStr">
        <is>
          <t>Marketing Dept</t>
        </is>
      </c>
      <c r="C1380" s="2" t="inlineStr">
        <is>
          <t>Other</t>
        </is>
      </c>
      <c r="D1380" s="2" t="inlineStr">
        <is>
          <t>L9.DNZJ.3022</t>
        </is>
      </c>
      <c r="E1380" s="2" t="n">
        <v>3022</v>
      </c>
      <c r="M1380" s="2" t="inlineStr">
        <is>
          <t>Manurewa</t>
        </is>
      </c>
      <c r="N1380" s="2" t="inlineStr">
        <is>
          <t>New Zealand</t>
        </is>
      </c>
      <c r="P1380" s="2" t="inlineStr">
        <is>
          <t>Operational Control</t>
        </is>
      </c>
      <c r="Q1380" s="2" t="inlineStr">
        <is>
          <t>Operational Control</t>
        </is>
      </c>
      <c r="R1380" s="2" t="inlineStr">
        <is>
          <t>Transport &amp; Infrastructure (T&amp;I)</t>
        </is>
      </c>
      <c r="S1380" s="2" t="inlineStr">
        <is>
          <t>Downer</t>
        </is>
      </c>
      <c r="T1380" s="2" t="n">
        <v>100</v>
      </c>
      <c r="W1380" s="2" t="inlineStr">
        <is>
          <t>Classification</t>
        </is>
      </c>
    </row>
    <row r="1381">
      <c r="A1381" s="2" t="inlineStr">
        <is>
          <t>Downer</t>
        </is>
      </c>
      <c r="B1381" s="2" t="inlineStr">
        <is>
          <t>Marlborough People/Plant</t>
        </is>
      </c>
      <c r="C1381" s="2" t="inlineStr">
        <is>
          <t>Other</t>
        </is>
      </c>
      <c r="D1381" s="2" t="inlineStr">
        <is>
          <t>L9.DNZJ.66205</t>
        </is>
      </c>
      <c r="E1381" s="2" t="n">
        <v>66205</v>
      </c>
      <c r="H1381" s="2" t="inlineStr">
        <is>
          <t>130 Kerrs Road</t>
        </is>
      </c>
      <c r="I1381" s="2" t="inlineStr">
        <is>
          <t>Wiri</t>
        </is>
      </c>
      <c r="J1381" s="2" t="inlineStr">
        <is>
          <t>Auckland</t>
        </is>
      </c>
      <c r="K1381" s="2" t="n">
        <v>2104</v>
      </c>
      <c r="L1381" s="2" t="inlineStr">
        <is>
          <t>New Zealand</t>
        </is>
      </c>
      <c r="M1381" s="2" t="inlineStr">
        <is>
          <t>Manurewa</t>
        </is>
      </c>
      <c r="N1381" s="2" t="inlineStr">
        <is>
          <t>New Zealand</t>
        </is>
      </c>
      <c r="P1381" s="2" t="inlineStr">
        <is>
          <t>Operational Control</t>
        </is>
      </c>
      <c r="Q1381" s="2" t="inlineStr">
        <is>
          <t>Operational Control</t>
        </is>
      </c>
      <c r="R1381" s="2" t="inlineStr">
        <is>
          <t>Transport &amp; Infrastructure (T&amp;I)</t>
        </is>
      </c>
      <c r="S1381" s="2" t="inlineStr">
        <is>
          <t>Downer</t>
        </is>
      </c>
      <c r="T1381" s="2" t="n">
        <v>100</v>
      </c>
      <c r="W1381" s="2" t="inlineStr">
        <is>
          <t>Classification</t>
        </is>
      </c>
      <c r="X1381" s="2" t="n">
        <v>-37.0083</v>
      </c>
      <c r="Y1381" s="2" t="n">
        <v>174.8705</v>
      </c>
    </row>
    <row r="1382">
      <c r="A1382" s="2" t="inlineStr">
        <is>
          <t>Downer</t>
        </is>
      </c>
      <c r="B1382" s="2" t="inlineStr">
        <is>
          <t>Maryborough</t>
        </is>
      </c>
      <c r="C1382" s="2" t="inlineStr">
        <is>
          <t>Depot</t>
        </is>
      </c>
      <c r="D1382" s="2" t="inlineStr">
        <is>
          <t>L9.J.709203</t>
        </is>
      </c>
      <c r="E1382" s="2" t="n">
        <v>3011</v>
      </c>
      <c r="F1382" s="2" t="n">
        <v>175</v>
      </c>
      <c r="H1382" s="2" t="inlineStr">
        <is>
          <t>23 Bowen Street</t>
        </is>
      </c>
      <c r="I1382" s="2" t="inlineStr">
        <is>
          <t>Maryborough</t>
        </is>
      </c>
      <c r="J1382" s="2" t="inlineStr">
        <is>
          <t>QLD</t>
        </is>
      </c>
      <c r="K1382" s="2" t="n">
        <v>4650</v>
      </c>
      <c r="L1382" s="2" t="inlineStr">
        <is>
          <t>Australia</t>
        </is>
      </c>
      <c r="M1382" s="2" t="inlineStr">
        <is>
          <t>Queensland</t>
        </is>
      </c>
      <c r="N1382" s="2" t="inlineStr">
        <is>
          <t>Australia</t>
        </is>
      </c>
      <c r="P1382" s="2" t="inlineStr">
        <is>
          <t>Operational Control</t>
        </is>
      </c>
      <c r="Q1382" s="2" t="inlineStr">
        <is>
          <t>Operational Control</t>
        </is>
      </c>
      <c r="R1382" s="2" t="inlineStr">
        <is>
          <t>Rail &amp; Transit Systems (RTS)</t>
        </is>
      </c>
      <c r="S1382" s="2" t="inlineStr">
        <is>
          <t>Downer</t>
        </is>
      </c>
      <c r="T1382" s="2" t="n">
        <v>100</v>
      </c>
      <c r="W1382" s="2" t="inlineStr">
        <is>
          <t>Classification</t>
        </is>
      </c>
      <c r="X1382" s="2" t="n">
        <v>-25.542</v>
      </c>
      <c r="Y1382" s="2" t="n">
        <v>152.705</v>
      </c>
      <c r="Z1382" s="2" t="n">
        <v>239</v>
      </c>
    </row>
    <row r="1383">
      <c r="A1383" s="2" t="inlineStr">
        <is>
          <t>Downer</t>
        </is>
      </c>
      <c r="B1383" s="2" t="inlineStr">
        <is>
          <t>MASSEY SOVS STAGE 1A/1B</t>
        </is>
      </c>
      <c r="C1383" s="2" t="inlineStr">
        <is>
          <t>Other</t>
        </is>
      </c>
      <c r="D1383" s="2" t="inlineStr">
        <is>
          <t>L9.DNZ.HW0194</t>
        </is>
      </c>
      <c r="E1383" s="2" t="inlineStr">
        <is>
          <t>JP_HW0194</t>
        </is>
      </c>
      <c r="H1383" s="2" t="inlineStr">
        <is>
          <t>130 Kerrs Road</t>
        </is>
      </c>
      <c r="I1383" s="2" t="inlineStr">
        <is>
          <t>Wiri</t>
        </is>
      </c>
      <c r="J1383" s="2" t="inlineStr">
        <is>
          <t>Auckland</t>
        </is>
      </c>
      <c r="K1383" s="2" t="n">
        <v>2104</v>
      </c>
      <c r="L1383" s="2" t="inlineStr">
        <is>
          <t>New Zealand</t>
        </is>
      </c>
      <c r="M1383" s="2" t="inlineStr">
        <is>
          <t>Manurewa</t>
        </is>
      </c>
      <c r="N1383" s="2" t="inlineStr">
        <is>
          <t>New Zealand</t>
        </is>
      </c>
      <c r="P1383" s="2" t="inlineStr">
        <is>
          <t>Operational Control</t>
        </is>
      </c>
      <c r="Q1383" s="2" t="inlineStr">
        <is>
          <t>Operational Control</t>
        </is>
      </c>
      <c r="R1383" s="2" t="inlineStr">
        <is>
          <t>Transport &amp; Infrastructure (T&amp;I)</t>
        </is>
      </c>
      <c r="S1383" s="2" t="inlineStr">
        <is>
          <t>Downer</t>
        </is>
      </c>
      <c r="T1383" s="2" t="n">
        <v>100</v>
      </c>
      <c r="W1383" s="2" t="inlineStr">
        <is>
          <t>Classification</t>
        </is>
      </c>
      <c r="X1383" s="2" t="n">
        <v>-37.0083</v>
      </c>
      <c r="Y1383" s="2" t="n">
        <v>174.8705</v>
      </c>
    </row>
    <row r="1384">
      <c r="A1384" s="2" t="inlineStr">
        <is>
          <t>Downer</t>
        </is>
      </c>
      <c r="B1384" s="2" t="inlineStr">
        <is>
          <t>Masterton - Lines 242</t>
        </is>
      </c>
      <c r="C1384" s="2" t="inlineStr">
        <is>
          <t>Other</t>
        </is>
      </c>
      <c r="D1384" s="2" t="inlineStr">
        <is>
          <t>L9.DUN.60242</t>
        </is>
      </c>
      <c r="E1384" s="2" t="inlineStr">
        <is>
          <t>PG60242</t>
        </is>
      </c>
      <c r="H1384" s="2" t="inlineStr">
        <is>
          <t>130 Kerrs Road</t>
        </is>
      </c>
      <c r="I1384" s="2" t="inlineStr">
        <is>
          <t>Wiri</t>
        </is>
      </c>
      <c r="J1384" s="2" t="inlineStr">
        <is>
          <t>Auckland</t>
        </is>
      </c>
      <c r="K1384" s="2" t="n">
        <v>2104</v>
      </c>
      <c r="L1384" s="2" t="inlineStr">
        <is>
          <t>New Zealand</t>
        </is>
      </c>
      <c r="M1384" s="2" t="inlineStr">
        <is>
          <t>Manurewa</t>
        </is>
      </c>
      <c r="N1384" s="2" t="inlineStr">
        <is>
          <t>New Zealand</t>
        </is>
      </c>
      <c r="P1384" s="2" t="inlineStr">
        <is>
          <t>Operational Control</t>
        </is>
      </c>
      <c r="Q1384" s="2" t="inlineStr">
        <is>
          <t>Operational Control</t>
        </is>
      </c>
      <c r="R1384" s="2" t="inlineStr">
        <is>
          <t>Energy and Utilities (EU)</t>
        </is>
      </c>
      <c r="S1384" s="2" t="inlineStr">
        <is>
          <t>Downer</t>
        </is>
      </c>
      <c r="T1384" s="2" t="n">
        <v>100</v>
      </c>
      <c r="W1384" s="2" t="inlineStr">
        <is>
          <t>Classification</t>
        </is>
      </c>
      <c r="X1384" s="2" t="n">
        <v>-37.0083</v>
      </c>
      <c r="Y1384" s="2" t="n">
        <v>174.8705</v>
      </c>
    </row>
    <row r="1385">
      <c r="A1385" s="2" t="inlineStr">
        <is>
          <t>Downer</t>
        </is>
      </c>
      <c r="B1385" s="2" t="inlineStr">
        <is>
          <t>Masterton Area Manager</t>
        </is>
      </c>
      <c r="C1385" s="2" t="inlineStr">
        <is>
          <t>Other</t>
        </is>
      </c>
      <c r="D1385" s="2" t="inlineStr">
        <is>
          <t>L9.DUN.60240</t>
        </is>
      </c>
      <c r="E1385" s="2" t="inlineStr">
        <is>
          <t>PG60240</t>
        </is>
      </c>
      <c r="H1385" s="2" t="inlineStr">
        <is>
          <t>73-77 Ngaumutawa Road</t>
        </is>
      </c>
      <c r="I1385" s="2" t="inlineStr">
        <is>
          <t>Masterton</t>
        </is>
      </c>
      <c r="J1385" s="2" t="inlineStr">
        <is>
          <t>Masterton</t>
        </is>
      </c>
      <c r="K1385" s="2" t="n">
        <v>5810</v>
      </c>
      <c r="L1385" s="2" t="inlineStr">
        <is>
          <t>New Zealand</t>
        </is>
      </c>
      <c r="M1385" s="2" t="inlineStr">
        <is>
          <t>Masterton</t>
        </is>
      </c>
      <c r="N1385" s="2" t="inlineStr">
        <is>
          <t>New Zealand</t>
        </is>
      </c>
      <c r="P1385" s="2" t="inlineStr">
        <is>
          <t>Operational Control</t>
        </is>
      </c>
      <c r="Q1385" s="2" t="inlineStr">
        <is>
          <t>Operational Control</t>
        </is>
      </c>
      <c r="R1385" s="2" t="inlineStr">
        <is>
          <t>Energy and Utilities (EU)</t>
        </is>
      </c>
      <c r="S1385" s="2" t="inlineStr">
        <is>
          <t>Downer</t>
        </is>
      </c>
      <c r="T1385" s="2" t="n">
        <v>100</v>
      </c>
      <c r="W1385" s="2" t="inlineStr">
        <is>
          <t>Classification</t>
        </is>
      </c>
      <c r="X1385" s="2" t="n">
        <v>-40.9599</v>
      </c>
      <c r="Y1385" s="2" t="n">
        <v>175.6131</v>
      </c>
    </row>
    <row r="1386">
      <c r="A1386" s="2" t="inlineStr">
        <is>
          <t>Downer</t>
        </is>
      </c>
      <c r="B1386" s="2" t="inlineStr">
        <is>
          <t>Masterton School - 45003005</t>
        </is>
      </c>
      <c r="C1386" s="2" t="inlineStr">
        <is>
          <t>Other</t>
        </is>
      </c>
      <c r="D1386" s="2" t="inlineStr">
        <is>
          <t>L9.S.24000265</t>
        </is>
      </c>
      <c r="E1386" s="2" t="n">
        <v>2000004805</v>
      </c>
      <c r="H1386" s="2" t="inlineStr">
        <is>
          <t>130 Kerrs Road</t>
        </is>
      </c>
      <c r="I1386" s="2" t="inlineStr">
        <is>
          <t>Wiri</t>
        </is>
      </c>
      <c r="J1386" s="2" t="inlineStr">
        <is>
          <t>Auckland</t>
        </is>
      </c>
      <c r="K1386" s="2" t="n">
        <v>2104</v>
      </c>
      <c r="L1386" s="2" t="inlineStr">
        <is>
          <t>New Zealand</t>
        </is>
      </c>
      <c r="M1386" s="2" t="inlineStr">
        <is>
          <t>Manurewa</t>
        </is>
      </c>
      <c r="N1386" s="2" t="inlineStr">
        <is>
          <t>New Zealand</t>
        </is>
      </c>
      <c r="P1386" s="2" t="inlineStr">
        <is>
          <t>Operational Control</t>
        </is>
      </c>
      <c r="Q1386" s="2" t="inlineStr">
        <is>
          <t>Operational Control</t>
        </is>
      </c>
      <c r="R1386" s="2" t="inlineStr">
        <is>
          <t>Social Infra &amp; Citizen Serv (SICS)</t>
        </is>
      </c>
      <c r="S1386" s="2" t="inlineStr">
        <is>
          <t>Downer</t>
        </is>
      </c>
      <c r="T1386" s="2" t="n">
        <v>100</v>
      </c>
      <c r="W1386" s="2" t="inlineStr">
        <is>
          <t>Classification</t>
        </is>
      </c>
      <c r="X1386" s="2" t="n">
        <v>-37.0083</v>
      </c>
      <c r="Y1386" s="2" t="n">
        <v>174.8705</v>
      </c>
    </row>
    <row r="1387">
      <c r="A1387" s="2" t="inlineStr">
        <is>
          <t>Downer</t>
        </is>
      </c>
      <c r="B1387" s="2" t="inlineStr">
        <is>
          <t>Matamata - Depot</t>
        </is>
      </c>
      <c r="C1387" s="2" t="inlineStr">
        <is>
          <t>Other</t>
        </is>
      </c>
      <c r="D1387" s="2" t="inlineStr">
        <is>
          <t>L9.DUN.60126</t>
        </is>
      </c>
      <c r="E1387" s="2" t="inlineStr">
        <is>
          <t>PG60126</t>
        </is>
      </c>
      <c r="H1387" s="2" t="inlineStr">
        <is>
          <t>58 Firth Street</t>
        </is>
      </c>
      <c r="I1387" s="2" t="inlineStr">
        <is>
          <t>Matamata</t>
        </is>
      </c>
      <c r="J1387" s="2" t="inlineStr">
        <is>
          <t>Matamata</t>
        </is>
      </c>
      <c r="K1387" s="2" t="n">
        <v>3400</v>
      </c>
      <c r="L1387" s="2" t="inlineStr">
        <is>
          <t>New Zealand</t>
        </is>
      </c>
      <c r="M1387" s="2" t="inlineStr">
        <is>
          <t>Matamata</t>
        </is>
      </c>
      <c r="N1387" s="2" t="inlineStr">
        <is>
          <t>New Zealand</t>
        </is>
      </c>
      <c r="P1387" s="2" t="inlineStr">
        <is>
          <t>Operational Control</t>
        </is>
      </c>
      <c r="Q1387" s="2" t="inlineStr">
        <is>
          <t>Operational Control</t>
        </is>
      </c>
      <c r="R1387" s="2" t="inlineStr">
        <is>
          <t>Energy and Utilities (EU)</t>
        </is>
      </c>
      <c r="S1387" s="2" t="inlineStr">
        <is>
          <t>Downer</t>
        </is>
      </c>
      <c r="T1387" s="2" t="n">
        <v>100</v>
      </c>
      <c r="W1387" s="2" t="inlineStr">
        <is>
          <t>Classification</t>
        </is>
      </c>
      <c r="X1387" s="2" t="n">
        <v>-37.8103</v>
      </c>
      <c r="Y1387" s="2" t="n">
        <v>175.7708</v>
      </c>
    </row>
    <row r="1388">
      <c r="A1388" s="2" t="inlineStr">
        <is>
          <t>Downer</t>
        </is>
      </c>
      <c r="B1388" s="2" t="inlineStr">
        <is>
          <t>Matamata - SP 124</t>
        </is>
      </c>
      <c r="C1388" s="2" t="inlineStr">
        <is>
          <t>Other</t>
        </is>
      </c>
      <c r="D1388" s="2" t="inlineStr">
        <is>
          <t>L9.DUN.60124</t>
        </is>
      </c>
      <c r="E1388" s="2" t="inlineStr">
        <is>
          <t>PG60124</t>
        </is>
      </c>
      <c r="H1388" s="2" t="inlineStr">
        <is>
          <t>130 Kerrs Road</t>
        </is>
      </c>
      <c r="I1388" s="2" t="inlineStr">
        <is>
          <t>Wiri</t>
        </is>
      </c>
      <c r="J1388" s="2" t="inlineStr">
        <is>
          <t>Auckland</t>
        </is>
      </c>
      <c r="K1388" s="2" t="n">
        <v>2104</v>
      </c>
      <c r="L1388" s="2" t="inlineStr">
        <is>
          <t>New Zealand</t>
        </is>
      </c>
      <c r="M1388" s="2" t="inlineStr">
        <is>
          <t>Manurewa</t>
        </is>
      </c>
      <c r="N1388" s="2" t="inlineStr">
        <is>
          <t>New Zealand</t>
        </is>
      </c>
      <c r="P1388" s="2" t="inlineStr">
        <is>
          <t>Operational Control</t>
        </is>
      </c>
      <c r="Q1388" s="2" t="inlineStr">
        <is>
          <t>Operational Control</t>
        </is>
      </c>
      <c r="R1388" s="2" t="inlineStr">
        <is>
          <t>Energy and Utilities (EU)</t>
        </is>
      </c>
      <c r="S1388" s="2" t="inlineStr">
        <is>
          <t>Downer</t>
        </is>
      </c>
      <c r="T1388" s="2" t="n">
        <v>100</v>
      </c>
      <c r="W1388" s="2" t="inlineStr">
        <is>
          <t>Classification</t>
        </is>
      </c>
      <c r="X1388" s="2" t="n">
        <v>-37.0083</v>
      </c>
      <c r="Y1388" s="2" t="n">
        <v>174.8705</v>
      </c>
    </row>
    <row r="1389">
      <c r="A1389" s="2" t="inlineStr">
        <is>
          <t>Downer</t>
        </is>
      </c>
      <c r="B1389" s="2" t="inlineStr">
        <is>
          <t>Maungatoroto (32 Hurndall St)</t>
        </is>
      </c>
      <c r="C1389" s="2" t="inlineStr">
        <is>
          <t>Warehouse</t>
        </is>
      </c>
      <c r="D1389" s="2" t="inlineStr">
        <is>
          <t>L9.DNZJ.91409</t>
        </is>
      </c>
      <c r="E1389" s="2" t="n">
        <v>91409</v>
      </c>
      <c r="G1389" s="2" t="inlineStr">
        <is>
          <t>COR-NZHO-91409 - Maungatoroto (32 Hurndall St)</t>
        </is>
      </c>
      <c r="H1389" s="2" t="inlineStr">
        <is>
          <t>32 Hurndall Street East</t>
        </is>
      </c>
      <c r="I1389" s="2" t="inlineStr">
        <is>
          <t>Maungaturoto</t>
        </is>
      </c>
      <c r="K1389" s="2" t="inlineStr">
        <is>
          <t>0520</t>
        </is>
      </c>
      <c r="M1389" s="2" t="inlineStr">
        <is>
          <t>Maungaturoto</t>
        </is>
      </c>
      <c r="N1389" s="2" t="inlineStr">
        <is>
          <t>New Zealand</t>
        </is>
      </c>
      <c r="P1389" s="2" t="inlineStr">
        <is>
          <t>Operational Control</t>
        </is>
      </c>
      <c r="Q1389" s="2" t="inlineStr">
        <is>
          <t>Operational Control</t>
        </is>
      </c>
      <c r="R1389" s="2" t="inlineStr">
        <is>
          <t>Corporate</t>
        </is>
      </c>
      <c r="S1389" s="2" t="inlineStr">
        <is>
          <t>Downer</t>
        </is>
      </c>
      <c r="T1389" s="2" t="n">
        <v>100</v>
      </c>
      <c r="W1389" s="2" t="inlineStr">
        <is>
          <t>Classification</t>
        </is>
      </c>
    </row>
    <row r="1390">
      <c r="A1390" s="2" t="inlineStr">
        <is>
          <t>Downer</t>
        </is>
      </c>
      <c r="B1390" s="2" t="inlineStr">
        <is>
          <t>MC Const Minor Works</t>
        </is>
      </c>
      <c r="C1390" s="2" t="inlineStr">
        <is>
          <t>Other</t>
        </is>
      </c>
      <c r="D1390" s="2" t="inlineStr">
        <is>
          <t>L9.DNZJ.552302</t>
        </is>
      </c>
      <c r="E1390" s="2" t="n">
        <v>552302</v>
      </c>
      <c r="M1390" s="2" t="inlineStr">
        <is>
          <t>Auckland</t>
        </is>
      </c>
      <c r="N1390" s="2" t="inlineStr">
        <is>
          <t>New Zealand</t>
        </is>
      </c>
      <c r="P1390" s="2" t="inlineStr">
        <is>
          <t>Operational Control</t>
        </is>
      </c>
      <c r="Q1390" s="2" t="inlineStr">
        <is>
          <t>Operational Control</t>
        </is>
      </c>
      <c r="R1390" s="2" t="inlineStr">
        <is>
          <t>Transport &amp; Infrastructure (T&amp;I)</t>
        </is>
      </c>
      <c r="S1390" s="2" t="inlineStr">
        <is>
          <t>Downer</t>
        </is>
      </c>
      <c r="T1390" s="2" t="n">
        <v>100</v>
      </c>
      <c r="W1390" s="2" t="inlineStr">
        <is>
          <t>Classification</t>
        </is>
      </c>
    </row>
    <row r="1391">
      <c r="A1391" s="2" t="inlineStr">
        <is>
          <t>Downer</t>
        </is>
      </c>
      <c r="B1391" s="2" t="inlineStr">
        <is>
          <t>MCR Northern Line</t>
        </is>
      </c>
      <c r="C1391" s="2" t="inlineStr">
        <is>
          <t>Other</t>
        </is>
      </c>
      <c r="D1391" s="2" t="inlineStr">
        <is>
          <t>L9.DNZJ.554557</t>
        </is>
      </c>
      <c r="E1391" s="2" t="n">
        <v>554557</v>
      </c>
      <c r="M1391" s="2" t="inlineStr">
        <is>
          <t>Auckland</t>
        </is>
      </c>
      <c r="N1391" s="2" t="inlineStr">
        <is>
          <t>New Zealand</t>
        </is>
      </c>
      <c r="P1391" s="2" t="inlineStr">
        <is>
          <t>Operational Control</t>
        </is>
      </c>
      <c r="Q1391" s="2" t="inlineStr">
        <is>
          <t>Operational Control</t>
        </is>
      </c>
      <c r="R1391" s="2" t="inlineStr">
        <is>
          <t>Transport &amp; Infrastructure (T&amp;I)</t>
        </is>
      </c>
      <c r="S1391" s="2" t="inlineStr">
        <is>
          <t>Downer</t>
        </is>
      </c>
      <c r="T1391" s="2" t="n">
        <v>100</v>
      </c>
      <c r="W1391" s="2" t="inlineStr">
        <is>
          <t>Classification</t>
        </is>
      </c>
    </row>
    <row r="1392">
      <c r="A1392" s="2" t="inlineStr">
        <is>
          <t>Downer</t>
        </is>
      </c>
      <c r="B1392" s="2" t="inlineStr">
        <is>
          <t>Metallurgical Test Labs EU Subcontractors</t>
        </is>
      </c>
      <c r="C1392" s="2" t="inlineStr">
        <is>
          <t>Other</t>
        </is>
      </c>
      <c r="D1392" s="2" t="inlineStr">
        <is>
          <t>L9.J.395311</t>
        </is>
      </c>
      <c r="E1392" s="2" t="inlineStr">
        <is>
          <t>L9.J.395311</t>
        </is>
      </c>
      <c r="M1392" s="2" t="inlineStr">
        <is>
          <t>North Ryde</t>
        </is>
      </c>
      <c r="N1392" s="2" t="inlineStr">
        <is>
          <t>Australia</t>
        </is>
      </c>
      <c r="P1392" s="2" t="inlineStr">
        <is>
          <t>Operational Control</t>
        </is>
      </c>
      <c r="Q1392" s="2" t="inlineStr">
        <is>
          <t>Operational Control</t>
        </is>
      </c>
      <c r="R1392" s="2" t="inlineStr">
        <is>
          <t>Energy and Utilities (EU)</t>
        </is>
      </c>
      <c r="S1392" s="2" t="inlineStr">
        <is>
          <t>Downer</t>
        </is>
      </c>
      <c r="T1392" s="2" t="n">
        <v>100</v>
      </c>
      <c r="W1392" s="2" t="inlineStr">
        <is>
          <t>Classification</t>
        </is>
      </c>
    </row>
    <row r="1393">
      <c r="A1393" s="2" t="inlineStr">
        <is>
          <t>Downer</t>
        </is>
      </c>
      <c r="B1393" s="2" t="inlineStr">
        <is>
          <t>Methven Depot (Excell)</t>
        </is>
      </c>
      <c r="C1393" s="2" t="inlineStr">
        <is>
          <t>Other</t>
        </is>
      </c>
      <c r="D1393" s="2" t="inlineStr">
        <is>
          <t>L9.DNZJ.55643</t>
        </is>
      </c>
      <c r="E1393" s="2" t="n">
        <v>55643</v>
      </c>
      <c r="H1393" s="2" t="inlineStr">
        <is>
          <t>76 Racecourse Avenue</t>
        </is>
      </c>
      <c r="I1393" s="2" t="inlineStr">
        <is>
          <t>Methven</t>
        </is>
      </c>
      <c r="J1393" s="2" t="inlineStr">
        <is>
          <t>Methven</t>
        </is>
      </c>
      <c r="K1393" s="2" t="n">
        <v>7730</v>
      </c>
      <c r="L1393" s="2" t="inlineStr">
        <is>
          <t>New Zealand</t>
        </is>
      </c>
      <c r="M1393" s="2" t="inlineStr">
        <is>
          <t>Methven</t>
        </is>
      </c>
      <c r="N1393" s="2" t="inlineStr">
        <is>
          <t>New Zealand</t>
        </is>
      </c>
      <c r="P1393" s="2" t="inlineStr">
        <is>
          <t>Operational Control</t>
        </is>
      </c>
      <c r="Q1393" s="2" t="inlineStr">
        <is>
          <t>Operational Control</t>
        </is>
      </c>
      <c r="R1393" s="2" t="inlineStr">
        <is>
          <t>Transport &amp; Infrastructure (T&amp;I)</t>
        </is>
      </c>
      <c r="S1393" s="2" t="inlineStr">
        <is>
          <t>Downer</t>
        </is>
      </c>
      <c r="T1393" s="2" t="n">
        <v>100</v>
      </c>
      <c r="W1393" s="2" t="inlineStr">
        <is>
          <t>Classification</t>
        </is>
      </c>
      <c r="X1393" s="2" t="n">
        <v>-43.6262</v>
      </c>
      <c r="Y1393" s="2" t="n">
        <v>171.6398</v>
      </c>
    </row>
    <row r="1394">
      <c r="A1394" s="2" t="inlineStr">
        <is>
          <t>Downer</t>
        </is>
      </c>
      <c r="B1394" s="2" t="inlineStr">
        <is>
          <t>MFAT - People &amp; Plant</t>
        </is>
      </c>
      <c r="C1394" s="2" t="inlineStr">
        <is>
          <t>Other</t>
        </is>
      </c>
      <c r="D1394" s="2" t="inlineStr">
        <is>
          <t>L9.DNZJ.69701</t>
        </is>
      </c>
      <c r="E1394" s="2" t="n">
        <v>69701</v>
      </c>
      <c r="G1394" s="2" t="inlineStr">
        <is>
          <t>SI-NZF-69701-MFAT - People &amp; Plant</t>
        </is>
      </c>
      <c r="M1394" s="2" t="inlineStr">
        <is>
          <t>Auckland</t>
        </is>
      </c>
      <c r="N1394" s="2" t="inlineStr">
        <is>
          <t>New Zealand</t>
        </is>
      </c>
      <c r="P1394" s="2" t="inlineStr">
        <is>
          <t>Operational Control</t>
        </is>
      </c>
      <c r="Q1394" s="2" t="inlineStr">
        <is>
          <t>Operational Control</t>
        </is>
      </c>
      <c r="R1394" s="2" t="inlineStr">
        <is>
          <t>Social Infra &amp; Citizen Serv (SICS)</t>
        </is>
      </c>
      <c r="S1394" s="2" t="inlineStr">
        <is>
          <t>Downer</t>
        </is>
      </c>
      <c r="T1394" s="2" t="n">
        <v>100</v>
      </c>
      <c r="W1394" s="2" t="inlineStr">
        <is>
          <t>Classification</t>
        </is>
      </c>
    </row>
    <row r="1395">
      <c r="A1395" s="2" t="inlineStr">
        <is>
          <t>Downer</t>
        </is>
      </c>
      <c r="B1395" s="2" t="inlineStr">
        <is>
          <t>Mgmt &amp; Support EU Subcontractors</t>
        </is>
      </c>
      <c r="C1395" s="2" t="inlineStr">
        <is>
          <t>Other</t>
        </is>
      </c>
      <c r="D1395" s="2" t="inlineStr">
        <is>
          <t>L9.J.382110</t>
        </is>
      </c>
      <c r="E1395" s="2" t="inlineStr">
        <is>
          <t>L9.J.382110</t>
        </is>
      </c>
      <c r="F1395" s="2" t="inlineStr">
        <is>
          <t>L9.J.382110</t>
        </is>
      </c>
      <c r="M1395" s="2" t="inlineStr">
        <is>
          <t>Auckland</t>
        </is>
      </c>
      <c r="N1395" s="2" t="inlineStr">
        <is>
          <t>New Zealand</t>
        </is>
      </c>
      <c r="P1395" s="2" t="inlineStr">
        <is>
          <t>Operational Control</t>
        </is>
      </c>
      <c r="Q1395" s="2" t="inlineStr">
        <is>
          <t>Operational Control</t>
        </is>
      </c>
      <c r="R1395" s="2" t="inlineStr">
        <is>
          <t>Energy and Utilities (EU)</t>
        </is>
      </c>
      <c r="S1395" s="2" t="inlineStr">
        <is>
          <t>Downer</t>
        </is>
      </c>
      <c r="T1395" s="2" t="n">
        <v>100</v>
      </c>
      <c r="W1395" s="2" t="inlineStr">
        <is>
          <t>Classification</t>
        </is>
      </c>
    </row>
    <row r="1396">
      <c r="A1396" s="2" t="inlineStr">
        <is>
          <t>Downer</t>
        </is>
      </c>
      <c r="B1396" s="2" t="inlineStr">
        <is>
          <t>MICROSOFT DATA CENTRE</t>
        </is>
      </c>
      <c r="C1396" s="2" t="inlineStr">
        <is>
          <t>Other</t>
        </is>
      </c>
      <c r="D1396" s="2" t="inlineStr">
        <is>
          <t>L9.DNZ.HA0394</t>
        </is>
      </c>
      <c r="E1396" s="2" t="inlineStr">
        <is>
          <t>JP_HA0394</t>
        </is>
      </c>
      <c r="H1396" s="2" t="inlineStr">
        <is>
          <t>130 Kerrs Road</t>
        </is>
      </c>
      <c r="I1396" s="2" t="inlineStr">
        <is>
          <t>Wiri</t>
        </is>
      </c>
      <c r="J1396" s="2" t="inlineStr">
        <is>
          <t>Auckland</t>
        </is>
      </c>
      <c r="K1396" s="2" t="n">
        <v>2104</v>
      </c>
      <c r="L1396" s="2" t="inlineStr">
        <is>
          <t>New Zealand</t>
        </is>
      </c>
      <c r="M1396" s="2" t="inlineStr">
        <is>
          <t>Manurewa</t>
        </is>
      </c>
      <c r="N1396" s="2" t="inlineStr">
        <is>
          <t>New Zealand</t>
        </is>
      </c>
      <c r="P1396" s="2" t="inlineStr">
        <is>
          <t>Operational Control</t>
        </is>
      </c>
      <c r="Q1396" s="2" t="inlineStr">
        <is>
          <t>Operational Control</t>
        </is>
      </c>
      <c r="R1396" s="2" t="inlineStr">
        <is>
          <t>Transport &amp; Infrastructure (T&amp;I)</t>
        </is>
      </c>
      <c r="S1396" s="2" t="inlineStr">
        <is>
          <t>Downer</t>
        </is>
      </c>
      <c r="T1396" s="2" t="n">
        <v>100</v>
      </c>
      <c r="W1396" s="2" t="inlineStr">
        <is>
          <t>Classification</t>
        </is>
      </c>
      <c r="X1396" s="2" t="n">
        <v>-37.0083</v>
      </c>
      <c r="Y1396" s="2" t="n">
        <v>174.8705</v>
      </c>
    </row>
    <row r="1397">
      <c r="A1397" s="2" t="inlineStr">
        <is>
          <t>Downer</t>
        </is>
      </c>
      <c r="B1397" s="2" t="inlineStr">
        <is>
          <t>Microsurfacing</t>
        </is>
      </c>
      <c r="C1397" s="2" t="inlineStr">
        <is>
          <t>Other</t>
        </is>
      </c>
      <c r="D1397" s="2" t="inlineStr">
        <is>
          <t>L9.DNZJ.554217</t>
        </is>
      </c>
      <c r="E1397" s="2" t="n">
        <v>54217</v>
      </c>
      <c r="M1397" s="2" t="inlineStr">
        <is>
          <t>Auckland</t>
        </is>
      </c>
      <c r="N1397" s="2" t="inlineStr">
        <is>
          <t>New Zealand</t>
        </is>
      </c>
      <c r="P1397" s="2" t="inlineStr">
        <is>
          <t>Operational Control</t>
        </is>
      </c>
      <c r="Q1397" s="2" t="inlineStr">
        <is>
          <t>Operational Control</t>
        </is>
      </c>
      <c r="R1397" s="2" t="inlineStr">
        <is>
          <t>Transport &amp; Infrastructure (T&amp;I)</t>
        </is>
      </c>
      <c r="S1397" s="2" t="inlineStr">
        <is>
          <t>Downer</t>
        </is>
      </c>
      <c r="T1397" s="2" t="n">
        <v>100</v>
      </c>
      <c r="W1397" s="2" t="inlineStr">
        <is>
          <t>Classification</t>
        </is>
      </c>
    </row>
    <row r="1398">
      <c r="A1398" s="2" t="inlineStr">
        <is>
          <t>Downer</t>
        </is>
      </c>
      <c r="B1398" s="2" t="inlineStr">
        <is>
          <t>Middlemore Espresso Plus - 45002515</t>
        </is>
      </c>
      <c r="C1398" s="2" t="inlineStr">
        <is>
          <t>Other</t>
        </is>
      </c>
      <c r="D1398" s="2" t="inlineStr">
        <is>
          <t>L9.S.26016960</t>
        </is>
      </c>
      <c r="E1398" s="2" t="n">
        <v>2000004549</v>
      </c>
      <c r="G1398" s="2" t="inlineStr">
        <is>
          <t>As per INX, DNZ-NZF-26016960 - Middlemore Espresso Plus SD
L9.S.26016960</t>
        </is>
      </c>
      <c r="M1398" s="2" t="inlineStr">
        <is>
          <t>Auckland</t>
        </is>
      </c>
      <c r="N1398" s="2" t="inlineStr">
        <is>
          <t>New Zealand</t>
        </is>
      </c>
      <c r="P1398" s="2" t="inlineStr">
        <is>
          <t>Operational Control</t>
        </is>
      </c>
      <c r="Q1398" s="2" t="inlineStr">
        <is>
          <t>Operational Control</t>
        </is>
      </c>
      <c r="R1398" s="2" t="inlineStr">
        <is>
          <t>Social Infra &amp; Citizen Serv (SICS)</t>
        </is>
      </c>
      <c r="S1398" s="2" t="inlineStr">
        <is>
          <t>Downer</t>
        </is>
      </c>
      <c r="T1398" s="2" t="n">
        <v>100</v>
      </c>
      <c r="W1398" s="2" t="inlineStr">
        <is>
          <t>Classification</t>
        </is>
      </c>
    </row>
    <row r="1399">
      <c r="A1399" s="2" t="inlineStr">
        <is>
          <t>Downer</t>
        </is>
      </c>
      <c r="B1399" s="2" t="inlineStr">
        <is>
          <t>Milford Road Alliance</t>
        </is>
      </c>
      <c r="C1399" s="2" t="inlineStr">
        <is>
          <t>Other</t>
        </is>
      </c>
      <c r="D1399" s="2" t="inlineStr">
        <is>
          <t>L9.DNZJ.55393</t>
        </is>
      </c>
      <c r="E1399" s="2" t="inlineStr">
        <is>
          <t>L9.DNZJ.55393</t>
        </is>
      </c>
      <c r="M1399" s="2" t="inlineStr">
        <is>
          <t>Auckland</t>
        </is>
      </c>
      <c r="N1399" s="2" t="inlineStr">
        <is>
          <t>New Zealand</t>
        </is>
      </c>
      <c r="P1399" s="2" t="inlineStr">
        <is>
          <t>Operational Control</t>
        </is>
      </c>
      <c r="Q1399" s="2" t="inlineStr">
        <is>
          <t>Operational Control</t>
        </is>
      </c>
      <c r="R1399" s="2" t="inlineStr">
        <is>
          <t>Transport &amp; Infrastructure (T&amp;I)</t>
        </is>
      </c>
      <c r="S1399" s="2" t="inlineStr">
        <is>
          <t>Downer</t>
        </is>
      </c>
      <c r="T1399" s="2" t="n">
        <v>100</v>
      </c>
      <c r="W1399" s="2" t="inlineStr">
        <is>
          <t>Classification</t>
        </is>
      </c>
    </row>
    <row r="1400">
      <c r="A1400" s="2" t="inlineStr">
        <is>
          <t>Downer</t>
        </is>
      </c>
      <c r="B1400" s="2" t="inlineStr">
        <is>
          <t>Millings</t>
        </is>
      </c>
      <c r="C1400" s="2" t="inlineStr">
        <is>
          <t>Other</t>
        </is>
      </c>
      <c r="D1400" s="2" t="inlineStr">
        <is>
          <t>L9.DNZJ.3516</t>
        </is>
      </c>
      <c r="E1400" s="2" t="n">
        <v>3516</v>
      </c>
      <c r="H1400" s="2" t="inlineStr">
        <is>
          <t>130 Kerrs Road</t>
        </is>
      </c>
      <c r="I1400" s="2" t="inlineStr">
        <is>
          <t>Wiri</t>
        </is>
      </c>
      <c r="J1400" s="2" t="inlineStr">
        <is>
          <t>Auckland</t>
        </is>
      </c>
      <c r="K1400" s="2" t="n">
        <v>2104</v>
      </c>
      <c r="L1400" s="2" t="inlineStr">
        <is>
          <t>New Zealand</t>
        </is>
      </c>
      <c r="M1400" s="2" t="inlineStr">
        <is>
          <t>Manurewa</t>
        </is>
      </c>
      <c r="N1400" s="2" t="inlineStr">
        <is>
          <t>New Zealand</t>
        </is>
      </c>
      <c r="P1400" s="2" t="inlineStr">
        <is>
          <t>Operational Control</t>
        </is>
      </c>
      <c r="Q1400" s="2" t="inlineStr">
        <is>
          <t>Operational Control</t>
        </is>
      </c>
      <c r="R1400" s="2" t="inlineStr">
        <is>
          <t>Transport &amp; Infrastructure (T&amp;I)</t>
        </is>
      </c>
      <c r="S1400" s="2" t="inlineStr">
        <is>
          <t>Downer</t>
        </is>
      </c>
      <c r="T1400" s="2" t="n">
        <v>100</v>
      </c>
      <c r="W1400" s="2" t="inlineStr">
        <is>
          <t>Classification</t>
        </is>
      </c>
      <c r="X1400" s="2" t="n">
        <v>-37.0083</v>
      </c>
      <c r="Y1400" s="2" t="n">
        <v>174.8705</v>
      </c>
    </row>
    <row r="1401">
      <c r="A1401" s="2" t="inlineStr">
        <is>
          <t>Downer</t>
        </is>
      </c>
      <c r="B1401" s="2" t="inlineStr">
        <is>
          <t>Milton - Brisbane (QLD)</t>
        </is>
      </c>
      <c r="C1401" s="2" t="inlineStr">
        <is>
          <t>Office</t>
        </is>
      </c>
      <c r="D1401" s="2" t="inlineStr">
        <is>
          <t>L9.J.10920032</t>
        </is>
      </c>
      <c r="E1401" s="2" t="n">
        <v>1016</v>
      </c>
      <c r="G1401" s="2" t="inlineStr">
        <is>
          <t>Milton Head Office</t>
        </is>
      </c>
      <c r="H1401" s="2" t="inlineStr">
        <is>
          <t>135 Coronation Drive</t>
        </is>
      </c>
      <c r="I1401" s="2" t="inlineStr">
        <is>
          <t>Milton</t>
        </is>
      </c>
      <c r="J1401" s="2" t="inlineStr">
        <is>
          <t>QLD</t>
        </is>
      </c>
      <c r="K1401" s="2" t="n">
        <v>4064</v>
      </c>
      <c r="M1401" s="2" t="inlineStr">
        <is>
          <t>Milton</t>
        </is>
      </c>
      <c r="N1401" s="2" t="inlineStr">
        <is>
          <t>Australia</t>
        </is>
      </c>
      <c r="P1401" s="2" t="inlineStr">
        <is>
          <t>Operational Control</t>
        </is>
      </c>
      <c r="Q1401" s="2" t="inlineStr">
        <is>
          <t>Operational Control</t>
        </is>
      </c>
      <c r="R1401" s="2" t="inlineStr">
        <is>
          <t>Corporate</t>
        </is>
      </c>
      <c r="S1401" s="2" t="inlineStr">
        <is>
          <t>Downer</t>
        </is>
      </c>
      <c r="T1401" s="2" t="n">
        <v>100</v>
      </c>
      <c r="W1401" s="2" t="inlineStr">
        <is>
          <t>Classification</t>
        </is>
      </c>
      <c r="X1401" s="2" t="n">
        <v>-27.468329</v>
      </c>
      <c r="Y1401" s="2" t="n">
        <v>153.010271</v>
      </c>
      <c r="Z1401" s="2" t="n">
        <v>729</v>
      </c>
      <c r="AA1401" s="11" t="n">
        <v>43466</v>
      </c>
    </row>
    <row r="1402">
      <c r="A1402" s="2" t="inlineStr">
        <is>
          <t>Downer</t>
        </is>
      </c>
      <c r="B1402" s="2" t="inlineStr">
        <is>
          <t>MIMA EU Subcontractors</t>
        </is>
      </c>
      <c r="C1402" s="2" t="inlineStr">
        <is>
          <t>Other</t>
        </is>
      </c>
      <c r="D1402" s="2" t="inlineStr">
        <is>
          <t>L9.J.234853</t>
        </is>
      </c>
      <c r="E1402" s="2" t="inlineStr">
        <is>
          <t>L9.J.234853</t>
        </is>
      </c>
      <c r="M1402" s="2" t="inlineStr">
        <is>
          <t>North Ryde</t>
        </is>
      </c>
      <c r="N1402" s="2" t="inlineStr">
        <is>
          <t>Australia</t>
        </is>
      </c>
      <c r="P1402" s="2" t="inlineStr">
        <is>
          <t>Operational Control</t>
        </is>
      </c>
      <c r="Q1402" s="2" t="inlineStr">
        <is>
          <t>Operational Control</t>
        </is>
      </c>
      <c r="R1402" s="2" t="inlineStr">
        <is>
          <t>Energy and Utilities (EU)</t>
        </is>
      </c>
      <c r="S1402" s="2" t="inlineStr">
        <is>
          <t>Downer</t>
        </is>
      </c>
      <c r="T1402" s="2" t="n">
        <v>100</v>
      </c>
      <c r="W1402" s="2" t="inlineStr">
        <is>
          <t>Classification</t>
        </is>
      </c>
    </row>
    <row r="1403">
      <c r="A1403" s="2" t="inlineStr">
        <is>
          <t>Downer</t>
        </is>
      </c>
      <c r="B1403" s="2" t="inlineStr">
        <is>
          <t>MIMA FY18 Construction EU Subcontractors</t>
        </is>
      </c>
      <c r="C1403" s="2" t="inlineStr">
        <is>
          <t>Other</t>
        </is>
      </c>
      <c r="D1403" s="2" t="inlineStr">
        <is>
          <t>L9.J.23440326</t>
        </is>
      </c>
      <c r="E1403" s="2" t="inlineStr">
        <is>
          <t>L9.J.23440326</t>
        </is>
      </c>
      <c r="F1403" s="2" t="inlineStr">
        <is>
          <t>L9.J.23440326</t>
        </is>
      </c>
      <c r="M1403" s="2" t="inlineStr">
        <is>
          <t>North Ryde</t>
        </is>
      </c>
      <c r="N1403" s="2" t="inlineStr">
        <is>
          <t>Australia</t>
        </is>
      </c>
      <c r="P1403" s="2" t="inlineStr">
        <is>
          <t>Operational Control</t>
        </is>
      </c>
      <c r="Q1403" s="2" t="inlineStr">
        <is>
          <t>Operational Control</t>
        </is>
      </c>
      <c r="R1403" s="2" t="inlineStr">
        <is>
          <t>Energy and Utilities (EU)</t>
        </is>
      </c>
      <c r="S1403" s="2" t="inlineStr">
        <is>
          <t>Downer</t>
        </is>
      </c>
      <c r="T1403" s="2" t="n">
        <v>100</v>
      </c>
      <c r="W1403" s="2" t="inlineStr">
        <is>
          <t>Classification</t>
        </is>
      </c>
    </row>
    <row r="1404">
      <c r="A1404" s="2" t="inlineStr">
        <is>
          <t>Downer</t>
        </is>
      </c>
      <c r="B1404" s="2" t="inlineStr">
        <is>
          <t>Min of Justice Taupo/Rotorua 45003763</t>
        </is>
      </c>
      <c r="C1404" s="2" t="inlineStr">
        <is>
          <t>Other</t>
        </is>
      </c>
      <c r="D1404" s="2" t="inlineStr">
        <is>
          <t>L9.S.26018214</t>
        </is>
      </c>
      <c r="E1404" s="2" t="n">
        <v>2000004946</v>
      </c>
      <c r="H1404" s="2" t="inlineStr">
        <is>
          <t>130 Kerrs Road</t>
        </is>
      </c>
      <c r="I1404" s="2" t="inlineStr">
        <is>
          <t>Wiri</t>
        </is>
      </c>
      <c r="J1404" s="2" t="inlineStr">
        <is>
          <t>Auckland</t>
        </is>
      </c>
      <c r="K1404" s="2" t="n">
        <v>2104</v>
      </c>
      <c r="L1404" s="2" t="inlineStr">
        <is>
          <t>New Zealand</t>
        </is>
      </c>
      <c r="M1404" s="2" t="inlineStr">
        <is>
          <t>Manurewa</t>
        </is>
      </c>
      <c r="N1404" s="2" t="inlineStr">
        <is>
          <t>New Zealand</t>
        </is>
      </c>
      <c r="P1404" s="2" t="inlineStr">
        <is>
          <t>Operational Control</t>
        </is>
      </c>
      <c r="Q1404" s="2" t="inlineStr">
        <is>
          <t>Operational Control</t>
        </is>
      </c>
      <c r="R1404" s="2" t="inlineStr">
        <is>
          <t>Social Infra &amp; Citizen Serv (SICS)</t>
        </is>
      </c>
      <c r="S1404" s="2" t="inlineStr">
        <is>
          <t>Downer</t>
        </is>
      </c>
      <c r="T1404" s="2" t="n">
        <v>100</v>
      </c>
      <c r="W1404" s="2" t="inlineStr">
        <is>
          <t>Classification</t>
        </is>
      </c>
      <c r="X1404" s="2" t="n">
        <v>-37.0083</v>
      </c>
      <c r="Y1404" s="2" t="n">
        <v>174.8705</v>
      </c>
    </row>
    <row r="1405">
      <c r="A1405" s="2" t="inlineStr">
        <is>
          <t>Downer</t>
        </is>
      </c>
      <c r="B1405" s="2" t="inlineStr">
        <is>
          <t>Ministry of Social Development</t>
        </is>
      </c>
      <c r="C1405" s="2" t="inlineStr">
        <is>
          <t>Other</t>
        </is>
      </c>
      <c r="D1405" s="2" t="inlineStr">
        <is>
          <t>L9.DNZJ.55946</t>
        </is>
      </c>
      <c r="E1405" s="2" t="n">
        <v>55946</v>
      </c>
      <c r="F1405" s="2" t="n">
        <v>55946</v>
      </c>
      <c r="M1405" s="2" t="inlineStr">
        <is>
          <t>Auckland</t>
        </is>
      </c>
      <c r="N1405" s="2" t="inlineStr">
        <is>
          <t>New Zealand</t>
        </is>
      </c>
      <c r="P1405" s="2" t="inlineStr">
        <is>
          <t>Operational Control</t>
        </is>
      </c>
      <c r="Q1405" s="2" t="inlineStr">
        <is>
          <t>Operational Control</t>
        </is>
      </c>
      <c r="R1405" s="2" t="inlineStr">
        <is>
          <t>Transport &amp; Infrastructure (T&amp;I)</t>
        </is>
      </c>
      <c r="S1405" s="2" t="inlineStr">
        <is>
          <t>Downer</t>
        </is>
      </c>
      <c r="T1405" s="2" t="n">
        <v>100</v>
      </c>
      <c r="W1405" s="2" t="inlineStr">
        <is>
          <t>Classification</t>
        </is>
      </c>
    </row>
    <row r="1406">
      <c r="A1406" s="2" t="inlineStr">
        <is>
          <t>Downer</t>
        </is>
      </c>
      <c r="B1406" s="2" t="inlineStr">
        <is>
          <t>Minor Construction Works</t>
        </is>
      </c>
      <c r="C1406" s="2" t="inlineStr">
        <is>
          <t>Project</t>
        </is>
      </c>
      <c r="D1406" s="2" t="inlineStr">
        <is>
          <t>L9.DNZJ.561366</t>
        </is>
      </c>
      <c r="E1406" s="2" t="n">
        <v>561366</v>
      </c>
      <c r="G1406" s="2" t="inlineStr">
        <is>
          <t>UT-NZU-561366-Minor (UT-NZU-Water Northern)</t>
        </is>
      </c>
      <c r="M1406" s="2" t="inlineStr">
        <is>
          <t>Wellington</t>
        </is>
      </c>
      <c r="N1406" s="2" t="inlineStr">
        <is>
          <t>New Zealand</t>
        </is>
      </c>
      <c r="P1406" s="2" t="inlineStr">
        <is>
          <t>Operational Control</t>
        </is>
      </c>
      <c r="Q1406" s="2" t="inlineStr">
        <is>
          <t>Operational Control</t>
        </is>
      </c>
      <c r="R1406" s="2" t="inlineStr">
        <is>
          <t>Energy and Utilities (EU)</t>
        </is>
      </c>
      <c r="S1406" s="2" t="inlineStr">
        <is>
          <t>Downer</t>
        </is>
      </c>
      <c r="T1406" s="2" t="n">
        <v>100</v>
      </c>
      <c r="W1406" s="2" t="inlineStr">
        <is>
          <t>Classification</t>
        </is>
      </c>
    </row>
    <row r="1407">
      <c r="A1407" s="2" t="inlineStr">
        <is>
          <t>Downer</t>
        </is>
      </c>
      <c r="B1407" s="2" t="inlineStr">
        <is>
          <t>Minor Site Works</t>
        </is>
      </c>
      <c r="C1407" s="2" t="inlineStr">
        <is>
          <t>Other</t>
        </is>
      </c>
      <c r="D1407" s="2" t="inlineStr">
        <is>
          <t>L9.DNZJ.312010</t>
        </is>
      </c>
      <c r="E1407" s="2" t="n">
        <v>312010</v>
      </c>
      <c r="H1407" s="2" t="inlineStr">
        <is>
          <t>130 Kerrs Road</t>
        </is>
      </c>
      <c r="I1407" s="2" t="inlineStr">
        <is>
          <t>Wiri</t>
        </is>
      </c>
      <c r="J1407" s="2" t="inlineStr">
        <is>
          <t>Auckland</t>
        </is>
      </c>
      <c r="K1407" s="2" t="n">
        <v>2104</v>
      </c>
      <c r="L1407" s="2" t="inlineStr">
        <is>
          <t>New Zealand</t>
        </is>
      </c>
      <c r="M1407" s="2" t="inlineStr">
        <is>
          <t>Manurewa</t>
        </is>
      </c>
      <c r="N1407" s="2" t="inlineStr">
        <is>
          <t>New Zealand</t>
        </is>
      </c>
      <c r="P1407" s="2" t="inlineStr">
        <is>
          <t>Operational Control</t>
        </is>
      </c>
      <c r="Q1407" s="2" t="inlineStr">
        <is>
          <t>Operational Control</t>
        </is>
      </c>
      <c r="R1407" s="2" t="inlineStr">
        <is>
          <t>Transport &amp; Infrastructure (T&amp;I)</t>
        </is>
      </c>
      <c r="S1407" s="2" t="inlineStr">
        <is>
          <t>Downer</t>
        </is>
      </c>
      <c r="T1407" s="2" t="n">
        <v>100</v>
      </c>
      <c r="W1407" s="2" t="inlineStr">
        <is>
          <t>Classification</t>
        </is>
      </c>
      <c r="X1407" s="2" t="n">
        <v>-37.0083</v>
      </c>
      <c r="Y1407" s="2" t="n">
        <v>174.8705</v>
      </c>
    </row>
    <row r="1408">
      <c r="A1408" s="2" t="inlineStr">
        <is>
          <t>Downer</t>
        </is>
      </c>
      <c r="B1408" s="2" t="inlineStr">
        <is>
          <t>Minor Works EU Subcontractors</t>
        </is>
      </c>
      <c r="C1408" s="2" t="inlineStr">
        <is>
          <t>Other</t>
        </is>
      </c>
      <c r="D1408" s="2" t="inlineStr">
        <is>
          <t>L9.J.39220118</t>
        </is>
      </c>
      <c r="E1408" s="2" t="inlineStr">
        <is>
          <t>L9.J.39220118</t>
        </is>
      </c>
      <c r="M1408" s="2" t="inlineStr">
        <is>
          <t>North Ryde</t>
        </is>
      </c>
      <c r="N1408" s="2" t="inlineStr">
        <is>
          <t>Australia</t>
        </is>
      </c>
      <c r="P1408" s="2" t="inlineStr">
        <is>
          <t>Operational Control</t>
        </is>
      </c>
      <c r="Q1408" s="2" t="inlineStr">
        <is>
          <t>Operational Control</t>
        </is>
      </c>
      <c r="R1408" s="2" t="inlineStr">
        <is>
          <t>Energy and Utilities (EU)</t>
        </is>
      </c>
      <c r="S1408" s="2" t="inlineStr">
        <is>
          <t>Downer</t>
        </is>
      </c>
      <c r="T1408" s="2" t="n">
        <v>100</v>
      </c>
      <c r="W1408" s="2" t="inlineStr">
        <is>
          <t>Classification</t>
        </is>
      </c>
    </row>
    <row r="1409">
      <c r="A1409" s="2" t="inlineStr">
        <is>
          <t>Downer</t>
        </is>
      </c>
      <c r="B1409" s="2" t="inlineStr">
        <is>
          <t>Minor Works Kaikoura 2018-19</t>
        </is>
      </c>
      <c r="C1409" s="2" t="inlineStr">
        <is>
          <t>Other</t>
        </is>
      </c>
      <c r="D1409" s="2" t="inlineStr">
        <is>
          <t>L9.DNZJ.553624</t>
        </is>
      </c>
      <c r="E1409" s="2" t="n">
        <v>553624</v>
      </c>
      <c r="H1409" s="2" t="inlineStr">
        <is>
          <t>130 Kerrs Road</t>
        </is>
      </c>
      <c r="I1409" s="2" t="inlineStr">
        <is>
          <t>Wiri</t>
        </is>
      </c>
      <c r="J1409" s="2" t="inlineStr">
        <is>
          <t>Auckland</t>
        </is>
      </c>
      <c r="K1409" s="2" t="n">
        <v>2104</v>
      </c>
      <c r="L1409" s="2" t="inlineStr">
        <is>
          <t>New Zealand</t>
        </is>
      </c>
      <c r="M1409" s="2" t="inlineStr">
        <is>
          <t>Manurewa</t>
        </is>
      </c>
      <c r="N1409" s="2" t="inlineStr">
        <is>
          <t>New Zealand</t>
        </is>
      </c>
      <c r="P1409" s="2" t="inlineStr">
        <is>
          <t>Operational Control</t>
        </is>
      </c>
      <c r="Q1409" s="2" t="inlineStr">
        <is>
          <t>Operational Control</t>
        </is>
      </c>
      <c r="R1409" s="2" t="inlineStr">
        <is>
          <t>Transport &amp; Infrastructure (T&amp;I)</t>
        </is>
      </c>
      <c r="S1409" s="2" t="inlineStr">
        <is>
          <t>Downer</t>
        </is>
      </c>
      <c r="T1409" s="2" t="n">
        <v>100</v>
      </c>
      <c r="W1409" s="2" t="inlineStr">
        <is>
          <t>Classification</t>
        </is>
      </c>
      <c r="X1409" s="2" t="n">
        <v>-37.0083</v>
      </c>
      <c r="Y1409" s="2" t="n">
        <v>174.8705</v>
      </c>
    </row>
    <row r="1410">
      <c r="A1410" s="2" t="inlineStr">
        <is>
          <t>Downer</t>
        </is>
      </c>
      <c r="B1410" s="2" t="inlineStr">
        <is>
          <t>Minor Works Whanganui Const</t>
        </is>
      </c>
      <c r="C1410" s="2" t="inlineStr">
        <is>
          <t>Other</t>
        </is>
      </c>
      <c r="D1410" s="2" t="inlineStr">
        <is>
          <t>L9.DNZJ.552400</t>
        </is>
      </c>
      <c r="E1410" s="2" t="n">
        <v>552400</v>
      </c>
      <c r="H1410" s="2" t="inlineStr">
        <is>
          <t>130 Kerrs Road</t>
        </is>
      </c>
      <c r="I1410" s="2" t="inlineStr">
        <is>
          <t>Wiri</t>
        </is>
      </c>
      <c r="J1410" s="2" t="inlineStr">
        <is>
          <t>Auckland</t>
        </is>
      </c>
      <c r="K1410" s="2" t="n">
        <v>2104</v>
      </c>
      <c r="L1410" s="2" t="inlineStr">
        <is>
          <t>New Zealand</t>
        </is>
      </c>
      <c r="M1410" s="2" t="inlineStr">
        <is>
          <t>Manurewa</t>
        </is>
      </c>
      <c r="N1410" s="2" t="inlineStr">
        <is>
          <t>New Zealand</t>
        </is>
      </c>
      <c r="P1410" s="2" t="inlineStr">
        <is>
          <t>Operational Control</t>
        </is>
      </c>
      <c r="Q1410" s="2" t="inlineStr">
        <is>
          <t>Operational Control</t>
        </is>
      </c>
      <c r="R1410" s="2" t="inlineStr">
        <is>
          <t>Transport &amp; Infrastructure (T&amp;I)</t>
        </is>
      </c>
      <c r="S1410" s="2" t="inlineStr">
        <is>
          <t>Downer</t>
        </is>
      </c>
      <c r="T1410" s="2" t="n">
        <v>100</v>
      </c>
      <c r="W1410" s="2" t="inlineStr">
        <is>
          <t>Classification</t>
        </is>
      </c>
      <c r="X1410" s="2" t="n">
        <v>-37.0083</v>
      </c>
      <c r="Y1410" s="2" t="n">
        <v>174.8705</v>
      </c>
    </row>
    <row r="1411">
      <c r="A1411" s="2" t="inlineStr">
        <is>
          <t>Downer</t>
        </is>
      </c>
      <c r="B1411" s="2" t="inlineStr">
        <is>
          <t>Miscellaneous Utilities</t>
        </is>
      </c>
      <c r="C1411" s="2" t="inlineStr">
        <is>
          <t>Other</t>
        </is>
      </c>
      <c r="E1411" s="2" t="n">
        <v>241599</v>
      </c>
      <c r="G1411" s="2" t="inlineStr">
        <is>
          <t>Allocation in the absence of further information for:
251 Princes Highway, Bega (original code 1583586 unable to find in record. Use Location Ref 241599)</t>
        </is>
      </c>
      <c r="M1411" s="2" t="inlineStr">
        <is>
          <t>New South Wales</t>
        </is>
      </c>
      <c r="N1411" s="2" t="inlineStr">
        <is>
          <t>Australia</t>
        </is>
      </c>
      <c r="P1411" s="2" t="inlineStr">
        <is>
          <t>Operational Control</t>
        </is>
      </c>
      <c r="Q1411" s="2" t="inlineStr">
        <is>
          <t>Operational Control</t>
        </is>
      </c>
      <c r="R1411" s="2" t="inlineStr">
        <is>
          <t>Energy and Utilities (EU)</t>
        </is>
      </c>
      <c r="S1411" s="2" t="inlineStr">
        <is>
          <t>Downer</t>
        </is>
      </c>
      <c r="T1411" s="2" t="n">
        <v>100</v>
      </c>
      <c r="W1411" s="2" t="inlineStr">
        <is>
          <t>Classification</t>
        </is>
      </c>
    </row>
    <row r="1412">
      <c r="A1412" s="2" t="inlineStr">
        <is>
          <t>Downer</t>
        </is>
      </c>
      <c r="B1412" s="2" t="inlineStr">
        <is>
          <t>MMA</t>
        </is>
      </c>
      <c r="C1412" s="2" t="inlineStr">
        <is>
          <t>Other</t>
        </is>
      </c>
      <c r="D1412" s="2" t="inlineStr">
        <is>
          <t>L9.DNZJ.883005</t>
        </is>
      </c>
      <c r="E1412" s="2" t="n">
        <v>883005</v>
      </c>
      <c r="M1412" s="2" t="inlineStr">
        <is>
          <t>Manurewa</t>
        </is>
      </c>
      <c r="N1412" s="2" t="inlineStr">
        <is>
          <t>New Zealand</t>
        </is>
      </c>
      <c r="P1412" s="2" t="inlineStr">
        <is>
          <t>Operational Control</t>
        </is>
      </c>
      <c r="Q1412" s="2" t="inlineStr">
        <is>
          <t>Operational Control</t>
        </is>
      </c>
      <c r="R1412" s="2" t="inlineStr">
        <is>
          <t>Transport &amp; Infrastructure (T&amp;I)</t>
        </is>
      </c>
      <c r="S1412" s="2" t="inlineStr">
        <is>
          <t>Downer</t>
        </is>
      </c>
      <c r="T1412" s="2" t="n">
        <v>100</v>
      </c>
      <c r="W1412" s="2" t="inlineStr">
        <is>
          <t>Classification</t>
        </is>
      </c>
    </row>
    <row r="1413">
      <c r="A1413" s="2" t="inlineStr">
        <is>
          <t>Downer</t>
        </is>
      </c>
      <c r="B1413" s="2" t="inlineStr">
        <is>
          <t>Moana (2178b Arnold Valley Rd)</t>
        </is>
      </c>
      <c r="C1413" s="2" t="inlineStr">
        <is>
          <t>Residential</t>
        </is>
      </c>
      <c r="D1413" s="2" t="inlineStr">
        <is>
          <t>L9.DNZJ.91386</t>
        </is>
      </c>
      <c r="E1413" s="2" t="n">
        <v>91386</v>
      </c>
      <c r="G1413" s="2" t="inlineStr">
        <is>
          <t>COR-NZHO.91386-Moana (2178b Arnold Valley Rd)
2178B Arnold Valley Road  Moana 7872  West Coast Region</t>
        </is>
      </c>
      <c r="M1413" s="2" t="inlineStr">
        <is>
          <t>West Coast</t>
        </is>
      </c>
      <c r="N1413" s="2" t="inlineStr">
        <is>
          <t>New Zealand</t>
        </is>
      </c>
      <c r="P1413" s="2" t="inlineStr">
        <is>
          <t>Operational Control</t>
        </is>
      </c>
      <c r="Q1413" s="2" t="inlineStr">
        <is>
          <t>Operational Control</t>
        </is>
      </c>
      <c r="R1413" s="2" t="inlineStr">
        <is>
          <t>Transport &amp; Infrastructure (T&amp;I)</t>
        </is>
      </c>
      <c r="S1413" s="2" t="inlineStr">
        <is>
          <t>Downer</t>
        </is>
      </c>
      <c r="T1413" s="2" t="n">
        <v>100</v>
      </c>
      <c r="W1413" s="2" t="inlineStr">
        <is>
          <t>Classification</t>
        </is>
      </c>
    </row>
    <row r="1414">
      <c r="A1414" s="2" t="inlineStr">
        <is>
          <t>Downer</t>
        </is>
      </c>
      <c r="B1414" s="2" t="inlineStr">
        <is>
          <t>Moana (2180 Arnold Valley Rd)</t>
        </is>
      </c>
      <c r="C1414" s="2" t="inlineStr">
        <is>
          <t>Residential</t>
        </is>
      </c>
      <c r="D1414" s="2" t="inlineStr">
        <is>
          <t>L9.DNZJ.91385</t>
        </is>
      </c>
      <c r="E1414" s="2" t="n">
        <v>91385</v>
      </c>
      <c r="G1414" s="2" t="inlineStr">
        <is>
          <t>COR-NZHO.91385-Moana (2180 Arnold Valley Rd)
2180 Arnold Valley Road  Moana 7872  West Coast Region</t>
        </is>
      </c>
      <c r="H1414" s="2" t="inlineStr">
        <is>
          <t>2180 Arnold Valley Road  Moana</t>
        </is>
      </c>
      <c r="I1414" s="2" t="inlineStr">
        <is>
          <t>Moana</t>
        </is>
      </c>
      <c r="K1414" s="2" t="n">
        <v>7872</v>
      </c>
      <c r="L1414" s="2" t="inlineStr">
        <is>
          <t>West Coast</t>
        </is>
      </c>
      <c r="M1414" s="2" t="inlineStr">
        <is>
          <t>West Coast</t>
        </is>
      </c>
      <c r="N1414" s="2" t="inlineStr">
        <is>
          <t>New Zealand</t>
        </is>
      </c>
      <c r="P1414" s="2" t="inlineStr">
        <is>
          <t>Operational Control</t>
        </is>
      </c>
      <c r="Q1414" s="2" t="inlineStr">
        <is>
          <t>Operational Control</t>
        </is>
      </c>
      <c r="R1414" s="2" t="inlineStr">
        <is>
          <t>Transport &amp; Infrastructure (T&amp;I)</t>
        </is>
      </c>
      <c r="S1414" s="2" t="inlineStr">
        <is>
          <t>Downer</t>
        </is>
      </c>
      <c r="T1414" s="2" t="n">
        <v>100</v>
      </c>
      <c r="W1414" s="2" t="inlineStr">
        <is>
          <t>Classification</t>
        </is>
      </c>
    </row>
    <row r="1415">
      <c r="A1415" s="2" t="inlineStr">
        <is>
          <t>Downer</t>
        </is>
      </c>
      <c r="B1415" s="2" t="inlineStr">
        <is>
          <t>Mobile AC Plant</t>
        </is>
      </c>
      <c r="C1415" s="2" t="inlineStr">
        <is>
          <t>Asphalt Plant</t>
        </is>
      </c>
      <c r="D1415" s="2" t="inlineStr">
        <is>
          <t>L9.DNZJ.3512</t>
        </is>
      </c>
      <c r="E1415" s="2" t="n">
        <v>3512</v>
      </c>
      <c r="H1415" s="2" t="inlineStr">
        <is>
          <t>130 Kerrs Road</t>
        </is>
      </c>
      <c r="I1415" s="2" t="inlineStr">
        <is>
          <t>Wiri</t>
        </is>
      </c>
      <c r="J1415" s="2" t="inlineStr">
        <is>
          <t>Auckland</t>
        </is>
      </c>
      <c r="K1415" s="2" t="n">
        <v>2104</v>
      </c>
      <c r="L1415" s="2" t="inlineStr">
        <is>
          <t>New Zealand</t>
        </is>
      </c>
      <c r="M1415" s="2" t="inlineStr">
        <is>
          <t>Manurewa</t>
        </is>
      </c>
      <c r="N1415" s="2" t="inlineStr">
        <is>
          <t>New Zealand</t>
        </is>
      </c>
      <c r="P1415" s="2" t="inlineStr">
        <is>
          <t>Operational Control</t>
        </is>
      </c>
      <c r="Q1415" s="2" t="inlineStr">
        <is>
          <t>Operational Control</t>
        </is>
      </c>
      <c r="R1415" s="2" t="inlineStr">
        <is>
          <t>Transport &amp; Infrastructure (T&amp;I)</t>
        </is>
      </c>
      <c r="S1415" s="2" t="inlineStr">
        <is>
          <t>Downer</t>
        </is>
      </c>
      <c r="T1415" s="2" t="n">
        <v>100</v>
      </c>
      <c r="W1415" s="2" t="inlineStr">
        <is>
          <t>Classification</t>
        </is>
      </c>
      <c r="X1415" s="2" t="n">
        <v>-37.0083</v>
      </c>
      <c r="Y1415" s="2" t="n">
        <v>174.8705</v>
      </c>
    </row>
    <row r="1416">
      <c r="A1416" s="2" t="inlineStr">
        <is>
          <t>Downer</t>
        </is>
      </c>
      <c r="B1416" s="2" t="inlineStr">
        <is>
          <t>Mobile Data Collection</t>
        </is>
      </c>
      <c r="C1416" s="2" t="inlineStr">
        <is>
          <t>Other</t>
        </is>
      </c>
      <c r="D1416" s="2" t="inlineStr">
        <is>
          <t>L9.DNZJ.3526</t>
        </is>
      </c>
      <c r="E1416" s="2" t="n">
        <v>3526</v>
      </c>
      <c r="H1416" s="2" t="inlineStr">
        <is>
          <t>130 Kerrs Road</t>
        </is>
      </c>
      <c r="I1416" s="2" t="inlineStr">
        <is>
          <t>Wiri</t>
        </is>
      </c>
      <c r="J1416" s="2" t="inlineStr">
        <is>
          <t>Auckland</t>
        </is>
      </c>
      <c r="K1416" s="2" t="n">
        <v>2104</v>
      </c>
      <c r="L1416" s="2" t="inlineStr">
        <is>
          <t>New Zealand</t>
        </is>
      </c>
      <c r="M1416" s="2" t="inlineStr">
        <is>
          <t>Manurewa</t>
        </is>
      </c>
      <c r="N1416" s="2" t="inlineStr">
        <is>
          <t>New Zealand</t>
        </is>
      </c>
      <c r="P1416" s="2" t="inlineStr">
        <is>
          <t>Operational Control</t>
        </is>
      </c>
      <c r="Q1416" s="2" t="inlineStr">
        <is>
          <t>Operational Control</t>
        </is>
      </c>
      <c r="R1416" s="2" t="inlineStr">
        <is>
          <t>Transport &amp; Infrastructure (T&amp;I)</t>
        </is>
      </c>
      <c r="S1416" s="2" t="inlineStr">
        <is>
          <t>Downer</t>
        </is>
      </c>
      <c r="T1416" s="2" t="n">
        <v>100</v>
      </c>
      <c r="W1416" s="2" t="inlineStr">
        <is>
          <t>Classification</t>
        </is>
      </c>
      <c r="X1416" s="2" t="n">
        <v>-37.0083</v>
      </c>
      <c r="Y1416" s="2" t="n">
        <v>174.8705</v>
      </c>
    </row>
    <row r="1417">
      <c r="A1417" s="2" t="inlineStr">
        <is>
          <t>Downer</t>
        </is>
      </c>
      <c r="B1417" s="2" t="inlineStr">
        <is>
          <t>Mobile Laboratory</t>
        </is>
      </c>
      <c r="C1417" s="2" t="inlineStr">
        <is>
          <t>Other</t>
        </is>
      </c>
      <c r="D1417" s="2" t="inlineStr">
        <is>
          <t>L9.DNZJ.3524</t>
        </is>
      </c>
      <c r="E1417" s="2" t="n">
        <v>3524</v>
      </c>
      <c r="H1417" s="2" t="inlineStr">
        <is>
          <t>130 Kerrs Road</t>
        </is>
      </c>
      <c r="I1417" s="2" t="inlineStr">
        <is>
          <t>Wiri</t>
        </is>
      </c>
      <c r="J1417" s="2" t="inlineStr">
        <is>
          <t>Auckland</t>
        </is>
      </c>
      <c r="K1417" s="2" t="n">
        <v>2104</v>
      </c>
      <c r="L1417" s="2" t="inlineStr">
        <is>
          <t>New Zealand</t>
        </is>
      </c>
      <c r="M1417" s="2" t="inlineStr">
        <is>
          <t>Manurewa</t>
        </is>
      </c>
      <c r="N1417" s="2" t="inlineStr">
        <is>
          <t>New Zealand</t>
        </is>
      </c>
      <c r="P1417" s="2" t="inlineStr">
        <is>
          <t>Operational Control</t>
        </is>
      </c>
      <c r="Q1417" s="2" t="inlineStr">
        <is>
          <t>Operational Control</t>
        </is>
      </c>
      <c r="R1417" s="2" t="inlineStr">
        <is>
          <t>Transport &amp; Infrastructure (T&amp;I)</t>
        </is>
      </c>
      <c r="S1417" s="2" t="inlineStr">
        <is>
          <t>Downer</t>
        </is>
      </c>
      <c r="T1417" s="2" t="n">
        <v>100</v>
      </c>
      <c r="W1417" s="2" t="inlineStr">
        <is>
          <t>Classification</t>
        </is>
      </c>
      <c r="X1417" s="2" t="n">
        <v>-37.0083</v>
      </c>
      <c r="Y1417" s="2" t="n">
        <v>174.8705</v>
      </c>
    </row>
    <row r="1418">
      <c r="A1418" s="2" t="inlineStr">
        <is>
          <t>Downer</t>
        </is>
      </c>
      <c r="B1418" s="2" t="inlineStr">
        <is>
          <t>Mobile.ISP Miscellaneous Work EU Subcontractors</t>
        </is>
      </c>
      <c r="C1418" s="2" t="inlineStr">
        <is>
          <t>Other</t>
        </is>
      </c>
      <c r="D1418" s="2" t="inlineStr">
        <is>
          <t>L9.DNZ.810.20781</t>
        </is>
      </c>
      <c r="E1418" s="2" t="inlineStr">
        <is>
          <t>L9.DNZ.810.20781</t>
        </is>
      </c>
      <c r="F1418" s="2" t="inlineStr">
        <is>
          <t>L9.DNZ.810.20781</t>
        </is>
      </c>
      <c r="M1418" s="2" t="inlineStr">
        <is>
          <t>North Ryde</t>
        </is>
      </c>
      <c r="N1418" s="2" t="inlineStr">
        <is>
          <t>Australia</t>
        </is>
      </c>
      <c r="P1418" s="2" t="inlineStr">
        <is>
          <t>Operational Control</t>
        </is>
      </c>
      <c r="Q1418" s="2" t="inlineStr">
        <is>
          <t>Operational Control</t>
        </is>
      </c>
      <c r="R1418" s="2" t="inlineStr">
        <is>
          <t>Energy and Utilities (EU)</t>
        </is>
      </c>
      <c r="S1418" s="2" t="inlineStr">
        <is>
          <t>Downer</t>
        </is>
      </c>
      <c r="T1418" s="2" t="n">
        <v>100</v>
      </c>
      <c r="W1418" s="2" t="inlineStr">
        <is>
          <t>Classification</t>
        </is>
      </c>
    </row>
    <row r="1419">
      <c r="A1419" s="2" t="inlineStr">
        <is>
          <t>Downer</t>
        </is>
      </c>
      <c r="B1419" s="2" t="inlineStr">
        <is>
          <t>Mogo - P&amp;E</t>
        </is>
      </c>
      <c r="C1419" s="2" t="inlineStr">
        <is>
          <t>Plant</t>
        </is>
      </c>
      <c r="D1419" s="2" t="inlineStr">
        <is>
          <t>L9.J.170136</t>
        </is>
      </c>
      <c r="E1419" s="2" t="inlineStr">
        <is>
          <t>MOGOP&amp;E</t>
        </is>
      </c>
      <c r="M1419" s="2" t="inlineStr">
        <is>
          <t>New South Wales</t>
        </is>
      </c>
      <c r="N1419" s="2" t="inlineStr">
        <is>
          <t>Australia</t>
        </is>
      </c>
      <c r="P1419" s="2" t="inlineStr">
        <is>
          <t>Operational Control</t>
        </is>
      </c>
      <c r="Q1419" s="2" t="inlineStr">
        <is>
          <t>Operational Control</t>
        </is>
      </c>
      <c r="R1419" s="2" t="inlineStr">
        <is>
          <t>Transport &amp; Infrastructure (T&amp;I)</t>
        </is>
      </c>
      <c r="S1419" s="2" t="inlineStr">
        <is>
          <t>Downer</t>
        </is>
      </c>
      <c r="T1419" s="2" t="n">
        <v>100</v>
      </c>
      <c r="W1419" s="2" t="inlineStr">
        <is>
          <t>Classification</t>
        </is>
      </c>
    </row>
    <row r="1420">
      <c r="A1420" s="2" t="inlineStr">
        <is>
          <t>Downer</t>
        </is>
      </c>
      <c r="B1420" s="2" t="inlineStr">
        <is>
          <t>Molonglo Zone Substation</t>
        </is>
      </c>
      <c r="C1420" s="2" t="inlineStr">
        <is>
          <t>Site</t>
        </is>
      </c>
      <c r="D1420" s="2" t="inlineStr">
        <is>
          <t>L9.J.37740119</t>
        </is>
      </c>
      <c r="E1420" s="2" t="n">
        <v>37740119</v>
      </c>
      <c r="M1420" s="2" t="inlineStr">
        <is>
          <t>Australian Capital Territory</t>
        </is>
      </c>
      <c r="N1420" s="2" t="inlineStr">
        <is>
          <t>Australia</t>
        </is>
      </c>
      <c r="P1420" s="2" t="inlineStr">
        <is>
          <t>Operational Control</t>
        </is>
      </c>
      <c r="Q1420" s="2" t="inlineStr">
        <is>
          <t>Operational Control</t>
        </is>
      </c>
      <c r="R1420" s="2" t="inlineStr">
        <is>
          <t>Energy and Utilities (EU)</t>
        </is>
      </c>
      <c r="S1420" s="2" t="inlineStr">
        <is>
          <t>Downer</t>
        </is>
      </c>
      <c r="T1420" s="2" t="n">
        <v>100</v>
      </c>
      <c r="U1420" s="11" t="n">
        <v>45474</v>
      </c>
      <c r="W1420" s="2" t="inlineStr">
        <is>
          <t>Classification</t>
        </is>
      </c>
    </row>
    <row r="1421">
      <c r="A1421" s="2" t="inlineStr">
        <is>
          <t>Downer</t>
        </is>
      </c>
      <c r="B1421" s="2" t="inlineStr">
        <is>
          <t>MRPV Clyde Road</t>
        </is>
      </c>
      <c r="C1421" s="2" t="inlineStr">
        <is>
          <t>Site</t>
        </is>
      </c>
      <c r="D1421" s="2" t="n">
        <v>24190252</v>
      </c>
      <c r="M1421" s="2" t="inlineStr">
        <is>
          <t>Berwick</t>
        </is>
      </c>
      <c r="N1421" s="2" t="inlineStr">
        <is>
          <t>Australia</t>
        </is>
      </c>
      <c r="P1421" s="2" t="inlineStr">
        <is>
          <t>Operational Control</t>
        </is>
      </c>
      <c r="Q1421" s="2" t="inlineStr">
        <is>
          <t>Operational Control</t>
        </is>
      </c>
      <c r="R1421" s="2" t="inlineStr">
        <is>
          <t>Energy and Utilities (EU)</t>
        </is>
      </c>
      <c r="S1421" s="2" t="inlineStr">
        <is>
          <t>Downer</t>
        </is>
      </c>
      <c r="T1421" s="2" t="n">
        <v>100</v>
      </c>
      <c r="U1421" s="11" t="n">
        <v>45474</v>
      </c>
      <c r="W1421" s="2" t="inlineStr">
        <is>
          <t>Classification</t>
        </is>
      </c>
    </row>
    <row r="1422">
      <c r="A1422" s="2" t="inlineStr">
        <is>
          <t>Downer</t>
        </is>
      </c>
      <c r="B1422" s="2" t="inlineStr">
        <is>
          <t>MT BD &amp; Int'l Operations EU Subcontractors</t>
        </is>
      </c>
      <c r="C1422" s="2" t="inlineStr">
        <is>
          <t>Other</t>
        </is>
      </c>
      <c r="D1422" s="2" t="inlineStr">
        <is>
          <t>L9.ENG.982.11.845</t>
        </is>
      </c>
      <c r="E1422" s="2" t="inlineStr">
        <is>
          <t>L9.ENG.982.11.845</t>
        </is>
      </c>
      <c r="M1422" s="2" t="inlineStr">
        <is>
          <t>North Ryde</t>
        </is>
      </c>
      <c r="N1422" s="2" t="inlineStr">
        <is>
          <t>Australia</t>
        </is>
      </c>
      <c r="P1422" s="2" t="inlineStr">
        <is>
          <t>Operational Control</t>
        </is>
      </c>
      <c r="Q1422" s="2" t="inlineStr">
        <is>
          <t>Operational Control</t>
        </is>
      </c>
      <c r="R1422" s="2" t="inlineStr">
        <is>
          <t>Energy and Utilities (EU)</t>
        </is>
      </c>
      <c r="S1422" s="2" t="inlineStr">
        <is>
          <t>Downer</t>
        </is>
      </c>
      <c r="T1422" s="2" t="n">
        <v>100</v>
      </c>
      <c r="W1422" s="2" t="inlineStr">
        <is>
          <t>Classification</t>
        </is>
      </c>
    </row>
    <row r="1423">
      <c r="A1423" s="2" t="inlineStr">
        <is>
          <t>Downer</t>
        </is>
      </c>
      <c r="B1423" s="2" t="inlineStr">
        <is>
          <t>MT Business Development OH EU Subcontractors</t>
        </is>
      </c>
      <c r="C1423" s="2" t="inlineStr">
        <is>
          <t>Other</t>
        </is>
      </c>
      <c r="D1423" s="2" t="inlineStr">
        <is>
          <t>L9.J.395204</t>
        </is>
      </c>
      <c r="E1423" s="2" t="inlineStr">
        <is>
          <t>L9.J.395204</t>
        </is>
      </c>
      <c r="F1423" s="2" t="inlineStr">
        <is>
          <t>L9.J.395204</t>
        </is>
      </c>
      <c r="M1423" s="2" t="inlineStr">
        <is>
          <t>Auckland</t>
        </is>
      </c>
      <c r="N1423" s="2" t="inlineStr">
        <is>
          <t>New Zealand</t>
        </is>
      </c>
      <c r="P1423" s="2" t="inlineStr">
        <is>
          <t>Operational Control</t>
        </is>
      </c>
      <c r="Q1423" s="2" t="inlineStr">
        <is>
          <t>Operational Control</t>
        </is>
      </c>
      <c r="R1423" s="2" t="inlineStr">
        <is>
          <t>Energy and Utilities (EU)</t>
        </is>
      </c>
      <c r="S1423" s="2" t="inlineStr">
        <is>
          <t>Downer</t>
        </is>
      </c>
      <c r="T1423" s="2" t="n">
        <v>100</v>
      </c>
      <c r="W1423" s="2" t="inlineStr">
        <is>
          <t>Classification</t>
        </is>
      </c>
    </row>
    <row r="1424">
      <c r="A1424" s="2" t="inlineStr">
        <is>
          <t>Downer</t>
        </is>
      </c>
      <c r="B1424" s="2" t="inlineStr">
        <is>
          <t>MT Equipment R&amp;D Eng Mfg AS EU Subcontractors</t>
        </is>
      </c>
      <c r="C1424" s="2" t="inlineStr">
        <is>
          <t>Other</t>
        </is>
      </c>
      <c r="D1424" s="2" t="inlineStr">
        <is>
          <t>L9.J.39530679</t>
        </is>
      </c>
      <c r="E1424" s="2" t="inlineStr">
        <is>
          <t>L9.J.39530679</t>
        </is>
      </c>
      <c r="M1424" s="2" t="inlineStr">
        <is>
          <t>North Ryde</t>
        </is>
      </c>
      <c r="N1424" s="2" t="inlineStr">
        <is>
          <t>Australia</t>
        </is>
      </c>
      <c r="P1424" s="2" t="inlineStr">
        <is>
          <t>Operational Control</t>
        </is>
      </c>
      <c r="Q1424" s="2" t="inlineStr">
        <is>
          <t>Operational Control</t>
        </is>
      </c>
      <c r="R1424" s="2" t="inlineStr">
        <is>
          <t>Energy and Utilities (EU)</t>
        </is>
      </c>
      <c r="S1424" s="2" t="inlineStr">
        <is>
          <t>Downer</t>
        </is>
      </c>
      <c r="T1424" s="2" t="n">
        <v>100</v>
      </c>
      <c r="W1424" s="2" t="inlineStr">
        <is>
          <t>Classification</t>
        </is>
      </c>
    </row>
    <row r="1425">
      <c r="A1425" s="2" t="inlineStr">
        <is>
          <t>Downer</t>
        </is>
      </c>
      <c r="B1425" s="2" t="inlineStr">
        <is>
          <t>Mt Maunganui Laboratory</t>
        </is>
      </c>
      <c r="C1425" s="2" t="inlineStr">
        <is>
          <t>Other</t>
        </is>
      </c>
      <c r="D1425" s="2" t="inlineStr">
        <is>
          <t>L9.DNZJ.3525</t>
        </is>
      </c>
      <c r="E1425" s="2" t="n">
        <v>3525</v>
      </c>
      <c r="H1425" s="2" t="inlineStr">
        <is>
          <t>9/2 Owens Place</t>
        </is>
      </c>
      <c r="I1425" s="2" t="inlineStr">
        <is>
          <t>Mount Maunganui</t>
        </is>
      </c>
      <c r="J1425" s="2" t="inlineStr">
        <is>
          <t>Mount Maunganui</t>
        </is>
      </c>
      <c r="K1425" s="2" t="n">
        <v>3116</v>
      </c>
      <c r="L1425" s="2" t="inlineStr">
        <is>
          <t>New Zealand</t>
        </is>
      </c>
      <c r="M1425" s="2" t="inlineStr">
        <is>
          <t>Tauranga</t>
        </is>
      </c>
      <c r="N1425" s="2" t="inlineStr">
        <is>
          <t>New Zealand</t>
        </is>
      </c>
      <c r="P1425" s="2" t="inlineStr">
        <is>
          <t>Operational Control</t>
        </is>
      </c>
      <c r="Q1425" s="2" t="inlineStr">
        <is>
          <t>Operational Control</t>
        </is>
      </c>
      <c r="R1425" s="2" t="inlineStr">
        <is>
          <t>Transport &amp; Infrastructure (T&amp;I)</t>
        </is>
      </c>
      <c r="S1425" s="2" t="inlineStr">
        <is>
          <t>Downer</t>
        </is>
      </c>
      <c r="T1425" s="2" t="n">
        <v>100</v>
      </c>
      <c r="W1425" s="2" t="inlineStr">
        <is>
          <t>Classification</t>
        </is>
      </c>
      <c r="X1425" s="2" t="n">
        <v>-37.6778</v>
      </c>
      <c r="Y1425" s="2" t="n">
        <v>176.2186</v>
      </c>
    </row>
    <row r="1426">
      <c r="A1426" s="2" t="inlineStr">
        <is>
          <t>Downer</t>
        </is>
      </c>
      <c r="B1426" s="2" t="inlineStr">
        <is>
          <t>MT Process Design &amp; Proj Ctrls EU Subcontractors</t>
        </is>
      </c>
      <c r="C1426" s="2" t="inlineStr">
        <is>
          <t>Other</t>
        </is>
      </c>
      <c r="D1426" s="2" t="inlineStr">
        <is>
          <t>L9.J.39530375</t>
        </is>
      </c>
      <c r="E1426" s="2" t="inlineStr">
        <is>
          <t>L9.J.39530375</t>
        </is>
      </c>
      <c r="F1426" s="2" t="inlineStr">
        <is>
          <t>L9.J.39530375</t>
        </is>
      </c>
      <c r="M1426" s="2" t="inlineStr">
        <is>
          <t>North Ryde</t>
        </is>
      </c>
      <c r="N1426" s="2" t="inlineStr">
        <is>
          <t>Australia</t>
        </is>
      </c>
      <c r="P1426" s="2" t="inlineStr">
        <is>
          <t>Operational Control</t>
        </is>
      </c>
      <c r="Q1426" s="2" t="inlineStr">
        <is>
          <t>Operational Control</t>
        </is>
      </c>
      <c r="R1426" s="2" t="inlineStr">
        <is>
          <t>Energy and Utilities (EU)</t>
        </is>
      </c>
      <c r="S1426" s="2" t="inlineStr">
        <is>
          <t>Downer</t>
        </is>
      </c>
      <c r="T1426" s="2" t="n">
        <v>100</v>
      </c>
      <c r="W1426" s="2" t="inlineStr">
        <is>
          <t>Classification</t>
        </is>
      </c>
    </row>
    <row r="1427">
      <c r="A1427" s="2" t="inlineStr">
        <is>
          <t>Downer</t>
        </is>
      </c>
      <c r="B1427" s="2" t="inlineStr">
        <is>
          <t>Mt Smart Stadium Administration</t>
        </is>
      </c>
      <c r="C1427" s="2" t="inlineStr">
        <is>
          <t>Other</t>
        </is>
      </c>
      <c r="D1427" s="2" t="inlineStr">
        <is>
          <t>L9.S.26017088</t>
        </is>
      </c>
      <c r="E1427" s="2" t="n">
        <v>2000006000</v>
      </c>
      <c r="H1427" s="2" t="inlineStr">
        <is>
          <t>2 Beasley Avenue</t>
        </is>
      </c>
      <c r="I1427" s="2" t="inlineStr">
        <is>
          <t>Penrose</t>
        </is>
      </c>
      <c r="J1427" s="2" t="inlineStr">
        <is>
          <t>Auckland</t>
        </is>
      </c>
      <c r="K1427" s="2" t="n">
        <v>1061</v>
      </c>
      <c r="L1427" s="2" t="inlineStr">
        <is>
          <t>New Zealand</t>
        </is>
      </c>
      <c r="M1427" s="2" t="inlineStr">
        <is>
          <t>Mangere</t>
        </is>
      </c>
      <c r="N1427" s="2" t="inlineStr">
        <is>
          <t>New Zealand</t>
        </is>
      </c>
      <c r="P1427" s="2" t="inlineStr">
        <is>
          <t>Operational Control</t>
        </is>
      </c>
      <c r="Q1427" s="2" t="inlineStr">
        <is>
          <t>Operational Control</t>
        </is>
      </c>
      <c r="R1427" s="2" t="inlineStr">
        <is>
          <t>Social Infra &amp; Citizen Serv (SICS)</t>
        </is>
      </c>
      <c r="S1427" s="2" t="inlineStr">
        <is>
          <t>Downer</t>
        </is>
      </c>
      <c r="T1427" s="2" t="n">
        <v>100</v>
      </c>
      <c r="W1427" s="2" t="inlineStr">
        <is>
          <t>Classification</t>
        </is>
      </c>
      <c r="X1427" s="2" t="n">
        <v>-36.9191</v>
      </c>
      <c r="Y1427" s="2" t="n">
        <v>174.8101</v>
      </c>
    </row>
    <row r="1428">
      <c r="A1428" s="2" t="inlineStr">
        <is>
          <t>Downer</t>
        </is>
      </c>
      <c r="B1428" s="2" t="inlineStr">
        <is>
          <t>Mt Smart Stadium Recovery</t>
        </is>
      </c>
      <c r="C1428" s="2" t="inlineStr">
        <is>
          <t>Other</t>
        </is>
      </c>
      <c r="D1428" s="2" t="inlineStr">
        <is>
          <t>L9.S.26017088</t>
        </is>
      </c>
      <c r="E1428" s="2" t="n">
        <v>2000006004</v>
      </c>
      <c r="H1428" s="2" t="inlineStr">
        <is>
          <t>2 Beasley Avenue</t>
        </is>
      </c>
      <c r="I1428" s="2" t="inlineStr">
        <is>
          <t>Penrose</t>
        </is>
      </c>
      <c r="J1428" s="2" t="inlineStr">
        <is>
          <t>Auckland</t>
        </is>
      </c>
      <c r="K1428" s="2" t="n">
        <v>1061</v>
      </c>
      <c r="L1428" s="2" t="inlineStr">
        <is>
          <t>New Zealand</t>
        </is>
      </c>
      <c r="M1428" s="2" t="inlineStr">
        <is>
          <t>Mangere</t>
        </is>
      </c>
      <c r="N1428" s="2" t="inlineStr">
        <is>
          <t>New Zealand</t>
        </is>
      </c>
      <c r="P1428" s="2" t="inlineStr">
        <is>
          <t>Operational Control</t>
        </is>
      </c>
      <c r="Q1428" s="2" t="inlineStr">
        <is>
          <t>Operational Control</t>
        </is>
      </c>
      <c r="R1428" s="2" t="inlineStr">
        <is>
          <t>Social Infra &amp; Citizen Serv (SICS)</t>
        </is>
      </c>
      <c r="S1428" s="2" t="inlineStr">
        <is>
          <t>Downer</t>
        </is>
      </c>
      <c r="T1428" s="2" t="n">
        <v>100</v>
      </c>
      <c r="W1428" s="2" t="inlineStr">
        <is>
          <t>Classification</t>
        </is>
      </c>
      <c r="X1428" s="2" t="n">
        <v>-36.9191</v>
      </c>
      <c r="Y1428" s="2" t="n">
        <v>174.8101</v>
      </c>
    </row>
    <row r="1429">
      <c r="A1429" s="2" t="inlineStr">
        <is>
          <t>Downer</t>
        </is>
      </c>
      <c r="B1429" s="2" t="inlineStr">
        <is>
          <t>MT-Brazil_Office</t>
        </is>
      </c>
      <c r="C1429" s="2" t="inlineStr">
        <is>
          <t>Office</t>
        </is>
      </c>
      <c r="D1429" s="2" t="inlineStr">
        <is>
          <t>L9.J.402201</t>
        </is>
      </c>
      <c r="E1429" s="2" t="n">
        <v>2012</v>
      </c>
      <c r="F1429" s="2" t="n">
        <v>74</v>
      </c>
      <c r="H1429" s="2" t="inlineStr">
        <is>
          <t>Av. Alvares Cabral 593 - Sala 1303 
Belo Horizonte</t>
        </is>
      </c>
      <c r="I1429" s="2" t="inlineStr">
        <is>
          <t>Lourdes</t>
        </is>
      </c>
      <c r="J1429" s="2" t="inlineStr">
        <is>
          <t>Minas Gerais</t>
        </is>
      </c>
      <c r="K1429" s="2" t="inlineStr">
        <is>
          <t>CEP 30.170-2606</t>
        </is>
      </c>
      <c r="L1429" s="2" t="inlineStr">
        <is>
          <t>Brazil</t>
        </is>
      </c>
      <c r="M1429" s="2" t="inlineStr">
        <is>
          <t>Estado de Minas Gerais</t>
        </is>
      </c>
      <c r="N1429" s="2" t="inlineStr">
        <is>
          <t>Brazil</t>
        </is>
      </c>
      <c r="P1429" s="2" t="inlineStr">
        <is>
          <t>Operational Control</t>
        </is>
      </c>
      <c r="Q1429" s="2" t="inlineStr">
        <is>
          <t>Operational Control</t>
        </is>
      </c>
      <c r="R1429" s="2" t="inlineStr">
        <is>
          <t>Energy and Utilities (EU)</t>
        </is>
      </c>
      <c r="S1429" s="2" t="inlineStr">
        <is>
          <t>Downer</t>
        </is>
      </c>
      <c r="T1429" s="2" t="n">
        <v>100</v>
      </c>
      <c r="W1429" s="2" t="inlineStr">
        <is>
          <t>Classification</t>
        </is>
      </c>
      <c r="X1429" s="2" t="n">
        <v>-19.927519</v>
      </c>
      <c r="Y1429" s="2" t="n">
        <v>-43.94015</v>
      </c>
      <c r="Z1429" s="2" t="n">
        <v>692</v>
      </c>
    </row>
    <row r="1430">
      <c r="A1430" s="2" t="inlineStr">
        <is>
          <t>Downer</t>
        </is>
      </c>
      <c r="B1430" s="2" t="inlineStr">
        <is>
          <t>MT-Brazil_Warehouse</t>
        </is>
      </c>
      <c r="C1430" s="2" t="inlineStr">
        <is>
          <t>Retail, Warehouse</t>
        </is>
      </c>
      <c r="D1430" s="2" t="inlineStr">
        <is>
          <t>L9.J.402211</t>
        </is>
      </c>
      <c r="E1430" s="2" t="inlineStr">
        <is>
          <t>MT-39520009</t>
        </is>
      </c>
      <c r="H1430" s="2" t="inlineStr">
        <is>
          <t>Rua Alcides Fonseca 215 CO</t>
        </is>
      </c>
      <c r="I1430" s="2" t="inlineStr">
        <is>
          <t>Henrique Neri</t>
        </is>
      </c>
      <c r="J1430" s="2" t="inlineStr">
        <is>
          <t>Sete Lagoas</t>
        </is>
      </c>
      <c r="K1430" s="2" t="inlineStr">
        <is>
          <t>35700-332</t>
        </is>
      </c>
      <c r="M1430" s="2" t="inlineStr">
        <is>
          <t>Sete Lagoas</t>
        </is>
      </c>
      <c r="N1430" s="2" t="inlineStr">
        <is>
          <t>Brazil</t>
        </is>
      </c>
      <c r="P1430" s="2" t="inlineStr">
        <is>
          <t>Operational Control</t>
        </is>
      </c>
      <c r="Q1430" s="2" t="inlineStr">
        <is>
          <t>Operational Control</t>
        </is>
      </c>
      <c r="R1430" s="2" t="inlineStr">
        <is>
          <t>Energy and Utilities (EU)</t>
        </is>
      </c>
      <c r="S1430" s="2" t="inlineStr">
        <is>
          <t>Downer</t>
        </is>
      </c>
      <c r="T1430" s="2" t="n">
        <v>100</v>
      </c>
      <c r="W1430" s="2" t="inlineStr">
        <is>
          <t>Classification</t>
        </is>
      </c>
      <c r="X1430" s="2" t="n">
        <v>-19.471127</v>
      </c>
      <c r="Y1430" s="2" t="n">
        <v>-44.26305</v>
      </c>
      <c r="Z1430" s="2" t="n">
        <v>692</v>
      </c>
    </row>
    <row r="1431">
      <c r="A1431" s="2" t="inlineStr">
        <is>
          <t>Downer</t>
        </is>
      </c>
      <c r="B1431" s="2" t="inlineStr">
        <is>
          <t>MT-Carrara</t>
        </is>
      </c>
      <c r="C1431" s="2" t="inlineStr">
        <is>
          <t>Warehouse</t>
        </is>
      </c>
      <c r="D1431" s="2" t="inlineStr">
        <is>
          <t>L9.J.39510068</t>
        </is>
      </c>
      <c r="E1431" s="2" t="inlineStr">
        <is>
          <t>MT-39510068</t>
        </is>
      </c>
      <c r="F1431" s="2" t="n">
        <v>75</v>
      </c>
      <c r="H1431" s="2" t="inlineStr">
        <is>
          <t>2-8 Keller Crescent</t>
        </is>
      </c>
      <c r="I1431" s="2" t="inlineStr">
        <is>
          <t>Carrara</t>
        </is>
      </c>
      <c r="J1431" s="2" t="inlineStr">
        <is>
          <t>QLD</t>
        </is>
      </c>
      <c r="K1431" s="2" t="n">
        <v>4211</v>
      </c>
      <c r="M1431" s="2" t="inlineStr">
        <is>
          <t>Queensland</t>
        </is>
      </c>
      <c r="N1431" s="2" t="inlineStr">
        <is>
          <t>Australia</t>
        </is>
      </c>
      <c r="P1431" s="2" t="inlineStr">
        <is>
          <t>Operational Control</t>
        </is>
      </c>
      <c r="Q1431" s="2" t="inlineStr">
        <is>
          <t>Operational Control</t>
        </is>
      </c>
      <c r="R1431" s="2" t="inlineStr">
        <is>
          <t>Energy and Utilities (EU)</t>
        </is>
      </c>
      <c r="S1431" s="2" t="inlineStr">
        <is>
          <t>Downer</t>
        </is>
      </c>
      <c r="T1431" s="2" t="n">
        <v>100</v>
      </c>
      <c r="W1431" s="2" t="inlineStr">
        <is>
          <t>Classification</t>
        </is>
      </c>
      <c r="X1431" s="2" t="n">
        <v>-28.034</v>
      </c>
      <c r="Y1431" s="2" t="n">
        <v>153.356</v>
      </c>
      <c r="Z1431" s="2" t="n">
        <v>246</v>
      </c>
    </row>
    <row r="1432">
      <c r="A1432" s="2" t="inlineStr">
        <is>
          <t>Downer</t>
        </is>
      </c>
      <c r="B1432" s="2" t="inlineStr">
        <is>
          <t>MT-Dulwich (SA)</t>
        </is>
      </c>
      <c r="C1432" s="2" t="inlineStr">
        <is>
          <t>Warehouse</t>
        </is>
      </c>
      <c r="D1432" s="2" t="inlineStr">
        <is>
          <t>L9.J.395101</t>
        </is>
      </c>
      <c r="E1432" s="2" t="n">
        <v>2007</v>
      </c>
      <c r="F1432" s="2" t="n">
        <v>99</v>
      </c>
      <c r="G1432" s="2" t="inlineStr">
        <is>
          <t>Changed from DI-East to DI-IS per R.Brookshaw email 21-Jan-2014</t>
        </is>
      </c>
      <c r="H1432" s="2" t="inlineStr">
        <is>
          <t>191 Fullarton Road</t>
        </is>
      </c>
      <c r="I1432" s="2" t="inlineStr">
        <is>
          <t>Dulwich</t>
        </is>
      </c>
      <c r="J1432" s="2" t="inlineStr">
        <is>
          <t>SA</t>
        </is>
      </c>
      <c r="K1432" s="2" t="n">
        <v>5065</v>
      </c>
      <c r="L1432" s="2" t="inlineStr">
        <is>
          <t>Australia</t>
        </is>
      </c>
      <c r="M1432" s="2" t="inlineStr">
        <is>
          <t>South Australia</t>
        </is>
      </c>
      <c r="N1432" s="2" t="inlineStr">
        <is>
          <t>Australia</t>
        </is>
      </c>
      <c r="P1432" s="2" t="inlineStr">
        <is>
          <t>Operational Control</t>
        </is>
      </c>
      <c r="Q1432" s="2" t="inlineStr">
        <is>
          <t>Operational Control</t>
        </is>
      </c>
      <c r="R1432" s="2" t="inlineStr">
        <is>
          <t>Energy and Utilities (EU)</t>
        </is>
      </c>
      <c r="S1432" s="2" t="inlineStr">
        <is>
          <t>Downer</t>
        </is>
      </c>
      <c r="T1432" s="2" t="n">
        <v>100</v>
      </c>
      <c r="W1432" s="2" t="inlineStr">
        <is>
          <t>Classification</t>
        </is>
      </c>
      <c r="X1432" s="2" t="n">
        <v>-34.9387065</v>
      </c>
      <c r="Y1432" s="2" t="n">
        <v>138.6243834</v>
      </c>
      <c r="Z1432" s="2" t="n">
        <v>692</v>
      </c>
    </row>
    <row r="1433">
      <c r="A1433" s="2" t="inlineStr">
        <is>
          <t>Downer</t>
        </is>
      </c>
      <c r="B1433" s="2" t="inlineStr">
        <is>
          <t>MT-India</t>
        </is>
      </c>
      <c r="C1433" s="2" t="inlineStr">
        <is>
          <t>Office / Warehouse</t>
        </is>
      </c>
      <c r="D1433" s="2" t="inlineStr">
        <is>
          <t>L9.J.401201</t>
        </is>
      </c>
      <c r="E1433" s="2" t="inlineStr">
        <is>
          <t>MT-39530274</t>
        </is>
      </c>
      <c r="F1433" s="2" t="n">
        <v>76</v>
      </c>
      <c r="H1433" s="2" t="inlineStr">
        <is>
          <t>14/81b Alliance Junction, Thevarakavu Road, Tripunithura Po, Ernakulam ,Kerala ,India, 682301</t>
        </is>
      </c>
      <c r="J1433" s="2" t="inlineStr">
        <is>
          <t>India</t>
        </is>
      </c>
      <c r="L1433" s="2" t="inlineStr">
        <is>
          <t>India</t>
        </is>
      </c>
      <c r="M1433" s="2" t="inlineStr">
        <is>
          <t>State of Kerala</t>
        </is>
      </c>
      <c r="N1433" s="2" t="inlineStr">
        <is>
          <t>India</t>
        </is>
      </c>
      <c r="P1433" s="2" t="inlineStr">
        <is>
          <t>Operational Control</t>
        </is>
      </c>
      <c r="Q1433" s="2" t="inlineStr">
        <is>
          <t>Operational Control</t>
        </is>
      </c>
      <c r="R1433" s="2" t="inlineStr">
        <is>
          <t>Energy and Utilities (EU)</t>
        </is>
      </c>
      <c r="S1433" s="2" t="inlineStr">
        <is>
          <t>Downer</t>
        </is>
      </c>
      <c r="T1433" s="2" t="n">
        <v>100</v>
      </c>
      <c r="W1433" s="2" t="inlineStr">
        <is>
          <t>Classification</t>
        </is>
      </c>
      <c r="X1433" s="2" t="n">
        <v>9.955971</v>
      </c>
      <c r="Y1433" s="2" t="n">
        <v>76.34313299999999</v>
      </c>
      <c r="Z1433" s="2" t="n">
        <v>692</v>
      </c>
    </row>
    <row r="1434">
      <c r="A1434" s="2" t="inlineStr">
        <is>
          <t>Downer</t>
        </is>
      </c>
      <c r="B1434" s="2" t="inlineStr">
        <is>
          <t>MT-Sth Africa</t>
        </is>
      </c>
      <c r="C1434" s="2" t="inlineStr">
        <is>
          <t>Office / Warehouse</t>
        </is>
      </c>
      <c r="D1434" s="2" t="inlineStr">
        <is>
          <t>L9.J.398201</t>
        </is>
      </c>
      <c r="E1434" s="2" t="inlineStr">
        <is>
          <t>MT-39520105</t>
        </is>
      </c>
      <c r="F1434" s="2" t="n">
        <v>77</v>
      </c>
      <c r="H1434" s="2" t="inlineStr">
        <is>
          <t>14 Bauxite Bay, Alton Richards Bay 39900 Sth Africa</t>
        </is>
      </c>
      <c r="J1434" s="2" t="inlineStr">
        <is>
          <t>South Africa</t>
        </is>
      </c>
      <c r="L1434" s="2" t="inlineStr">
        <is>
          <t>South Africa</t>
        </is>
      </c>
      <c r="M1434" s="2" t="inlineStr">
        <is>
          <t>Richards Bay</t>
        </is>
      </c>
      <c r="N1434" s="2" t="inlineStr">
        <is>
          <t>South Africa</t>
        </is>
      </c>
      <c r="P1434" s="2" t="inlineStr">
        <is>
          <t>Operational Control</t>
        </is>
      </c>
      <c r="Q1434" s="2" t="inlineStr">
        <is>
          <t>Operational Control</t>
        </is>
      </c>
      <c r="R1434" s="2" t="inlineStr">
        <is>
          <t>Energy and Utilities (EU)</t>
        </is>
      </c>
      <c r="S1434" s="2" t="inlineStr">
        <is>
          <t>Downer</t>
        </is>
      </c>
      <c r="T1434" s="2" t="n">
        <v>100</v>
      </c>
      <c r="W1434" s="2" t="inlineStr">
        <is>
          <t>Classification</t>
        </is>
      </c>
      <c r="X1434" s="2" t="n">
        <v>-28.752498</v>
      </c>
      <c r="Y1434" s="2" t="n">
        <v>32.022074</v>
      </c>
      <c r="Z1434" s="2" t="n">
        <v>692</v>
      </c>
    </row>
    <row r="1435">
      <c r="A1435" s="2" t="inlineStr">
        <is>
          <t>Downer</t>
        </is>
      </c>
      <c r="B1435" s="2" t="inlineStr">
        <is>
          <t>Mulgrave - Wellington Rd, Clayton</t>
        </is>
      </c>
      <c r="C1435" s="2" t="inlineStr">
        <is>
          <t>Branch Office</t>
        </is>
      </c>
      <c r="D1435" s="2" t="inlineStr">
        <is>
          <t>L9.S.13000873</t>
        </is>
      </c>
      <c r="E1435" s="2" t="n">
        <v>9118</v>
      </c>
      <c r="H1435" s="2" t="inlineStr">
        <is>
          <t>U2 200 Wellington Road</t>
        </is>
      </c>
      <c r="I1435" s="2" t="inlineStr">
        <is>
          <t>Mulgrave</t>
        </is>
      </c>
      <c r="J1435" s="2" t="inlineStr">
        <is>
          <t>VIC</t>
        </is>
      </c>
      <c r="K1435" s="2" t="n">
        <v>3170</v>
      </c>
      <c r="M1435" s="2" t="inlineStr">
        <is>
          <t>Victoria</t>
        </is>
      </c>
      <c r="N1435" s="2" t="inlineStr">
        <is>
          <t>Australia</t>
        </is>
      </c>
      <c r="P1435" s="2" t="inlineStr">
        <is>
          <t>Operational Control</t>
        </is>
      </c>
      <c r="Q1435" s="2" t="inlineStr">
        <is>
          <t>Operational Control</t>
        </is>
      </c>
      <c r="R1435" s="2" t="inlineStr">
        <is>
          <t>Energy and Utilities (EU)</t>
        </is>
      </c>
      <c r="S1435" s="2" t="inlineStr">
        <is>
          <t>Downer</t>
        </is>
      </c>
      <c r="T1435" s="2" t="n">
        <v>100</v>
      </c>
      <c r="W1435" s="2" t="inlineStr">
        <is>
          <t>Classification</t>
        </is>
      </c>
      <c r="X1435" s="2" t="n">
        <v>-37.917875</v>
      </c>
      <c r="Y1435" s="2" t="n">
        <v>145.147449</v>
      </c>
      <c r="Z1435" s="2" t="n">
        <v>692</v>
      </c>
    </row>
    <row r="1436">
      <c r="A1436" s="2" t="inlineStr">
        <is>
          <t>Downer</t>
        </is>
      </c>
      <c r="B1436" s="2" t="inlineStr">
        <is>
          <t>MultiNet EU Subcontractors</t>
        </is>
      </c>
      <c r="C1436" s="2" t="inlineStr">
        <is>
          <t>Other</t>
        </is>
      </c>
      <c r="D1436" s="2" t="inlineStr">
        <is>
          <t>L9.J.24190191</t>
        </is>
      </c>
      <c r="E1436" s="2" t="inlineStr">
        <is>
          <t>L9.J.24190191</t>
        </is>
      </c>
      <c r="M1436" s="2" t="inlineStr">
        <is>
          <t>North Ryde</t>
        </is>
      </c>
      <c r="N1436" s="2" t="inlineStr">
        <is>
          <t>Australia</t>
        </is>
      </c>
      <c r="P1436" s="2" t="inlineStr">
        <is>
          <t>Operational Control</t>
        </is>
      </c>
      <c r="Q1436" s="2" t="inlineStr">
        <is>
          <t>Operational Control</t>
        </is>
      </c>
      <c r="R1436" s="2" t="inlineStr">
        <is>
          <t>Energy and Utilities (EU)</t>
        </is>
      </c>
      <c r="S1436" s="2" t="inlineStr">
        <is>
          <t>Downer</t>
        </is>
      </c>
      <c r="T1436" s="2" t="n">
        <v>100</v>
      </c>
      <c r="W1436" s="2" t="inlineStr">
        <is>
          <t>Classification</t>
        </is>
      </c>
    </row>
    <row r="1437">
      <c r="A1437" s="2" t="inlineStr">
        <is>
          <t>Downer</t>
        </is>
      </c>
      <c r="B1437" s="2" t="inlineStr">
        <is>
          <t>N01 Anzac Square - Terrica Place</t>
        </is>
      </c>
      <c r="C1437" s="2" t="inlineStr">
        <is>
          <t>Office</t>
        </is>
      </c>
      <c r="D1437" s="2" t="inlineStr">
        <is>
          <t>L9.J.799996</t>
        </is>
      </c>
      <c r="E1437" s="2" t="n">
        <v>799996</v>
      </c>
      <c r="G1437" s="2" t="inlineStr">
        <is>
          <t>Temporarily allocate to RTS-799996 - Creek St, Brisbane City.  Jay Whatley: 140 Creek St, this is a multiple offices floors in Brisbane CBD.  RTS are the occupants.</t>
        </is>
      </c>
      <c r="H1437" s="2" t="inlineStr">
        <is>
          <t>140 CREEK ST, BRISBANE QLD 4000</t>
        </is>
      </c>
      <c r="I1437" s="2" t="inlineStr">
        <is>
          <t>BRISBANE</t>
        </is>
      </c>
      <c r="M1437" s="2" t="inlineStr">
        <is>
          <t>Brisbane</t>
        </is>
      </c>
      <c r="N1437" s="2" t="inlineStr">
        <is>
          <t>Australia</t>
        </is>
      </c>
      <c r="P1437" s="2" t="inlineStr">
        <is>
          <t>Operational Control</t>
        </is>
      </c>
      <c r="Q1437" s="2" t="inlineStr">
        <is>
          <t>Operational Control</t>
        </is>
      </c>
      <c r="R1437" s="2" t="inlineStr">
        <is>
          <t>Rail &amp; Transit Systems (RTS)</t>
        </is>
      </c>
      <c r="S1437" s="2" t="inlineStr">
        <is>
          <t>Downer</t>
        </is>
      </c>
      <c r="T1437" s="2" t="n">
        <v>100</v>
      </c>
      <c r="W1437" s="2" t="inlineStr">
        <is>
          <t>Classification</t>
        </is>
      </c>
    </row>
    <row r="1438">
      <c r="A1438" s="2" t="inlineStr">
        <is>
          <t>Downer</t>
        </is>
      </c>
      <c r="B1438" s="2" t="inlineStr">
        <is>
          <t>N2P Evolution EU Subcontractors</t>
        </is>
      </c>
      <c r="C1438" s="2" t="inlineStr">
        <is>
          <t>Other</t>
        </is>
      </c>
      <c r="D1438" s="2" t="inlineStr">
        <is>
          <t>L9.J.23440310</t>
        </is>
      </c>
      <c r="E1438" s="2" t="inlineStr">
        <is>
          <t>L9.J.23440310</t>
        </is>
      </c>
      <c r="M1438" s="2" t="inlineStr">
        <is>
          <t>North Ryde</t>
        </is>
      </c>
      <c r="N1438" s="2" t="inlineStr">
        <is>
          <t>Australia</t>
        </is>
      </c>
      <c r="P1438" s="2" t="inlineStr">
        <is>
          <t>Operational Control</t>
        </is>
      </c>
      <c r="Q1438" s="2" t="inlineStr">
        <is>
          <t>Operational Control</t>
        </is>
      </c>
      <c r="R1438" s="2" t="inlineStr">
        <is>
          <t>Energy and Utilities (EU)</t>
        </is>
      </c>
      <c r="S1438" s="2" t="inlineStr">
        <is>
          <t>Downer</t>
        </is>
      </c>
      <c r="T1438" s="2" t="n">
        <v>100</v>
      </c>
      <c r="W1438" s="2" t="inlineStr">
        <is>
          <t>Classification</t>
        </is>
      </c>
    </row>
    <row r="1439">
      <c r="A1439" s="2" t="inlineStr">
        <is>
          <t>Downer</t>
        </is>
      </c>
      <c r="B1439" s="2" t="inlineStr">
        <is>
          <t>N2P Pilot EU Subcontractors</t>
        </is>
      </c>
      <c r="C1439" s="2" t="inlineStr">
        <is>
          <t>Other</t>
        </is>
      </c>
      <c r="D1439" s="2" t="inlineStr">
        <is>
          <t>L9.J.23440233</t>
        </is>
      </c>
      <c r="E1439" s="2" t="inlineStr">
        <is>
          <t>L9.J.23440233</t>
        </is>
      </c>
      <c r="F1439" s="2" t="inlineStr">
        <is>
          <t>L9.J.23440233</t>
        </is>
      </c>
      <c r="M1439" s="2" t="inlineStr">
        <is>
          <t>North Ryde</t>
        </is>
      </c>
      <c r="N1439" s="2" t="inlineStr">
        <is>
          <t>Australia</t>
        </is>
      </c>
      <c r="P1439" s="2" t="inlineStr">
        <is>
          <t>Operational Control</t>
        </is>
      </c>
      <c r="Q1439" s="2" t="inlineStr">
        <is>
          <t>Operational Control</t>
        </is>
      </c>
      <c r="R1439" s="2" t="inlineStr">
        <is>
          <t>Energy and Utilities (EU)</t>
        </is>
      </c>
      <c r="S1439" s="2" t="inlineStr">
        <is>
          <t>Downer</t>
        </is>
      </c>
      <c r="T1439" s="2" t="n">
        <v>100</v>
      </c>
      <c r="W1439" s="2" t="inlineStr">
        <is>
          <t>Classification</t>
        </is>
      </c>
    </row>
    <row r="1440">
      <c r="A1440" s="2" t="inlineStr">
        <is>
          <t>Downer</t>
        </is>
      </c>
      <c r="B1440" s="2" t="inlineStr">
        <is>
          <t>NAP Onekawa (41 Wakefield St)</t>
        </is>
      </c>
      <c r="C1440" s="2" t="inlineStr">
        <is>
          <t>Office</t>
        </is>
      </c>
      <c r="D1440" s="2" t="inlineStr">
        <is>
          <t>L9.DNZJ.91823</t>
        </is>
      </c>
      <c r="E1440" s="2" t="n">
        <v>91823</v>
      </c>
      <c r="H1440" s="2" t="inlineStr">
        <is>
          <t>41 Wakefield Street, Onekawa</t>
        </is>
      </c>
      <c r="I1440" s="2" t="inlineStr">
        <is>
          <t>Napier</t>
        </is>
      </c>
      <c r="K1440" s="2" t="n">
        <v>4110</v>
      </c>
      <c r="M1440" s="2" t="inlineStr">
        <is>
          <t>Napier</t>
        </is>
      </c>
      <c r="N1440" s="2" t="inlineStr">
        <is>
          <t>New Zealand</t>
        </is>
      </c>
      <c r="P1440" s="2" t="inlineStr">
        <is>
          <t>Operational Control</t>
        </is>
      </c>
      <c r="Q1440" s="2" t="inlineStr">
        <is>
          <t>Operational Control</t>
        </is>
      </c>
      <c r="R1440" s="2" t="inlineStr">
        <is>
          <t>Social Infra &amp; Citizen Serv (SICS)</t>
        </is>
      </c>
      <c r="S1440" s="2" t="inlineStr">
        <is>
          <t>Downer</t>
        </is>
      </c>
      <c r="T1440" s="2" t="n">
        <v>100</v>
      </c>
      <c r="W1440" s="2" t="inlineStr">
        <is>
          <t>Classification</t>
        </is>
      </c>
    </row>
    <row r="1441">
      <c r="A1441" s="2" t="inlineStr">
        <is>
          <t>Downer</t>
        </is>
      </c>
      <c r="B1441" s="2" t="inlineStr">
        <is>
          <t>Nat Ops Management</t>
        </is>
      </c>
      <c r="C1441" s="2" t="inlineStr">
        <is>
          <t>Other</t>
        </is>
      </c>
      <c r="D1441" s="2" t="inlineStr">
        <is>
          <t>L9.DNZJ.54950</t>
        </is>
      </c>
      <c r="E1441" s="2" t="n">
        <v>54950</v>
      </c>
      <c r="M1441" s="2" t="inlineStr">
        <is>
          <t>Auckland</t>
        </is>
      </c>
      <c r="N1441" s="2" t="inlineStr">
        <is>
          <t>New Zealand</t>
        </is>
      </c>
      <c r="P1441" s="2" t="inlineStr">
        <is>
          <t>Operational Control</t>
        </is>
      </c>
      <c r="Q1441" s="2" t="inlineStr">
        <is>
          <t>Operational Control</t>
        </is>
      </c>
      <c r="R1441" s="2" t="inlineStr">
        <is>
          <t>Transport &amp; Infrastructure (T&amp;I)</t>
        </is>
      </c>
      <c r="S1441" s="2" t="inlineStr">
        <is>
          <t>Downer</t>
        </is>
      </c>
      <c r="T1441" s="2" t="n">
        <v>100</v>
      </c>
      <c r="W1441" s="2" t="inlineStr">
        <is>
          <t>Classification</t>
        </is>
      </c>
    </row>
    <row r="1442">
      <c r="A1442" s="2" t="inlineStr">
        <is>
          <t>Downer</t>
        </is>
      </c>
      <c r="B1442" s="2" t="inlineStr">
        <is>
          <t>National Asset Management</t>
        </is>
      </c>
      <c r="C1442" s="2" t="inlineStr">
        <is>
          <t>Other</t>
        </is>
      </c>
      <c r="D1442" s="2" t="inlineStr">
        <is>
          <t>L9.DNZJ.55966</t>
        </is>
      </c>
      <c r="E1442" s="2" t="n">
        <v>55966</v>
      </c>
      <c r="M1442" s="2" t="inlineStr">
        <is>
          <t>Manurewa</t>
        </is>
      </c>
      <c r="N1442" s="2" t="inlineStr">
        <is>
          <t>New Zealand</t>
        </is>
      </c>
      <c r="P1442" s="2" t="inlineStr">
        <is>
          <t>Operational Control</t>
        </is>
      </c>
      <c r="Q1442" s="2" t="inlineStr">
        <is>
          <t>Operational Control</t>
        </is>
      </c>
      <c r="R1442" s="2" t="inlineStr">
        <is>
          <t>Transport &amp; Infrastructure (T&amp;I)</t>
        </is>
      </c>
      <c r="S1442" s="2" t="inlineStr">
        <is>
          <t>Downer</t>
        </is>
      </c>
      <c r="T1442" s="2" t="n">
        <v>100</v>
      </c>
      <c r="W1442" s="2" t="inlineStr">
        <is>
          <t>Classification</t>
        </is>
      </c>
    </row>
    <row r="1443">
      <c r="A1443" s="2" t="inlineStr">
        <is>
          <t>Downer</t>
        </is>
      </c>
      <c r="B1443" s="2" t="inlineStr">
        <is>
          <t>NATIONAL CARS EU Subcontractors</t>
        </is>
      </c>
      <c r="C1443" s="2" t="inlineStr">
        <is>
          <t>Other</t>
        </is>
      </c>
      <c r="D1443" s="2" t="inlineStr">
        <is>
          <t>L9.DNZJ.10267</t>
        </is>
      </c>
      <c r="E1443" s="2" t="inlineStr">
        <is>
          <t>L9.DNZJ.10267</t>
        </is>
      </c>
      <c r="M1443" s="2" t="inlineStr">
        <is>
          <t>Auckland City</t>
        </is>
      </c>
      <c r="N1443" s="2" t="inlineStr">
        <is>
          <t>New Zealand</t>
        </is>
      </c>
      <c r="P1443" s="2" t="inlineStr">
        <is>
          <t>Operational Control</t>
        </is>
      </c>
      <c r="Q1443" s="2" t="inlineStr">
        <is>
          <t>Operational Control</t>
        </is>
      </c>
      <c r="R1443" s="2" t="inlineStr">
        <is>
          <t>Energy and Utilities (EU)</t>
        </is>
      </c>
      <c r="S1443" s="2" t="inlineStr">
        <is>
          <t>Downer</t>
        </is>
      </c>
      <c r="T1443" s="2" t="n">
        <v>100</v>
      </c>
      <c r="W1443" s="2" t="inlineStr">
        <is>
          <t>Classification</t>
        </is>
      </c>
    </row>
    <row r="1444">
      <c r="A1444" s="2" t="inlineStr">
        <is>
          <t>Downer</t>
        </is>
      </c>
      <c r="B1444" s="2" t="inlineStr">
        <is>
          <t>National Performance Improveme</t>
        </is>
      </c>
      <c r="C1444" s="2" t="inlineStr">
        <is>
          <t>Other</t>
        </is>
      </c>
      <c r="D1444" s="2" t="inlineStr">
        <is>
          <t>L9.DNZJ.55964</t>
        </is>
      </c>
      <c r="E1444" s="2" t="n">
        <v>55964</v>
      </c>
      <c r="M1444" s="2" t="inlineStr">
        <is>
          <t>Manurewa</t>
        </is>
      </c>
      <c r="N1444" s="2" t="inlineStr">
        <is>
          <t>New Zealand</t>
        </is>
      </c>
      <c r="P1444" s="2" t="inlineStr">
        <is>
          <t>Operational Control</t>
        </is>
      </c>
      <c r="Q1444" s="2" t="inlineStr">
        <is>
          <t>Operational Control</t>
        </is>
      </c>
      <c r="R1444" s="2" t="inlineStr">
        <is>
          <t>Transport &amp; Infrastructure (T&amp;I)</t>
        </is>
      </c>
      <c r="S1444" s="2" t="inlineStr">
        <is>
          <t>Downer</t>
        </is>
      </c>
      <c r="T1444" s="2" t="n">
        <v>100</v>
      </c>
      <c r="W1444" s="2" t="inlineStr">
        <is>
          <t>Classification</t>
        </is>
      </c>
    </row>
    <row r="1445">
      <c r="A1445" s="2" t="inlineStr">
        <is>
          <t>Downer</t>
        </is>
      </c>
      <c r="B1445" s="2" t="inlineStr">
        <is>
          <t>National Plant</t>
        </is>
      </c>
      <c r="C1445" s="2" t="inlineStr">
        <is>
          <t>Other</t>
        </is>
      </c>
      <c r="D1445" s="2" t="inlineStr">
        <is>
          <t>L9.DNZJ.1923</t>
        </is>
      </c>
      <c r="E1445" s="2" t="n">
        <v>1923</v>
      </c>
      <c r="H1445" s="2" t="inlineStr">
        <is>
          <t>130 Kerrs Road</t>
        </is>
      </c>
      <c r="I1445" s="2" t="inlineStr">
        <is>
          <t>Wiri</t>
        </is>
      </c>
      <c r="J1445" s="2" t="inlineStr">
        <is>
          <t>Auckland</t>
        </is>
      </c>
      <c r="K1445" s="2" t="n">
        <v>2104</v>
      </c>
      <c r="L1445" s="2" t="inlineStr">
        <is>
          <t>New Zealand</t>
        </is>
      </c>
      <c r="M1445" s="2" t="inlineStr">
        <is>
          <t>Manurewa</t>
        </is>
      </c>
      <c r="N1445" s="2" t="inlineStr">
        <is>
          <t>New Zealand</t>
        </is>
      </c>
      <c r="P1445" s="2" t="inlineStr">
        <is>
          <t>Operational Control</t>
        </is>
      </c>
      <c r="Q1445" s="2" t="inlineStr">
        <is>
          <t>Operational Control</t>
        </is>
      </c>
      <c r="R1445" s="2" t="inlineStr">
        <is>
          <t>Transport &amp; Infrastructure (T&amp;I)</t>
        </is>
      </c>
      <c r="S1445" s="2" t="inlineStr">
        <is>
          <t>Downer</t>
        </is>
      </c>
      <c r="T1445" s="2" t="n">
        <v>100</v>
      </c>
      <c r="W1445" s="2" t="inlineStr">
        <is>
          <t>Classification</t>
        </is>
      </c>
      <c r="X1445" s="2" t="n">
        <v>-37.0083</v>
      </c>
      <c r="Y1445" s="2" t="n">
        <v>174.8705</v>
      </c>
    </row>
    <row r="1446">
      <c r="A1446" s="2" t="inlineStr">
        <is>
          <t>Downer</t>
        </is>
      </c>
      <c r="B1446" s="2" t="inlineStr">
        <is>
          <t>National Plant Group Bal Sheet</t>
        </is>
      </c>
      <c r="C1446" s="2" t="inlineStr">
        <is>
          <t>Other</t>
        </is>
      </c>
      <c r="D1446" s="2" t="inlineStr">
        <is>
          <t>L9.DNZJ.1900</t>
        </is>
      </c>
      <c r="E1446" s="2" t="n">
        <v>1900</v>
      </c>
      <c r="F1446" s="2" t="n">
        <v>898135</v>
      </c>
      <c r="M1446" s="2" t="inlineStr">
        <is>
          <t>Auckland</t>
        </is>
      </c>
      <c r="N1446" s="2" t="inlineStr">
        <is>
          <t>New Zealand</t>
        </is>
      </c>
      <c r="P1446" s="2" t="inlineStr">
        <is>
          <t>Operational Control</t>
        </is>
      </c>
      <c r="Q1446" s="2" t="inlineStr">
        <is>
          <t>Operational Control</t>
        </is>
      </c>
      <c r="R1446" s="2" t="inlineStr">
        <is>
          <t>Transport &amp; Infrastructure (T&amp;I)</t>
        </is>
      </c>
      <c r="S1446" s="2" t="inlineStr">
        <is>
          <t>Downer</t>
        </is>
      </c>
      <c r="T1446" s="2" t="n">
        <v>100</v>
      </c>
      <c r="W1446" s="2" t="inlineStr">
        <is>
          <t>Classification</t>
        </is>
      </c>
    </row>
    <row r="1447">
      <c r="A1447" s="2" t="inlineStr">
        <is>
          <t>Downer</t>
        </is>
      </c>
      <c r="B1447" s="2" t="inlineStr">
        <is>
          <t>National Project Support</t>
        </is>
      </c>
      <c r="C1447" s="2" t="inlineStr">
        <is>
          <t>Other</t>
        </is>
      </c>
      <c r="D1447" s="2" t="inlineStr">
        <is>
          <t>L9.DNZJ.8808</t>
        </is>
      </c>
      <c r="E1447" s="2" t="n">
        <v>8808</v>
      </c>
      <c r="H1447" s="2" t="inlineStr">
        <is>
          <t>130 Kerrs Road</t>
        </is>
      </c>
      <c r="I1447" s="2" t="inlineStr">
        <is>
          <t>Wiri</t>
        </is>
      </c>
      <c r="J1447" s="2" t="inlineStr">
        <is>
          <t>Auckland</t>
        </is>
      </c>
      <c r="K1447" s="2" t="n">
        <v>2104</v>
      </c>
      <c r="L1447" s="2" t="inlineStr">
        <is>
          <t>New Zealand</t>
        </is>
      </c>
      <c r="M1447" s="2" t="inlineStr">
        <is>
          <t>Manurewa</t>
        </is>
      </c>
      <c r="N1447" s="2" t="inlineStr">
        <is>
          <t>New Zealand</t>
        </is>
      </c>
      <c r="P1447" s="2" t="inlineStr">
        <is>
          <t>Operational Control</t>
        </is>
      </c>
      <c r="Q1447" s="2" t="inlineStr">
        <is>
          <t>Operational Control</t>
        </is>
      </c>
      <c r="R1447" s="2" t="inlineStr">
        <is>
          <t>Transport &amp; Infrastructure (T&amp;I)</t>
        </is>
      </c>
      <c r="S1447" s="2" t="inlineStr">
        <is>
          <t>Downer</t>
        </is>
      </c>
      <c r="T1447" s="2" t="n">
        <v>100</v>
      </c>
      <c r="W1447" s="2" t="inlineStr">
        <is>
          <t>Classification</t>
        </is>
      </c>
      <c r="X1447" s="2" t="n">
        <v>-37.0083</v>
      </c>
      <c r="Y1447" s="2" t="n">
        <v>174.8705</v>
      </c>
    </row>
    <row r="1448">
      <c r="A1448" s="2" t="inlineStr">
        <is>
          <t>Downer</t>
        </is>
      </c>
      <c r="B1448" s="2" t="inlineStr">
        <is>
          <t>National Projects Team EU Subcontractors</t>
        </is>
      </c>
      <c r="C1448" s="2" t="inlineStr">
        <is>
          <t>Other</t>
        </is>
      </c>
      <c r="D1448" s="2" t="inlineStr">
        <is>
          <t>L9.J.24160075</t>
        </is>
      </c>
      <c r="E1448" s="2" t="inlineStr">
        <is>
          <t>L9.J.24160075</t>
        </is>
      </c>
      <c r="M1448" s="2" t="inlineStr">
        <is>
          <t>North Ryde</t>
        </is>
      </c>
      <c r="N1448" s="2" t="inlineStr">
        <is>
          <t>Australia</t>
        </is>
      </c>
      <c r="P1448" s="2" t="inlineStr">
        <is>
          <t>Operational Control</t>
        </is>
      </c>
      <c r="Q1448" s="2" t="inlineStr">
        <is>
          <t>Operational Control</t>
        </is>
      </c>
      <c r="R1448" s="2" t="inlineStr">
        <is>
          <t>Energy and Utilities (EU)</t>
        </is>
      </c>
      <c r="S1448" s="2" t="inlineStr">
        <is>
          <t>Downer</t>
        </is>
      </c>
      <c r="T1448" s="2" t="n">
        <v>100</v>
      </c>
      <c r="W1448" s="2" t="inlineStr">
        <is>
          <t>Classification</t>
        </is>
      </c>
    </row>
    <row r="1449">
      <c r="A1449" s="2" t="inlineStr">
        <is>
          <t>Downer</t>
        </is>
      </c>
      <c r="B1449" s="2" t="inlineStr">
        <is>
          <t>National Road Marking</t>
        </is>
      </c>
      <c r="C1449" s="2" t="inlineStr">
        <is>
          <t>Other</t>
        </is>
      </c>
      <c r="D1449" s="2" t="inlineStr">
        <is>
          <t>L9.DNZJ.55916</t>
        </is>
      </c>
      <c r="E1449" s="2" t="n">
        <v>55916</v>
      </c>
      <c r="H1449" s="2" t="inlineStr">
        <is>
          <t>130 Kerrs Road</t>
        </is>
      </c>
      <c r="I1449" s="2" t="inlineStr">
        <is>
          <t>Wiri</t>
        </is>
      </c>
      <c r="J1449" s="2" t="inlineStr">
        <is>
          <t>Auckland</t>
        </is>
      </c>
      <c r="K1449" s="2" t="n">
        <v>2104</v>
      </c>
      <c r="L1449" s="2" t="inlineStr">
        <is>
          <t>New Zealand</t>
        </is>
      </c>
      <c r="M1449" s="2" t="inlineStr">
        <is>
          <t>Manurewa</t>
        </is>
      </c>
      <c r="N1449" s="2" t="inlineStr">
        <is>
          <t>New Zealand</t>
        </is>
      </c>
      <c r="P1449" s="2" t="inlineStr">
        <is>
          <t>Operational Control</t>
        </is>
      </c>
      <c r="Q1449" s="2" t="inlineStr">
        <is>
          <t>Operational Control</t>
        </is>
      </c>
      <c r="R1449" s="2" t="inlineStr">
        <is>
          <t>Transport &amp; Infrastructure (T&amp;I)</t>
        </is>
      </c>
      <c r="S1449" s="2" t="inlineStr">
        <is>
          <t>Downer</t>
        </is>
      </c>
      <c r="T1449" s="2" t="n">
        <v>100</v>
      </c>
      <c r="W1449" s="2" t="inlineStr">
        <is>
          <t>Classification</t>
        </is>
      </c>
      <c r="X1449" s="2" t="n">
        <v>-37.0083</v>
      </c>
      <c r="Y1449" s="2" t="n">
        <v>174.8705</v>
      </c>
    </row>
    <row r="1450">
      <c r="A1450" s="2" t="inlineStr">
        <is>
          <t>Downer</t>
        </is>
      </c>
      <c r="B1450" s="2" t="inlineStr">
        <is>
          <t>National Survey</t>
        </is>
      </c>
      <c r="C1450" s="2" t="inlineStr">
        <is>
          <t>Other</t>
        </is>
      </c>
      <c r="D1450" s="2" t="inlineStr">
        <is>
          <t>L9.DNZJ.55973</t>
        </is>
      </c>
      <c r="E1450" s="2" t="n">
        <v>55973</v>
      </c>
      <c r="M1450" s="2" t="inlineStr">
        <is>
          <t>Auckland</t>
        </is>
      </c>
      <c r="N1450" s="2" t="inlineStr">
        <is>
          <t>New Zealand</t>
        </is>
      </c>
      <c r="P1450" s="2" t="inlineStr">
        <is>
          <t>Operational Control</t>
        </is>
      </c>
      <c r="Q1450" s="2" t="inlineStr">
        <is>
          <t>Operational Control</t>
        </is>
      </c>
      <c r="R1450" s="2" t="inlineStr">
        <is>
          <t>Transport &amp; Infrastructure (T&amp;I)</t>
        </is>
      </c>
      <c r="S1450" s="2" t="inlineStr">
        <is>
          <t>Downer</t>
        </is>
      </c>
      <c r="T1450" s="2" t="n">
        <v>100</v>
      </c>
      <c r="W1450" s="2" t="inlineStr">
        <is>
          <t>Classification</t>
        </is>
      </c>
    </row>
    <row r="1451">
      <c r="A1451" s="2" t="inlineStr">
        <is>
          <t>Downer</t>
        </is>
      </c>
      <c r="B1451" s="2" t="inlineStr">
        <is>
          <t>National Traffic Management</t>
        </is>
      </c>
      <c r="C1451" s="2" t="inlineStr">
        <is>
          <t>Other</t>
        </is>
      </c>
      <c r="D1451" s="2" t="inlineStr">
        <is>
          <t>L9.DNZJ.55972</t>
        </is>
      </c>
      <c r="E1451" s="2" t="n">
        <v>55972</v>
      </c>
      <c r="M1451" s="2" t="inlineStr">
        <is>
          <t>Manurewa</t>
        </is>
      </c>
      <c r="N1451" s="2" t="inlineStr">
        <is>
          <t>New Zealand</t>
        </is>
      </c>
      <c r="P1451" s="2" t="inlineStr">
        <is>
          <t>Operational Control</t>
        </is>
      </c>
      <c r="Q1451" s="2" t="inlineStr">
        <is>
          <t>Operational Control</t>
        </is>
      </c>
      <c r="R1451" s="2" t="inlineStr">
        <is>
          <t>Transport &amp; Infrastructure (T&amp;I)</t>
        </is>
      </c>
      <c r="S1451" s="2" t="inlineStr">
        <is>
          <t>Downer</t>
        </is>
      </c>
      <c r="T1451" s="2" t="n">
        <v>100</v>
      </c>
      <c r="W1451" s="2" t="inlineStr">
        <is>
          <t>Classification</t>
        </is>
      </c>
    </row>
    <row r="1452">
      <c r="A1452" s="2" t="inlineStr">
        <is>
          <t>Downer</t>
        </is>
      </c>
      <c r="B1452" s="2" t="inlineStr">
        <is>
          <t>Natl Ops Support North</t>
        </is>
      </c>
      <c r="C1452" s="2" t="inlineStr">
        <is>
          <t>Other</t>
        </is>
      </c>
      <c r="D1452" s="2" t="inlineStr">
        <is>
          <t>L9.DNZ.810.10.200</t>
        </is>
      </c>
      <c r="E1452" s="2" t="n">
        <v>10.2</v>
      </c>
      <c r="M1452" s="2" t="inlineStr">
        <is>
          <t>Manurewa</t>
        </is>
      </c>
      <c r="N1452" s="2" t="inlineStr">
        <is>
          <t>New Zealand</t>
        </is>
      </c>
      <c r="P1452" s="2" t="inlineStr">
        <is>
          <t>Operational Control</t>
        </is>
      </c>
      <c r="Q1452" s="2" t="inlineStr">
        <is>
          <t>Operational Control</t>
        </is>
      </c>
      <c r="R1452" s="2" t="inlineStr">
        <is>
          <t>Energy and Utilities (EU)</t>
        </is>
      </c>
      <c r="S1452" s="2" t="inlineStr">
        <is>
          <t>Downer</t>
        </is>
      </c>
      <c r="T1452" s="2" t="n">
        <v>100</v>
      </c>
      <c r="W1452" s="2" t="inlineStr">
        <is>
          <t>Classification</t>
        </is>
      </c>
    </row>
    <row r="1453">
      <c r="A1453" s="2" t="inlineStr">
        <is>
          <t>Downer</t>
        </is>
      </c>
      <c r="B1453" s="2" t="inlineStr">
        <is>
          <t>Natl Telco Quality Team</t>
        </is>
      </c>
      <c r="C1453" s="2" t="inlineStr">
        <is>
          <t>Other</t>
        </is>
      </c>
      <c r="D1453" s="2" t="inlineStr">
        <is>
          <t>L9.DNZ.810.10.091</t>
        </is>
      </c>
      <c r="E1453" s="2" t="n">
        <v>10091</v>
      </c>
      <c r="M1453" s="2" t="inlineStr">
        <is>
          <t>Manurewa</t>
        </is>
      </c>
      <c r="N1453" s="2" t="inlineStr">
        <is>
          <t>New Zealand</t>
        </is>
      </c>
      <c r="P1453" s="2" t="inlineStr">
        <is>
          <t>Operational Control</t>
        </is>
      </c>
      <c r="Q1453" s="2" t="inlineStr">
        <is>
          <t>Operational Control</t>
        </is>
      </c>
      <c r="R1453" s="2" t="inlineStr">
        <is>
          <t>Energy and Utilities (EU)</t>
        </is>
      </c>
      <c r="S1453" s="2" t="inlineStr">
        <is>
          <t>Downer</t>
        </is>
      </c>
      <c r="T1453" s="2" t="n">
        <v>100</v>
      </c>
      <c r="W1453" s="2" t="inlineStr">
        <is>
          <t>Classification</t>
        </is>
      </c>
    </row>
    <row r="1454">
      <c r="A1454" s="2" t="inlineStr">
        <is>
          <t>Downer</t>
        </is>
      </c>
      <c r="B1454" s="2" t="inlineStr">
        <is>
          <t>NBN FIXED WIRELESS EU Subcontractors</t>
        </is>
      </c>
      <c r="C1454" s="2" t="inlineStr">
        <is>
          <t>Other</t>
        </is>
      </c>
      <c r="D1454" s="2" t="inlineStr">
        <is>
          <t>L9.J.23440295</t>
        </is>
      </c>
      <c r="E1454" s="2" t="inlineStr">
        <is>
          <t>L9.J.23440295</t>
        </is>
      </c>
      <c r="F1454" s="2" t="inlineStr">
        <is>
          <t>L9.J.23440295</t>
        </is>
      </c>
      <c r="M1454" s="2" t="inlineStr">
        <is>
          <t>North Ryde</t>
        </is>
      </c>
      <c r="N1454" s="2" t="inlineStr">
        <is>
          <t>Australia</t>
        </is>
      </c>
      <c r="P1454" s="2" t="inlineStr">
        <is>
          <t>Operational Control</t>
        </is>
      </c>
      <c r="Q1454" s="2" t="inlineStr">
        <is>
          <t>Operational Control</t>
        </is>
      </c>
      <c r="R1454" s="2" t="inlineStr">
        <is>
          <t>Energy and Utilities (EU)</t>
        </is>
      </c>
      <c r="S1454" s="2" t="inlineStr">
        <is>
          <t>Downer</t>
        </is>
      </c>
      <c r="T1454" s="2" t="n">
        <v>100</v>
      </c>
      <c r="W1454" s="2" t="inlineStr">
        <is>
          <t>Classification</t>
        </is>
      </c>
    </row>
    <row r="1455">
      <c r="A1455" s="2" t="inlineStr">
        <is>
          <t>Downer</t>
        </is>
      </c>
      <c r="B1455" s="2" t="inlineStr">
        <is>
          <t>NBN Unify EU Subcontractors</t>
        </is>
      </c>
      <c r="C1455" s="2" t="inlineStr">
        <is>
          <t>Other</t>
        </is>
      </c>
      <c r="D1455" s="2" t="inlineStr">
        <is>
          <t>L9.J.234470</t>
        </is>
      </c>
      <c r="E1455" s="2" t="inlineStr">
        <is>
          <t>L9.J.234470</t>
        </is>
      </c>
      <c r="M1455" s="2" t="inlineStr">
        <is>
          <t>North Ryde</t>
        </is>
      </c>
      <c r="N1455" s="2" t="inlineStr">
        <is>
          <t>Australia</t>
        </is>
      </c>
      <c r="P1455" s="2" t="inlineStr">
        <is>
          <t>Operational Control</t>
        </is>
      </c>
      <c r="Q1455" s="2" t="inlineStr">
        <is>
          <t>Operational Control</t>
        </is>
      </c>
      <c r="R1455" s="2" t="inlineStr">
        <is>
          <t>Energy and Utilities (EU)</t>
        </is>
      </c>
      <c r="S1455" s="2" t="inlineStr">
        <is>
          <t>Downer</t>
        </is>
      </c>
      <c r="T1455" s="2" t="n">
        <v>100</v>
      </c>
      <c r="W1455" s="2" t="inlineStr">
        <is>
          <t>Classification</t>
        </is>
      </c>
    </row>
    <row r="1456">
      <c r="A1456" s="2" t="inlineStr">
        <is>
          <t>Downer</t>
        </is>
      </c>
      <c r="B1456" s="2" t="inlineStr">
        <is>
          <t>NCC (2019) - RCM</t>
        </is>
      </c>
      <c r="C1456" s="2" t="inlineStr">
        <is>
          <t>Other</t>
        </is>
      </c>
      <c r="D1456" s="2" t="inlineStr">
        <is>
          <t>L9.DNZJ.55195</t>
        </is>
      </c>
      <c r="E1456" s="2" t="n">
        <v>55195</v>
      </c>
      <c r="H1456" s="2" t="inlineStr">
        <is>
          <t>130 Kerrs Road</t>
        </is>
      </c>
      <c r="I1456" s="2" t="inlineStr">
        <is>
          <t>Wiri</t>
        </is>
      </c>
      <c r="J1456" s="2" t="inlineStr">
        <is>
          <t>Auckland</t>
        </is>
      </c>
      <c r="K1456" s="2" t="n">
        <v>2104</v>
      </c>
      <c r="L1456" s="2" t="inlineStr">
        <is>
          <t>New Zealand</t>
        </is>
      </c>
      <c r="M1456" s="2" t="inlineStr">
        <is>
          <t>Manurewa</t>
        </is>
      </c>
      <c r="N1456" s="2" t="inlineStr">
        <is>
          <t>New Zealand</t>
        </is>
      </c>
      <c r="P1456" s="2" t="inlineStr">
        <is>
          <t>Operational Control</t>
        </is>
      </c>
      <c r="Q1456" s="2" t="inlineStr">
        <is>
          <t>Operational Control</t>
        </is>
      </c>
      <c r="R1456" s="2" t="inlineStr">
        <is>
          <t>Transport &amp; Infrastructure (T&amp;I)</t>
        </is>
      </c>
      <c r="S1456" s="2" t="inlineStr">
        <is>
          <t>Downer</t>
        </is>
      </c>
      <c r="T1456" s="2" t="n">
        <v>100</v>
      </c>
      <c r="W1456" s="2" t="inlineStr">
        <is>
          <t>Classification</t>
        </is>
      </c>
      <c r="X1456" s="2" t="n">
        <v>-37.0083</v>
      </c>
      <c r="Y1456" s="2" t="n">
        <v>174.8705</v>
      </c>
    </row>
    <row r="1457">
      <c r="A1457" s="2" t="inlineStr">
        <is>
          <t>Downer</t>
        </is>
      </c>
      <c r="B1457" s="2" t="inlineStr">
        <is>
          <t>NCNOC - AWT - Benmore</t>
        </is>
      </c>
      <c r="C1457" s="2" t="inlineStr">
        <is>
          <t>Infrastructure</t>
        </is>
      </c>
      <c r="D1457" s="2" t="inlineStr">
        <is>
          <t>L9.DNZJ.555313</t>
        </is>
      </c>
      <c r="E1457" s="2" t="n">
        <v>555313</v>
      </c>
      <c r="G1457" s="2" t="inlineStr">
        <is>
          <t>TI-NZT-555313-NCNOC - AWT - Benmore</t>
        </is>
      </c>
      <c r="M1457" s="2" t="inlineStr">
        <is>
          <t>Canterbury</t>
        </is>
      </c>
      <c r="N1457" s="2" t="inlineStr">
        <is>
          <t>New Zealand</t>
        </is>
      </c>
      <c r="P1457" s="2" t="inlineStr">
        <is>
          <t>Operational Control</t>
        </is>
      </c>
      <c r="Q1457" s="2" t="inlineStr">
        <is>
          <t>Operational Control</t>
        </is>
      </c>
      <c r="R1457" s="2" t="inlineStr">
        <is>
          <t>Transport &amp; Infrastructure (T&amp;I)</t>
        </is>
      </c>
      <c r="S1457" s="2" t="inlineStr">
        <is>
          <t>Downer</t>
        </is>
      </c>
      <c r="T1457" s="2" t="n">
        <v>100</v>
      </c>
      <c r="W1457" s="2" t="inlineStr">
        <is>
          <t>Classification</t>
        </is>
      </c>
    </row>
    <row r="1458">
      <c r="A1458" s="2" t="inlineStr">
        <is>
          <t>Downer</t>
        </is>
      </c>
      <c r="B1458" s="2" t="inlineStr">
        <is>
          <t>NCNOC - AWT - Castle Hill</t>
        </is>
      </c>
      <c r="C1458" s="2" t="inlineStr">
        <is>
          <t>Infrastructure</t>
        </is>
      </c>
      <c r="D1458" s="2" t="inlineStr">
        <is>
          <t>L9.DNZJ.555311</t>
        </is>
      </c>
      <c r="E1458" s="2" t="n">
        <v>555311</v>
      </c>
      <c r="G1458" s="2" t="inlineStr">
        <is>
          <t>TI-NZT-555311 - NCNOC - AWT - Castle Hill</t>
        </is>
      </c>
      <c r="M1458" s="2" t="inlineStr">
        <is>
          <t>Canterbury</t>
        </is>
      </c>
      <c r="N1458" s="2" t="inlineStr">
        <is>
          <t>New Zealand</t>
        </is>
      </c>
      <c r="P1458" s="2" t="inlineStr">
        <is>
          <t>Operational Control</t>
        </is>
      </c>
      <c r="Q1458" s="2" t="inlineStr">
        <is>
          <t>Operational Control</t>
        </is>
      </c>
      <c r="R1458" s="2" t="inlineStr">
        <is>
          <t>Transport &amp; Infrastructure (T&amp;I)</t>
        </is>
      </c>
      <c r="S1458" s="2" t="inlineStr">
        <is>
          <t>Downer</t>
        </is>
      </c>
      <c r="T1458" s="2" t="n">
        <v>100</v>
      </c>
      <c r="W1458" s="2" t="inlineStr">
        <is>
          <t>Classification</t>
        </is>
      </c>
    </row>
    <row r="1459">
      <c r="A1459" s="2" t="inlineStr">
        <is>
          <t>Downer</t>
        </is>
      </c>
      <c r="B1459" s="2" t="inlineStr">
        <is>
          <t>NCNOC - AWT - Handy Side</t>
        </is>
      </c>
      <c r="C1459" s="2" t="inlineStr">
        <is>
          <t>Infrastructure</t>
        </is>
      </c>
      <c r="D1459" s="2" t="inlineStr">
        <is>
          <t>L9.DNZJ.555316</t>
        </is>
      </c>
      <c r="E1459" s="2" t="n">
        <v>555316</v>
      </c>
      <c r="G1459" s="2" t="inlineStr">
        <is>
          <t>TI-NZT-555316 - NCNOC - AWT - Handy Side</t>
        </is>
      </c>
      <c r="M1459" s="2" t="inlineStr">
        <is>
          <t>Canterbury</t>
        </is>
      </c>
      <c r="N1459" s="2" t="inlineStr">
        <is>
          <t>New Zealand</t>
        </is>
      </c>
      <c r="P1459" s="2" t="inlineStr">
        <is>
          <t>Operational Control</t>
        </is>
      </c>
      <c r="Q1459" s="2" t="inlineStr">
        <is>
          <t>Operational Control</t>
        </is>
      </c>
      <c r="R1459" s="2" t="inlineStr">
        <is>
          <t>Transport &amp; Infrastructure (T&amp;I)</t>
        </is>
      </c>
      <c r="S1459" s="2" t="inlineStr">
        <is>
          <t>Downer</t>
        </is>
      </c>
      <c r="T1459" s="2" t="n">
        <v>100</v>
      </c>
      <c r="W1459" s="2" t="inlineStr">
        <is>
          <t>Classification</t>
        </is>
      </c>
    </row>
    <row r="1460">
      <c r="A1460" s="2" t="inlineStr">
        <is>
          <t>Downer</t>
        </is>
      </c>
      <c r="B1460" s="2" t="inlineStr">
        <is>
          <t>NCNOC - AWT - Weka Pass</t>
        </is>
      </c>
      <c r="C1460" s="2" t="inlineStr">
        <is>
          <t>Infrastructure</t>
        </is>
      </c>
      <c r="D1460" s="2" t="inlineStr">
        <is>
          <t>L9.DNZJ.555315</t>
        </is>
      </c>
      <c r="E1460" s="2" t="n">
        <v>555315</v>
      </c>
      <c r="G1460" s="2" t="inlineStr">
        <is>
          <t>TI-NZT-555315 - NCNOC - AWT - Weka Pass</t>
        </is>
      </c>
      <c r="M1460" s="2" t="inlineStr">
        <is>
          <t>Canterbury</t>
        </is>
      </c>
      <c r="N1460" s="2" t="inlineStr">
        <is>
          <t>New Zealand</t>
        </is>
      </c>
      <c r="P1460" s="2" t="inlineStr">
        <is>
          <t>Operational Control</t>
        </is>
      </c>
      <c r="Q1460" s="2" t="inlineStr">
        <is>
          <t>Operational Control</t>
        </is>
      </c>
      <c r="R1460" s="2" t="inlineStr">
        <is>
          <t>Transport &amp; Infrastructure (T&amp;I)</t>
        </is>
      </c>
      <c r="S1460" s="2" t="inlineStr">
        <is>
          <t>Downer</t>
        </is>
      </c>
      <c r="T1460" s="2" t="n">
        <v>100</v>
      </c>
      <c r="W1460" s="2" t="inlineStr">
        <is>
          <t>Classification</t>
        </is>
      </c>
    </row>
    <row r="1461">
      <c r="A1461" s="2" t="inlineStr">
        <is>
          <t>Downer</t>
        </is>
      </c>
      <c r="B1461" s="2" t="inlineStr">
        <is>
          <t>NCNOC - AWT-East Birdling Flat</t>
        </is>
      </c>
      <c r="C1461" s="2" t="inlineStr">
        <is>
          <t>Infrastructure</t>
        </is>
      </c>
      <c r="D1461" s="2" t="inlineStr">
        <is>
          <t>L9.DNZJ.555314</t>
        </is>
      </c>
      <c r="E1461" s="2" t="n">
        <v>555314</v>
      </c>
      <c r="G1461" s="2" t="inlineStr">
        <is>
          <t>TI-NZT.I38.I10.55404 - NZTA Nth Cant NOC - RCM</t>
        </is>
      </c>
      <c r="M1461" s="2" t="inlineStr">
        <is>
          <t>Canterbury</t>
        </is>
      </c>
      <c r="N1461" s="2" t="inlineStr">
        <is>
          <t>New Zealand</t>
        </is>
      </c>
      <c r="P1461" s="2" t="inlineStr">
        <is>
          <t>Operational Control</t>
        </is>
      </c>
      <c r="Q1461" s="2" t="inlineStr">
        <is>
          <t>Operational Control</t>
        </is>
      </c>
      <c r="R1461" s="2" t="inlineStr">
        <is>
          <t>Transport &amp; Infrastructure (T&amp;I)</t>
        </is>
      </c>
      <c r="S1461" s="2" t="inlineStr">
        <is>
          <t>Downer</t>
        </is>
      </c>
      <c r="T1461" s="2" t="n">
        <v>100</v>
      </c>
      <c r="W1461" s="2" t="inlineStr">
        <is>
          <t>Classification</t>
        </is>
      </c>
    </row>
    <row r="1462">
      <c r="A1462" s="2" t="inlineStr">
        <is>
          <t>Downer</t>
        </is>
      </c>
      <c r="B1462" s="2" t="inlineStr">
        <is>
          <t>NCNOC-AWT-KDC-Hawthorn Rd</t>
        </is>
      </c>
      <c r="C1462" s="2" t="inlineStr">
        <is>
          <t>Infrastructure</t>
        </is>
      </c>
      <c r="D1462" s="2" t="inlineStr">
        <is>
          <t>L9.DNZJ.555310</t>
        </is>
      </c>
      <c r="E1462" s="2" t="n">
        <v>555310</v>
      </c>
      <c r="G1462" s="2" t="inlineStr">
        <is>
          <t>TI-NZT-555310 - NCNOC-AWT-KDC-Hawthorn Rd</t>
        </is>
      </c>
      <c r="M1462" s="2" t="inlineStr">
        <is>
          <t>Canterbury</t>
        </is>
      </c>
      <c r="N1462" s="2" t="inlineStr">
        <is>
          <t>New Zealand</t>
        </is>
      </c>
      <c r="P1462" s="2" t="inlineStr">
        <is>
          <t>Operational Control</t>
        </is>
      </c>
      <c r="Q1462" s="2" t="inlineStr">
        <is>
          <t>Operational Control</t>
        </is>
      </c>
      <c r="R1462" s="2" t="inlineStr">
        <is>
          <t>Transport &amp; Infrastructure (T&amp;I)</t>
        </is>
      </c>
      <c r="S1462" s="2" t="inlineStr">
        <is>
          <t>Downer</t>
        </is>
      </c>
      <c r="T1462" s="2" t="n">
        <v>100</v>
      </c>
      <c r="W1462" s="2" t="inlineStr">
        <is>
          <t>Classification</t>
        </is>
      </c>
    </row>
    <row r="1463">
      <c r="A1463" s="2" t="inlineStr">
        <is>
          <t>Downer</t>
        </is>
      </c>
      <c r="B1463" s="2" t="inlineStr">
        <is>
          <t>NCNOC-Const-Minor Var - W/O</t>
        </is>
      </c>
      <c r="C1463" s="2" t="inlineStr">
        <is>
          <t>Public Facility</t>
        </is>
      </c>
      <c r="D1463" s="2" t="inlineStr">
        <is>
          <t>L9.DNZJ.555271</t>
        </is>
      </c>
      <c r="E1463" s="2" t="n">
        <v>555271</v>
      </c>
      <c r="G1463" s="2" t="inlineStr">
        <is>
          <t>TI-NZT-555271 - NCNOC-Const-Minor Var - W/O (TI-NZT - Canterbury Road Corridor Maintenance)</t>
        </is>
      </c>
      <c r="M1463" s="2" t="inlineStr">
        <is>
          <t>Canterbury</t>
        </is>
      </c>
      <c r="N1463" s="2" t="inlineStr">
        <is>
          <t>New Zealand</t>
        </is>
      </c>
      <c r="P1463" s="2" t="inlineStr">
        <is>
          <t>Operational Control</t>
        </is>
      </c>
      <c r="Q1463" s="2" t="inlineStr">
        <is>
          <t>Operational Control</t>
        </is>
      </c>
      <c r="R1463" s="2" t="inlineStr">
        <is>
          <t>Transport &amp; Infrastructure (T&amp;I)</t>
        </is>
      </c>
      <c r="S1463" s="2" t="inlineStr">
        <is>
          <t>Downer</t>
        </is>
      </c>
      <c r="T1463" s="2" t="n">
        <v>100</v>
      </c>
      <c r="W1463" s="2" t="inlineStr">
        <is>
          <t>Classification</t>
        </is>
      </c>
    </row>
    <row r="1464">
      <c r="A1464" s="2" t="inlineStr">
        <is>
          <t>Downer</t>
        </is>
      </c>
      <c r="B1464" s="2" t="inlineStr">
        <is>
          <t>NCNOC-Sealing</t>
        </is>
      </c>
      <c r="C1464" s="2" t="inlineStr">
        <is>
          <t>Other</t>
        </is>
      </c>
      <c r="D1464" s="2" t="inlineStr">
        <is>
          <t>L9.DNZJ.555080</t>
        </is>
      </c>
      <c r="E1464" s="2" t="n">
        <v>555080</v>
      </c>
      <c r="H1464" s="2" t="inlineStr">
        <is>
          <t>130 Kerrs Road</t>
        </is>
      </c>
      <c r="I1464" s="2" t="inlineStr">
        <is>
          <t>Wiri</t>
        </is>
      </c>
      <c r="J1464" s="2" t="inlineStr">
        <is>
          <t>Auckland</t>
        </is>
      </c>
      <c r="K1464" s="2" t="n">
        <v>2104</v>
      </c>
      <c r="L1464" s="2" t="inlineStr">
        <is>
          <t>New Zealand</t>
        </is>
      </c>
      <c r="M1464" s="2" t="inlineStr">
        <is>
          <t>Manurewa</t>
        </is>
      </c>
      <c r="N1464" s="2" t="inlineStr">
        <is>
          <t>New Zealand</t>
        </is>
      </c>
      <c r="P1464" s="2" t="inlineStr">
        <is>
          <t>Operational Control</t>
        </is>
      </c>
      <c r="Q1464" s="2" t="inlineStr">
        <is>
          <t>Operational Control</t>
        </is>
      </c>
      <c r="R1464" s="2" t="inlineStr">
        <is>
          <t>Transport &amp; Infrastructure (T&amp;I)</t>
        </is>
      </c>
      <c r="S1464" s="2" t="inlineStr">
        <is>
          <t>Downer</t>
        </is>
      </c>
      <c r="T1464" s="2" t="n">
        <v>100</v>
      </c>
      <c r="W1464" s="2" t="inlineStr">
        <is>
          <t>Classification</t>
        </is>
      </c>
      <c r="X1464" s="2" t="n">
        <v>-37.0083</v>
      </c>
      <c r="Y1464" s="2" t="n">
        <v>174.8705</v>
      </c>
    </row>
    <row r="1465">
      <c r="A1465" s="2" t="inlineStr">
        <is>
          <t>Downer</t>
        </is>
      </c>
      <c r="B1465" s="2" t="inlineStr">
        <is>
          <t>Nelson (22 Iwa St)</t>
        </is>
      </c>
      <c r="C1465" s="2" t="inlineStr">
        <is>
          <t>Other</t>
        </is>
      </c>
      <c r="D1465" s="2" t="inlineStr">
        <is>
          <t>L9.DNZJ.91380</t>
        </is>
      </c>
      <c r="E1465" s="2" t="n">
        <v>91380</v>
      </c>
      <c r="M1465" s="2" t="inlineStr">
        <is>
          <t>Manurewa</t>
        </is>
      </c>
      <c r="N1465" s="2" t="inlineStr">
        <is>
          <t>New Zealand</t>
        </is>
      </c>
      <c r="P1465" s="2" t="inlineStr">
        <is>
          <t>Operational Control</t>
        </is>
      </c>
      <c r="Q1465" s="2" t="inlineStr">
        <is>
          <t>Operational Control</t>
        </is>
      </c>
      <c r="R1465" s="2" t="inlineStr">
        <is>
          <t>Corporate</t>
        </is>
      </c>
      <c r="S1465" s="2" t="inlineStr">
        <is>
          <t>Downer</t>
        </is>
      </c>
      <c r="T1465" s="2" t="n">
        <v>100</v>
      </c>
      <c r="W1465" s="2" t="inlineStr">
        <is>
          <t>Classification</t>
        </is>
      </c>
      <c r="AB1465" s="11" t="n">
        <v>45473</v>
      </c>
    </row>
    <row r="1466">
      <c r="A1466" s="2" t="inlineStr">
        <is>
          <t>Downer</t>
        </is>
      </c>
      <c r="B1466" s="2" t="inlineStr">
        <is>
          <t>Nelson (41a Kendall View)</t>
        </is>
      </c>
      <c r="C1466" s="2" t="inlineStr">
        <is>
          <t>Other</t>
        </is>
      </c>
      <c r="D1466" s="2" t="inlineStr">
        <is>
          <t>L9.DNZJ.91308</t>
        </is>
      </c>
      <c r="E1466" s="2" t="n">
        <v>91308</v>
      </c>
      <c r="H1466" s="2" t="inlineStr">
        <is>
          <t>41 Kendall View</t>
        </is>
      </c>
      <c r="I1466" s="2" t="inlineStr">
        <is>
          <t>Stoke</t>
        </is>
      </c>
      <c r="J1466" s="2" t="inlineStr">
        <is>
          <t>Nelson</t>
        </is>
      </c>
      <c r="K1466" s="2" t="n">
        <v>7011</v>
      </c>
      <c r="L1466" s="2" t="inlineStr">
        <is>
          <t>New Zealand</t>
        </is>
      </c>
      <c r="M1466" s="2" t="inlineStr">
        <is>
          <t>Nelson</t>
        </is>
      </c>
      <c r="N1466" s="2" t="inlineStr">
        <is>
          <t>New Zealand</t>
        </is>
      </c>
      <c r="P1466" s="2" t="inlineStr">
        <is>
          <t>Operational Control</t>
        </is>
      </c>
      <c r="Q1466" s="2" t="inlineStr">
        <is>
          <t>Operational Control</t>
        </is>
      </c>
      <c r="R1466" s="2" t="inlineStr">
        <is>
          <t>Corporate</t>
        </is>
      </c>
      <c r="S1466" s="2" t="inlineStr">
        <is>
          <t>Downer</t>
        </is>
      </c>
      <c r="T1466" s="2" t="n">
        <v>100</v>
      </c>
      <c r="W1466" s="2" t="inlineStr">
        <is>
          <t>Classification</t>
        </is>
      </c>
      <c r="X1466" s="2" t="n">
        <v>-41.3147</v>
      </c>
      <c r="Y1466" s="2" t="n">
        <v>173.2149</v>
      </c>
      <c r="AB1466" s="11" t="n">
        <v>45473</v>
      </c>
    </row>
    <row r="1467">
      <c r="A1467" s="2" t="inlineStr">
        <is>
          <t>Downer</t>
        </is>
      </c>
      <c r="B1467" s="2" t="inlineStr">
        <is>
          <t>Nelson CC - York</t>
        </is>
      </c>
      <c r="C1467" s="2" t="inlineStr">
        <is>
          <t>Other</t>
        </is>
      </c>
      <c r="D1467" s="2" t="inlineStr">
        <is>
          <t>L9.DNZJ.55304</t>
        </is>
      </c>
      <c r="E1467" s="2" t="n">
        <v>55304</v>
      </c>
      <c r="H1467" s="2" t="inlineStr">
        <is>
          <t>130 Kerrs Road</t>
        </is>
      </c>
      <c r="I1467" s="2" t="inlineStr">
        <is>
          <t>Wiri</t>
        </is>
      </c>
      <c r="J1467" s="2" t="inlineStr">
        <is>
          <t>Auckland</t>
        </is>
      </c>
      <c r="K1467" s="2" t="n">
        <v>2104</v>
      </c>
      <c r="L1467" s="2" t="inlineStr">
        <is>
          <t>New Zealand</t>
        </is>
      </c>
      <c r="M1467" s="2" t="inlineStr">
        <is>
          <t>Manurewa</t>
        </is>
      </c>
      <c r="N1467" s="2" t="inlineStr">
        <is>
          <t>New Zealand</t>
        </is>
      </c>
      <c r="P1467" s="2" t="inlineStr">
        <is>
          <t>Operational Control</t>
        </is>
      </c>
      <c r="Q1467" s="2" t="inlineStr">
        <is>
          <t>Operational Control</t>
        </is>
      </c>
      <c r="R1467" s="2" t="inlineStr">
        <is>
          <t>Transport &amp; Infrastructure (T&amp;I)</t>
        </is>
      </c>
      <c r="S1467" s="2" t="inlineStr">
        <is>
          <t>Downer</t>
        </is>
      </c>
      <c r="T1467" s="2" t="n">
        <v>100</v>
      </c>
      <c r="W1467" s="2" t="inlineStr">
        <is>
          <t>Classification</t>
        </is>
      </c>
      <c r="X1467" s="2" t="n">
        <v>-37.0083</v>
      </c>
      <c r="Y1467" s="2" t="n">
        <v>174.8705</v>
      </c>
    </row>
    <row r="1468">
      <c r="A1468" s="2" t="inlineStr">
        <is>
          <t>Downer</t>
        </is>
      </c>
      <c r="B1468" s="2" t="inlineStr">
        <is>
          <t>Nelson Depot</t>
        </is>
      </c>
      <c r="C1468" s="2" t="inlineStr">
        <is>
          <t>Other</t>
        </is>
      </c>
      <c r="D1468" s="2" t="inlineStr">
        <is>
          <t>L9.DNZJ.55610</t>
        </is>
      </c>
      <c r="E1468" s="2" t="n">
        <v>55610</v>
      </c>
      <c r="H1468" s="2" t="inlineStr">
        <is>
          <t>4/750 Lower Queen Street</t>
        </is>
      </c>
      <c r="I1468" s="2" t="inlineStr">
        <is>
          <t>Richmond</t>
        </is>
      </c>
      <c r="J1468" s="2" t="inlineStr">
        <is>
          <t>Richmond</t>
        </is>
      </c>
      <c r="K1468" s="2" t="n">
        <v>7081</v>
      </c>
      <c r="L1468" s="2" t="inlineStr">
        <is>
          <t>New Zealand</t>
        </is>
      </c>
      <c r="M1468" s="2" t="inlineStr">
        <is>
          <t>Mapua</t>
        </is>
      </c>
      <c r="N1468" s="2" t="inlineStr">
        <is>
          <t>New Zealand</t>
        </is>
      </c>
      <c r="P1468" s="2" t="inlineStr">
        <is>
          <t>Operational Control</t>
        </is>
      </c>
      <c r="Q1468" s="2" t="inlineStr">
        <is>
          <t>Operational Control</t>
        </is>
      </c>
      <c r="R1468" s="2" t="inlineStr">
        <is>
          <t>Transport &amp; Infrastructure (T&amp;I)</t>
        </is>
      </c>
      <c r="S1468" s="2" t="inlineStr">
        <is>
          <t>Downer</t>
        </is>
      </c>
      <c r="T1468" s="2" t="n">
        <v>100</v>
      </c>
      <c r="W1468" s="2" t="inlineStr">
        <is>
          <t>Classification</t>
        </is>
      </c>
      <c r="X1468" s="2" t="n">
        <v>-41.3082</v>
      </c>
      <c r="Y1468" s="2" t="n">
        <v>173.1521</v>
      </c>
    </row>
    <row r="1469">
      <c r="A1469" s="2" t="inlineStr">
        <is>
          <t>Downer</t>
        </is>
      </c>
      <c r="B1469" s="2" t="inlineStr">
        <is>
          <t>Nelson Telco Ops</t>
        </is>
      </c>
      <c r="C1469" s="2" t="inlineStr">
        <is>
          <t>Other</t>
        </is>
      </c>
      <c r="D1469" s="2" t="inlineStr">
        <is>
          <t>L9.DNZ.810.10.179</t>
        </is>
      </c>
      <c r="E1469" s="2" t="n">
        <v>10179</v>
      </c>
      <c r="G1469" s="2" t="n">
        <v>10.179</v>
      </c>
      <c r="H1469" s="2" t="inlineStr">
        <is>
          <t>130 Kerrs Road</t>
        </is>
      </c>
      <c r="I1469" s="2" t="inlineStr">
        <is>
          <t>Wiri</t>
        </is>
      </c>
      <c r="J1469" s="2" t="inlineStr">
        <is>
          <t>Auckland</t>
        </is>
      </c>
      <c r="K1469" s="2" t="n">
        <v>2104</v>
      </c>
      <c r="L1469" s="2" t="inlineStr">
        <is>
          <t>New Zealand</t>
        </is>
      </c>
      <c r="M1469" s="2" t="inlineStr">
        <is>
          <t>Manurewa</t>
        </is>
      </c>
      <c r="N1469" s="2" t="inlineStr">
        <is>
          <t>New Zealand</t>
        </is>
      </c>
      <c r="P1469" s="2" t="inlineStr">
        <is>
          <t>Operational Control</t>
        </is>
      </c>
      <c r="Q1469" s="2" t="inlineStr">
        <is>
          <t>Operational Control</t>
        </is>
      </c>
      <c r="R1469" s="2" t="inlineStr">
        <is>
          <t>Energy and Utilities (EU)</t>
        </is>
      </c>
      <c r="S1469" s="2" t="inlineStr">
        <is>
          <t>Downer</t>
        </is>
      </c>
      <c r="T1469" s="2" t="n">
        <v>100</v>
      </c>
      <c r="W1469" s="2" t="inlineStr">
        <is>
          <t>Classification</t>
        </is>
      </c>
      <c r="X1469" s="2" t="n">
        <v>-37.0083</v>
      </c>
      <c r="Y1469" s="2" t="n">
        <v>174.8705</v>
      </c>
    </row>
    <row r="1470">
      <c r="A1470" s="2" t="inlineStr">
        <is>
          <t>Downer</t>
        </is>
      </c>
      <c r="B1470" s="2" t="inlineStr">
        <is>
          <t>NELSON TELCO OPS EU Subcontractors</t>
        </is>
      </c>
      <c r="C1470" s="2" t="inlineStr">
        <is>
          <t>Other</t>
        </is>
      </c>
      <c r="D1470" s="2" t="inlineStr">
        <is>
          <t>L9.DNZJ.10179</t>
        </is>
      </c>
      <c r="E1470" s="2" t="inlineStr">
        <is>
          <t>L9.DNZJ.10179</t>
        </is>
      </c>
      <c r="F1470" s="2" t="inlineStr">
        <is>
          <t>L9.DNZJ.10179</t>
        </is>
      </c>
      <c r="M1470" s="2" t="inlineStr">
        <is>
          <t>North Ryde</t>
        </is>
      </c>
      <c r="N1470" s="2" t="inlineStr">
        <is>
          <t>Australia</t>
        </is>
      </c>
      <c r="P1470" s="2" t="inlineStr">
        <is>
          <t>Operational Control</t>
        </is>
      </c>
      <c r="Q1470" s="2" t="inlineStr">
        <is>
          <t>Operational Control</t>
        </is>
      </c>
      <c r="R1470" s="2" t="inlineStr">
        <is>
          <t>Energy and Utilities (EU)</t>
        </is>
      </c>
      <c r="S1470" s="2" t="inlineStr">
        <is>
          <t>Downer</t>
        </is>
      </c>
      <c r="T1470" s="2" t="n">
        <v>100</v>
      </c>
      <c r="W1470" s="2" t="inlineStr">
        <is>
          <t>Classification</t>
        </is>
      </c>
    </row>
    <row r="1471">
      <c r="A1471" s="2" t="inlineStr">
        <is>
          <t>Downer</t>
        </is>
      </c>
      <c r="B1471" s="2" t="inlineStr">
        <is>
          <t>Nelson/Blenheim ISP</t>
        </is>
      </c>
      <c r="C1471" s="2" t="inlineStr">
        <is>
          <t>Other</t>
        </is>
      </c>
      <c r="D1471" s="2" t="inlineStr">
        <is>
          <t>L9.DNZ.810.10.170</t>
        </is>
      </c>
      <c r="E1471" s="2" t="n">
        <v>10170</v>
      </c>
      <c r="G1471" s="2" t="n">
        <v>10.17</v>
      </c>
      <c r="H1471" s="2" t="inlineStr">
        <is>
          <t>130 Kerrs Road</t>
        </is>
      </c>
      <c r="I1471" s="2" t="inlineStr">
        <is>
          <t>Wiri</t>
        </is>
      </c>
      <c r="J1471" s="2" t="inlineStr">
        <is>
          <t>Auckland</t>
        </is>
      </c>
      <c r="K1471" s="2" t="n">
        <v>2104</v>
      </c>
      <c r="L1471" s="2" t="inlineStr">
        <is>
          <t>New Zealand</t>
        </is>
      </c>
      <c r="M1471" s="2" t="inlineStr">
        <is>
          <t>Manurewa</t>
        </is>
      </c>
      <c r="N1471" s="2" t="inlineStr">
        <is>
          <t>New Zealand</t>
        </is>
      </c>
      <c r="P1471" s="2" t="inlineStr">
        <is>
          <t>Operational Control</t>
        </is>
      </c>
      <c r="Q1471" s="2" t="inlineStr">
        <is>
          <t>Operational Control</t>
        </is>
      </c>
      <c r="R1471" s="2" t="inlineStr">
        <is>
          <t>Energy and Utilities (EU)</t>
        </is>
      </c>
      <c r="S1471" s="2" t="inlineStr">
        <is>
          <t>Downer</t>
        </is>
      </c>
      <c r="T1471" s="2" t="n">
        <v>100</v>
      </c>
      <c r="W1471" s="2" t="inlineStr">
        <is>
          <t>Classification</t>
        </is>
      </c>
      <c r="X1471" s="2" t="n">
        <v>-37.0083</v>
      </c>
      <c r="Y1471" s="2" t="n">
        <v>174.8705</v>
      </c>
    </row>
    <row r="1472">
      <c r="A1472" s="2" t="inlineStr">
        <is>
          <t>Downer</t>
        </is>
      </c>
      <c r="B1472" s="2" t="inlineStr">
        <is>
          <t>Network Services EU Subcontractors</t>
        </is>
      </c>
      <c r="C1472" s="2" t="inlineStr">
        <is>
          <t>Other</t>
        </is>
      </c>
      <c r="D1472" s="2" t="inlineStr">
        <is>
          <t>L9.J.24170236</t>
        </is>
      </c>
      <c r="E1472" s="2" t="inlineStr">
        <is>
          <t>L9.J.24170236</t>
        </is>
      </c>
      <c r="F1472" s="2" t="inlineStr">
        <is>
          <t>L9.J.24170236</t>
        </is>
      </c>
      <c r="M1472" s="2" t="inlineStr">
        <is>
          <t>Auckland</t>
        </is>
      </c>
      <c r="N1472" s="2" t="inlineStr">
        <is>
          <t>New Zealand</t>
        </is>
      </c>
      <c r="P1472" s="2" t="inlineStr">
        <is>
          <t>Operational Control</t>
        </is>
      </c>
      <c r="Q1472" s="2" t="inlineStr">
        <is>
          <t>Operational Control</t>
        </is>
      </c>
      <c r="R1472" s="2" t="inlineStr">
        <is>
          <t>Energy and Utilities (EU)</t>
        </is>
      </c>
      <c r="S1472" s="2" t="inlineStr">
        <is>
          <t>Downer</t>
        </is>
      </c>
      <c r="T1472" s="2" t="n">
        <v>100</v>
      </c>
      <c r="W1472" s="2" t="inlineStr">
        <is>
          <t>Classification</t>
        </is>
      </c>
    </row>
    <row r="1473">
      <c r="A1473" s="2" t="inlineStr">
        <is>
          <t>Downer</t>
        </is>
      </c>
      <c r="B1473" s="2" t="inlineStr">
        <is>
          <t>Network Services Leadership</t>
        </is>
      </c>
      <c r="C1473" s="2" t="inlineStr">
        <is>
          <t>Other</t>
        </is>
      </c>
      <c r="D1473" s="2" t="inlineStr">
        <is>
          <t>L9.DNZ.810.10.081</t>
        </is>
      </c>
      <c r="E1473" s="2" t="n">
        <v>10081</v>
      </c>
      <c r="M1473" s="2" t="inlineStr">
        <is>
          <t>Manurewa</t>
        </is>
      </c>
      <c r="N1473" s="2" t="inlineStr">
        <is>
          <t>New Zealand</t>
        </is>
      </c>
      <c r="P1473" s="2" t="inlineStr">
        <is>
          <t>Operational Control</t>
        </is>
      </c>
      <c r="Q1473" s="2" t="inlineStr">
        <is>
          <t>Operational Control</t>
        </is>
      </c>
      <c r="R1473" s="2" t="inlineStr">
        <is>
          <t>Energy and Utilities (EU)</t>
        </is>
      </c>
      <c r="S1473" s="2" t="inlineStr">
        <is>
          <t>Downer</t>
        </is>
      </c>
      <c r="T1473" s="2" t="n">
        <v>100</v>
      </c>
      <c r="W1473" s="2" t="inlineStr">
        <is>
          <t>Classification</t>
        </is>
      </c>
    </row>
    <row r="1474">
      <c r="A1474" s="2" t="inlineStr">
        <is>
          <t>Downer</t>
        </is>
      </c>
      <c r="B1474" s="2" t="inlineStr">
        <is>
          <t>Networks - ESC EU Subcontractors</t>
        </is>
      </c>
      <c r="C1474" s="2" t="inlineStr">
        <is>
          <t>Other</t>
        </is>
      </c>
      <c r="D1474" s="2" t="inlineStr">
        <is>
          <t>L9.J.24189967</t>
        </is>
      </c>
      <c r="E1474" s="2" t="inlineStr">
        <is>
          <t>L9.J.24189967</t>
        </is>
      </c>
      <c r="F1474" s="2" t="inlineStr">
        <is>
          <t>L9.J.24189967</t>
        </is>
      </c>
      <c r="M1474" s="2" t="inlineStr">
        <is>
          <t>North Ryde</t>
        </is>
      </c>
      <c r="N1474" s="2" t="inlineStr">
        <is>
          <t>Australia</t>
        </is>
      </c>
      <c r="P1474" s="2" t="inlineStr">
        <is>
          <t>Operational Control</t>
        </is>
      </c>
      <c r="Q1474" s="2" t="inlineStr">
        <is>
          <t>Operational Control</t>
        </is>
      </c>
      <c r="R1474" s="2" t="inlineStr">
        <is>
          <t>Energy and Utilities (EU)</t>
        </is>
      </c>
      <c r="S1474" s="2" t="inlineStr">
        <is>
          <t>Downer</t>
        </is>
      </c>
      <c r="T1474" s="2" t="n">
        <v>100</v>
      </c>
      <c r="W1474" s="2" t="inlineStr">
        <is>
          <t>Classification</t>
        </is>
      </c>
    </row>
    <row r="1475">
      <c r="A1475" s="2" t="inlineStr">
        <is>
          <t>Downer</t>
        </is>
      </c>
      <c r="B1475" s="2" t="inlineStr">
        <is>
          <t>Networks - External Gas EU Subcontractors</t>
        </is>
      </c>
      <c r="C1475" s="2" t="inlineStr">
        <is>
          <t>Other</t>
        </is>
      </c>
      <c r="D1475" s="2" t="inlineStr">
        <is>
          <t>L9.DUA.130015</t>
        </is>
      </c>
      <c r="E1475" s="2" t="inlineStr">
        <is>
          <t>L9.DUA.130015</t>
        </is>
      </c>
      <c r="M1475" s="2" t="inlineStr">
        <is>
          <t>North Ryde</t>
        </is>
      </c>
      <c r="N1475" s="2" t="inlineStr">
        <is>
          <t>Australia</t>
        </is>
      </c>
      <c r="P1475" s="2" t="inlineStr">
        <is>
          <t>Operational Control</t>
        </is>
      </c>
      <c r="Q1475" s="2" t="inlineStr">
        <is>
          <t>Operational Control</t>
        </is>
      </c>
      <c r="R1475" s="2" t="inlineStr">
        <is>
          <t>Energy and Utilities (EU)</t>
        </is>
      </c>
      <c r="S1475" s="2" t="inlineStr">
        <is>
          <t>Downer</t>
        </is>
      </c>
      <c r="T1475" s="2" t="n">
        <v>100</v>
      </c>
      <c r="W1475" s="2" t="inlineStr">
        <is>
          <t>Classification</t>
        </is>
      </c>
    </row>
    <row r="1476">
      <c r="A1476" s="2" t="inlineStr">
        <is>
          <t>Downer</t>
        </is>
      </c>
      <c r="B1476" s="2" t="inlineStr">
        <is>
          <t>Networks - GSC EU Subcontractors</t>
        </is>
      </c>
      <c r="C1476" s="2" t="inlineStr">
        <is>
          <t>Other</t>
        </is>
      </c>
      <c r="D1476" s="2" t="inlineStr">
        <is>
          <t>L9.DUA.13000</t>
        </is>
      </c>
      <c r="E1476" s="2" t="inlineStr">
        <is>
          <t>L9.DUA.13000</t>
        </is>
      </c>
      <c r="M1476" s="2" t="inlineStr">
        <is>
          <t>North Ryde</t>
        </is>
      </c>
      <c r="N1476" s="2" t="inlineStr">
        <is>
          <t>Australia</t>
        </is>
      </c>
      <c r="P1476" s="2" t="inlineStr">
        <is>
          <t>Operational Control</t>
        </is>
      </c>
      <c r="Q1476" s="2" t="inlineStr">
        <is>
          <t>Operational Control</t>
        </is>
      </c>
      <c r="R1476" s="2" t="inlineStr">
        <is>
          <t>Energy and Utilities (EU)</t>
        </is>
      </c>
      <c r="S1476" s="2" t="inlineStr">
        <is>
          <t>Downer</t>
        </is>
      </c>
      <c r="T1476" s="2" t="n">
        <v>100</v>
      </c>
      <c r="W1476" s="2" t="inlineStr">
        <is>
          <t>Classification</t>
        </is>
      </c>
    </row>
    <row r="1477">
      <c r="A1477" s="2" t="inlineStr">
        <is>
          <t>Downer</t>
        </is>
      </c>
      <c r="B1477" s="2" t="inlineStr">
        <is>
          <t>Networks - O&amp;M Electricity EU Subcontractors</t>
        </is>
      </c>
      <c r="C1477" s="2" t="inlineStr">
        <is>
          <t>Other</t>
        </is>
      </c>
      <c r="D1477" s="2" t="inlineStr">
        <is>
          <t>L9.J.241999</t>
        </is>
      </c>
      <c r="E1477" s="2" t="inlineStr">
        <is>
          <t>L9.J.241999</t>
        </is>
      </c>
      <c r="M1477" s="2" t="inlineStr">
        <is>
          <t>North Ryde</t>
        </is>
      </c>
      <c r="N1477" s="2" t="inlineStr">
        <is>
          <t>Australia</t>
        </is>
      </c>
      <c r="P1477" s="2" t="inlineStr">
        <is>
          <t>Operational Control</t>
        </is>
      </c>
      <c r="Q1477" s="2" t="inlineStr">
        <is>
          <t>Operational Control</t>
        </is>
      </c>
      <c r="R1477" s="2" t="inlineStr">
        <is>
          <t>Energy and Utilities (EU)</t>
        </is>
      </c>
      <c r="S1477" s="2" t="inlineStr">
        <is>
          <t>Downer</t>
        </is>
      </c>
      <c r="T1477" s="2" t="n">
        <v>100</v>
      </c>
      <c r="W1477" s="2" t="inlineStr">
        <is>
          <t>Classification</t>
        </is>
      </c>
    </row>
    <row r="1478">
      <c r="A1478" s="2" t="inlineStr">
        <is>
          <t>Downer</t>
        </is>
      </c>
      <c r="B1478" s="2" t="inlineStr">
        <is>
          <t>Networks - Other EU Subcontractors</t>
        </is>
      </c>
      <c r="C1478" s="2" t="inlineStr">
        <is>
          <t>Other</t>
        </is>
      </c>
      <c r="D1478" s="2" t="inlineStr">
        <is>
          <t>L9.J.24170153</t>
        </is>
      </c>
      <c r="E1478" s="2" t="inlineStr">
        <is>
          <t>L9.J.24170153</t>
        </is>
      </c>
      <c r="F1478" s="2" t="inlineStr">
        <is>
          <t>L9.J.24170153</t>
        </is>
      </c>
      <c r="M1478" s="2" t="inlineStr">
        <is>
          <t>North Ryde</t>
        </is>
      </c>
      <c r="N1478" s="2" t="inlineStr">
        <is>
          <t>Australia</t>
        </is>
      </c>
      <c r="P1478" s="2" t="inlineStr">
        <is>
          <t>Operational Control</t>
        </is>
      </c>
      <c r="Q1478" s="2" t="inlineStr">
        <is>
          <t>Operational Control</t>
        </is>
      </c>
      <c r="R1478" s="2" t="inlineStr">
        <is>
          <t>Energy and Utilities (EU)</t>
        </is>
      </c>
      <c r="S1478" s="2" t="inlineStr">
        <is>
          <t>Downer</t>
        </is>
      </c>
      <c r="T1478" s="2" t="n">
        <v>100</v>
      </c>
      <c r="W1478" s="2" t="inlineStr">
        <is>
          <t>Classification</t>
        </is>
      </c>
    </row>
    <row r="1479">
      <c r="A1479" s="2" t="inlineStr">
        <is>
          <t>Downer</t>
        </is>
      </c>
      <c r="B1479" s="2" t="inlineStr">
        <is>
          <t>Networks - Power Cor EU Subcontractors</t>
        </is>
      </c>
      <c r="C1479" s="2" t="inlineStr">
        <is>
          <t>Other</t>
        </is>
      </c>
      <c r="D1479" s="2" t="inlineStr">
        <is>
          <t>L9.J.241910</t>
        </is>
      </c>
      <c r="E1479" s="2" t="inlineStr">
        <is>
          <t>L9.J.241910</t>
        </is>
      </c>
      <c r="M1479" s="2" t="inlineStr">
        <is>
          <t>North Ryde</t>
        </is>
      </c>
      <c r="N1479" s="2" t="inlineStr">
        <is>
          <t>Australia</t>
        </is>
      </c>
      <c r="P1479" s="2" t="inlineStr">
        <is>
          <t>Operational Control</t>
        </is>
      </c>
      <c r="Q1479" s="2" t="inlineStr">
        <is>
          <t>Operational Control</t>
        </is>
      </c>
      <c r="R1479" s="2" t="inlineStr">
        <is>
          <t>Energy and Utilities (EU)</t>
        </is>
      </c>
      <c r="S1479" s="2" t="inlineStr">
        <is>
          <t>Downer</t>
        </is>
      </c>
      <c r="T1479" s="2" t="n">
        <v>100</v>
      </c>
      <c r="W1479" s="2" t="inlineStr">
        <is>
          <t>Classification</t>
        </is>
      </c>
    </row>
    <row r="1480">
      <c r="A1480" s="2" t="inlineStr">
        <is>
          <t>Downer</t>
        </is>
      </c>
      <c r="B1480" s="2" t="inlineStr">
        <is>
          <t>New Plymonth (477 Devon Street</t>
        </is>
      </c>
      <c r="C1480" s="2" t="inlineStr">
        <is>
          <t>Other</t>
        </is>
      </c>
      <c r="D1480" s="2" t="inlineStr">
        <is>
          <t>L9.DNZJ.91241</t>
        </is>
      </c>
      <c r="E1480" s="2" t="n">
        <v>91241</v>
      </c>
      <c r="H1480" s="2" t="inlineStr">
        <is>
          <t>2/477 Devon Street East</t>
        </is>
      </c>
      <c r="I1480" s="2" t="inlineStr">
        <is>
          <t>Strandon</t>
        </is>
      </c>
      <c r="J1480" s="2" t="inlineStr">
        <is>
          <t>New Plymouth</t>
        </is>
      </c>
      <c r="K1480" s="2" t="n">
        <v>4312</v>
      </c>
      <c r="L1480" s="2" t="inlineStr">
        <is>
          <t>New Zealand</t>
        </is>
      </c>
      <c r="M1480" s="2" t="inlineStr">
        <is>
          <t>New Plymouth</t>
        </is>
      </c>
      <c r="N1480" s="2" t="inlineStr">
        <is>
          <t>New Zealand</t>
        </is>
      </c>
      <c r="P1480" s="2" t="inlineStr">
        <is>
          <t>Operational Control</t>
        </is>
      </c>
      <c r="Q1480" s="2" t="inlineStr">
        <is>
          <t>Operational Control</t>
        </is>
      </c>
      <c r="R1480" s="2" t="inlineStr">
        <is>
          <t>Corporate</t>
        </is>
      </c>
      <c r="S1480" s="2" t="inlineStr">
        <is>
          <t>Downer</t>
        </is>
      </c>
      <c r="T1480" s="2" t="n">
        <v>100</v>
      </c>
      <c r="W1480" s="2" t="inlineStr">
        <is>
          <t>Classification</t>
        </is>
      </c>
      <c r="X1480" s="2" t="n">
        <v>-39.0509</v>
      </c>
      <c r="Y1480" s="2" t="n">
        <v>174.0963</v>
      </c>
    </row>
    <row r="1481">
      <c r="A1481" s="2" t="inlineStr">
        <is>
          <t>Downer</t>
        </is>
      </c>
      <c r="B1481" s="2" t="inlineStr">
        <is>
          <t>New Plymouth - TM 212</t>
        </is>
      </c>
      <c r="C1481" s="2" t="inlineStr">
        <is>
          <t>Other</t>
        </is>
      </c>
      <c r="D1481" s="2" t="inlineStr">
        <is>
          <t>L9.DUN.60212</t>
        </is>
      </c>
      <c r="E1481" s="2" t="inlineStr">
        <is>
          <t>PG60212</t>
        </is>
      </c>
      <c r="H1481" s="2" t="inlineStr">
        <is>
          <t>130 Kerrs Road</t>
        </is>
      </c>
      <c r="I1481" s="2" t="inlineStr">
        <is>
          <t>Wiri</t>
        </is>
      </c>
      <c r="J1481" s="2" t="inlineStr">
        <is>
          <t>Auckland</t>
        </is>
      </c>
      <c r="K1481" s="2" t="n">
        <v>2104</v>
      </c>
      <c r="L1481" s="2" t="inlineStr">
        <is>
          <t>New Zealand</t>
        </is>
      </c>
      <c r="M1481" s="2" t="inlineStr">
        <is>
          <t>Manurewa</t>
        </is>
      </c>
      <c r="N1481" s="2" t="inlineStr">
        <is>
          <t>New Zealand</t>
        </is>
      </c>
      <c r="P1481" s="2" t="inlineStr">
        <is>
          <t>Operational Control</t>
        </is>
      </c>
      <c r="Q1481" s="2" t="inlineStr">
        <is>
          <t>Operational Control</t>
        </is>
      </c>
      <c r="R1481" s="2" t="inlineStr">
        <is>
          <t>Energy and Utilities (EU)</t>
        </is>
      </c>
      <c r="S1481" s="2" t="inlineStr">
        <is>
          <t>Downer</t>
        </is>
      </c>
      <c r="T1481" s="2" t="n">
        <v>100</v>
      </c>
      <c r="W1481" s="2" t="inlineStr">
        <is>
          <t>Classification</t>
        </is>
      </c>
      <c r="X1481" s="2" t="n">
        <v>-37.0083</v>
      </c>
      <c r="Y1481" s="2" t="n">
        <v>174.8705</v>
      </c>
    </row>
    <row r="1482">
      <c r="A1482" s="2" t="inlineStr">
        <is>
          <t>Downer</t>
        </is>
      </c>
      <c r="B1482" s="2" t="inlineStr">
        <is>
          <t>New Plymouth - WM 211</t>
        </is>
      </c>
      <c r="C1482" s="2" t="inlineStr">
        <is>
          <t>Other</t>
        </is>
      </c>
      <c r="D1482" s="2" t="inlineStr">
        <is>
          <t>L9.DUN.60211</t>
        </is>
      </c>
      <c r="E1482" s="2" t="inlineStr">
        <is>
          <t>PG60211</t>
        </is>
      </c>
      <c r="H1482" s="2" t="inlineStr">
        <is>
          <t>130 Kerrs Road</t>
        </is>
      </c>
      <c r="I1482" s="2" t="inlineStr">
        <is>
          <t>Wiri</t>
        </is>
      </c>
      <c r="J1482" s="2" t="inlineStr">
        <is>
          <t>Auckland</t>
        </is>
      </c>
      <c r="K1482" s="2" t="n">
        <v>2104</v>
      </c>
      <c r="L1482" s="2" t="inlineStr">
        <is>
          <t>New Zealand</t>
        </is>
      </c>
      <c r="M1482" s="2" t="inlineStr">
        <is>
          <t>Manurewa</t>
        </is>
      </c>
      <c r="N1482" s="2" t="inlineStr">
        <is>
          <t>New Zealand</t>
        </is>
      </c>
      <c r="P1482" s="2" t="inlineStr">
        <is>
          <t>Operational Control</t>
        </is>
      </c>
      <c r="Q1482" s="2" t="inlineStr">
        <is>
          <t>Operational Control</t>
        </is>
      </c>
      <c r="R1482" s="2" t="inlineStr">
        <is>
          <t>Energy and Utilities (EU)</t>
        </is>
      </c>
      <c r="S1482" s="2" t="inlineStr">
        <is>
          <t>Downer</t>
        </is>
      </c>
      <c r="T1482" s="2" t="n">
        <v>100</v>
      </c>
      <c r="W1482" s="2" t="inlineStr">
        <is>
          <t>Classification</t>
        </is>
      </c>
      <c r="X1482" s="2" t="n">
        <v>-37.0083</v>
      </c>
      <c r="Y1482" s="2" t="n">
        <v>174.8705</v>
      </c>
    </row>
    <row r="1483">
      <c r="A1483" s="2" t="inlineStr">
        <is>
          <t>Downer</t>
        </is>
      </c>
      <c r="B1483" s="2" t="inlineStr">
        <is>
          <t>New Plymouth (33 Papawhero Dr)</t>
        </is>
      </c>
      <c r="C1483" s="2" t="inlineStr">
        <is>
          <t>Other</t>
        </is>
      </c>
      <c r="D1483" s="2" t="inlineStr">
        <is>
          <t>L9.DNZJ.91239</t>
        </is>
      </c>
      <c r="E1483" s="2" t="n">
        <v>91239</v>
      </c>
      <c r="H1483" s="2" t="inlineStr">
        <is>
          <t>33 Papawhero Drive</t>
        </is>
      </c>
      <c r="I1483" s="2" t="inlineStr">
        <is>
          <t>Bell Block</t>
        </is>
      </c>
      <c r="J1483" s="2" t="inlineStr">
        <is>
          <t>New Plymouth</t>
        </is>
      </c>
      <c r="K1483" s="2" t="n">
        <v>4312</v>
      </c>
      <c r="L1483" s="2" t="inlineStr">
        <is>
          <t>New Zealand</t>
        </is>
      </c>
      <c r="M1483" s="2" t="inlineStr">
        <is>
          <t>New Plymouth</t>
        </is>
      </c>
      <c r="N1483" s="2" t="inlineStr">
        <is>
          <t>New Zealand</t>
        </is>
      </c>
      <c r="P1483" s="2" t="inlineStr">
        <is>
          <t>Operational Control</t>
        </is>
      </c>
      <c r="Q1483" s="2" t="inlineStr">
        <is>
          <t>Operational Control</t>
        </is>
      </c>
      <c r="R1483" s="2" t="inlineStr">
        <is>
          <t>Corporate</t>
        </is>
      </c>
      <c r="S1483" s="2" t="inlineStr">
        <is>
          <t>Downer</t>
        </is>
      </c>
      <c r="T1483" s="2" t="n">
        <v>100</v>
      </c>
      <c r="W1483" s="2" t="inlineStr">
        <is>
          <t>Classification</t>
        </is>
      </c>
      <c r="X1483" s="2" t="n">
        <v>-39.0261</v>
      </c>
      <c r="Y1483" s="2" t="n">
        <v>174.1617</v>
      </c>
    </row>
    <row r="1484">
      <c r="A1484" s="2" t="inlineStr">
        <is>
          <t>Downer</t>
        </is>
      </c>
      <c r="B1484" s="2" t="inlineStr">
        <is>
          <t>New Plymouth Area Manager</t>
        </is>
      </c>
      <c r="C1484" s="2" t="inlineStr">
        <is>
          <t>Other</t>
        </is>
      </c>
      <c r="D1484" s="2" t="inlineStr">
        <is>
          <t>L9.DUN.60210</t>
        </is>
      </c>
      <c r="E1484" s="2" t="inlineStr">
        <is>
          <t>PG60210</t>
        </is>
      </c>
      <c r="H1484" s="2" t="inlineStr">
        <is>
          <t>35 Junction Street</t>
        </is>
      </c>
      <c r="I1484" s="2" t="inlineStr">
        <is>
          <t>Welbourn</t>
        </is>
      </c>
      <c r="J1484" s="2" t="inlineStr">
        <is>
          <t>New Plymouth</t>
        </is>
      </c>
      <c r="K1484" s="2" t="n">
        <v>4312</v>
      </c>
      <c r="L1484" s="2" t="inlineStr">
        <is>
          <t>New Zealand</t>
        </is>
      </c>
      <c r="M1484" s="2" t="inlineStr">
        <is>
          <t>New Plymouth</t>
        </is>
      </c>
      <c r="N1484" s="2" t="inlineStr">
        <is>
          <t>New Zealand</t>
        </is>
      </c>
      <c r="P1484" s="2" t="inlineStr">
        <is>
          <t>Operational Control</t>
        </is>
      </c>
      <c r="Q1484" s="2" t="inlineStr">
        <is>
          <t>Operational Control</t>
        </is>
      </c>
      <c r="R1484" s="2" t="inlineStr">
        <is>
          <t>Energy and Utilities (EU)</t>
        </is>
      </c>
      <c r="S1484" s="2" t="inlineStr">
        <is>
          <t>Downer</t>
        </is>
      </c>
      <c r="T1484" s="2" t="n">
        <v>100</v>
      </c>
      <c r="W1484" s="2" t="inlineStr">
        <is>
          <t>Classification</t>
        </is>
      </c>
      <c r="X1484" s="2" t="n">
        <v>-39.0779</v>
      </c>
      <c r="Y1484" s="2" t="n">
        <v>174.0976</v>
      </c>
    </row>
    <row r="1485">
      <c r="A1485" s="2" t="inlineStr">
        <is>
          <t>Downer</t>
        </is>
      </c>
      <c r="B1485" s="2" t="inlineStr">
        <is>
          <t>New Plymouth Depot</t>
        </is>
      </c>
      <c r="C1485" s="2" t="inlineStr">
        <is>
          <t>Other</t>
        </is>
      </c>
      <c r="D1485" s="2" t="inlineStr">
        <is>
          <t>L9.DNZJ.55572</t>
        </is>
      </c>
      <c r="E1485" s="2" t="n">
        <v>55572</v>
      </c>
      <c r="H1485" s="2" t="inlineStr">
        <is>
          <t>106 Rifle Range Road</t>
        </is>
      </c>
      <c r="I1485" s="2" t="inlineStr">
        <is>
          <t>Waiwhakaiho</t>
        </is>
      </c>
      <c r="J1485" s="2" t="inlineStr">
        <is>
          <t>New Plymouth</t>
        </is>
      </c>
      <c r="K1485" s="2" t="n">
        <v>4312</v>
      </c>
      <c r="L1485" s="2" t="inlineStr">
        <is>
          <t>New Zealand</t>
        </is>
      </c>
      <c r="M1485" s="2" t="inlineStr">
        <is>
          <t>New Plymouth</t>
        </is>
      </c>
      <c r="N1485" s="2" t="inlineStr">
        <is>
          <t>New Zealand</t>
        </is>
      </c>
      <c r="P1485" s="2" t="inlineStr">
        <is>
          <t>Operational Control</t>
        </is>
      </c>
      <c r="Q1485" s="2" t="inlineStr">
        <is>
          <t>Operational Control</t>
        </is>
      </c>
      <c r="R1485" s="2" t="inlineStr">
        <is>
          <t>Transport &amp; Infrastructure (T&amp;I)</t>
        </is>
      </c>
      <c r="S1485" s="2" t="inlineStr">
        <is>
          <t>Downer</t>
        </is>
      </c>
      <c r="T1485" s="2" t="n">
        <v>100</v>
      </c>
      <c r="W1485" s="2" t="inlineStr">
        <is>
          <t>Classification</t>
        </is>
      </c>
      <c r="X1485" s="2" t="n">
        <v>-39.0418</v>
      </c>
      <c r="Y1485" s="2" t="n">
        <v>174.1193</v>
      </c>
    </row>
    <row r="1486">
      <c r="A1486" s="2" t="inlineStr">
        <is>
          <t>Downer</t>
        </is>
      </c>
      <c r="B1486" s="2" t="inlineStr">
        <is>
          <t>New Plymouth Telco Ops</t>
        </is>
      </c>
      <c r="C1486" s="2" t="inlineStr">
        <is>
          <t>Other</t>
        </is>
      </c>
      <c r="D1486" s="2" t="inlineStr">
        <is>
          <t>L9.DNZ.810.10.177</t>
        </is>
      </c>
      <c r="E1486" s="2" t="n">
        <v>10177</v>
      </c>
      <c r="G1486" s="2" t="n">
        <v>10.177</v>
      </c>
      <c r="H1486" s="2" t="inlineStr">
        <is>
          <t>130 Kerrs Road</t>
        </is>
      </c>
      <c r="I1486" s="2" t="inlineStr">
        <is>
          <t>Wiri</t>
        </is>
      </c>
      <c r="J1486" s="2" t="inlineStr">
        <is>
          <t>Auckland</t>
        </is>
      </c>
      <c r="K1486" s="2" t="n">
        <v>2104</v>
      </c>
      <c r="L1486" s="2" t="inlineStr">
        <is>
          <t>New Zealand</t>
        </is>
      </c>
      <c r="M1486" s="2" t="inlineStr">
        <is>
          <t>Manurewa</t>
        </is>
      </c>
      <c r="N1486" s="2" t="inlineStr">
        <is>
          <t>New Zealand</t>
        </is>
      </c>
      <c r="P1486" s="2" t="inlineStr">
        <is>
          <t>Operational Control</t>
        </is>
      </c>
      <c r="Q1486" s="2" t="inlineStr">
        <is>
          <t>Operational Control</t>
        </is>
      </c>
      <c r="R1486" s="2" t="inlineStr">
        <is>
          <t>Energy and Utilities (EU)</t>
        </is>
      </c>
      <c r="S1486" s="2" t="inlineStr">
        <is>
          <t>Downer</t>
        </is>
      </c>
      <c r="T1486" s="2" t="n">
        <v>100</v>
      </c>
      <c r="W1486" s="2" t="inlineStr">
        <is>
          <t>Classification</t>
        </is>
      </c>
      <c r="X1486" s="2" t="n">
        <v>-37.0083</v>
      </c>
      <c r="Y1486" s="2" t="n">
        <v>174.8705</v>
      </c>
    </row>
    <row r="1487">
      <c r="A1487" s="2" t="inlineStr">
        <is>
          <t>Downer</t>
        </is>
      </c>
      <c r="B1487" s="2" t="inlineStr">
        <is>
          <t>NEW PLYMOUTH TELCO OPS EU Subcontractors</t>
        </is>
      </c>
      <c r="C1487" s="2" t="inlineStr">
        <is>
          <t>Other</t>
        </is>
      </c>
      <c r="D1487" s="2" t="inlineStr">
        <is>
          <t>L9.DNZJ.10177</t>
        </is>
      </c>
      <c r="E1487" s="2" t="inlineStr">
        <is>
          <t>L9.DNZJ.10177</t>
        </is>
      </c>
      <c r="M1487" s="2" t="inlineStr">
        <is>
          <t>Auckland City</t>
        </is>
      </c>
      <c r="N1487" s="2" t="inlineStr">
        <is>
          <t>New Zealand</t>
        </is>
      </c>
      <c r="P1487" s="2" t="inlineStr">
        <is>
          <t>Operational Control</t>
        </is>
      </c>
      <c r="Q1487" s="2" t="inlineStr">
        <is>
          <t>Operational Control</t>
        </is>
      </c>
      <c r="R1487" s="2" t="inlineStr">
        <is>
          <t>Energy and Utilities (EU)</t>
        </is>
      </c>
      <c r="S1487" s="2" t="inlineStr">
        <is>
          <t>Downer</t>
        </is>
      </c>
      <c r="T1487" s="2" t="n">
        <v>100</v>
      </c>
      <c r="W1487" s="2" t="inlineStr">
        <is>
          <t>Classification</t>
        </is>
      </c>
    </row>
    <row r="1488">
      <c r="A1488" s="2" t="inlineStr">
        <is>
          <t>Downer</t>
        </is>
      </c>
      <c r="B1488" s="2" t="inlineStr">
        <is>
          <t>NEW PLYMOUTH THERMAL DRYER</t>
        </is>
      </c>
      <c r="C1488" s="2" t="inlineStr">
        <is>
          <t>Other</t>
        </is>
      </c>
      <c r="D1488" s="2" t="inlineStr">
        <is>
          <t>L9.DNZJ.UN0002</t>
        </is>
      </c>
      <c r="E1488" s="2" t="inlineStr">
        <is>
          <t>UN0002</t>
        </is>
      </c>
      <c r="M1488" s="2" t="inlineStr">
        <is>
          <t>New Plymouth</t>
        </is>
      </c>
      <c r="N1488" s="2" t="inlineStr">
        <is>
          <t>New Zealand</t>
        </is>
      </c>
      <c r="P1488" s="2" t="inlineStr">
        <is>
          <t>Operational Control</t>
        </is>
      </c>
      <c r="Q1488" s="2" t="inlineStr">
        <is>
          <t>Operational Control</t>
        </is>
      </c>
      <c r="R1488" s="2" t="inlineStr">
        <is>
          <t>Energy and Utilities (EU)</t>
        </is>
      </c>
      <c r="S1488" s="2" t="inlineStr">
        <is>
          <t>Downer</t>
        </is>
      </c>
      <c r="T1488" s="2" t="n">
        <v>100</v>
      </c>
      <c r="W1488" s="2" t="inlineStr">
        <is>
          <t>Classification</t>
        </is>
      </c>
    </row>
    <row r="1489">
      <c r="A1489" s="2" t="inlineStr">
        <is>
          <t>Downer</t>
        </is>
      </c>
      <c r="B1489" s="2" t="inlineStr">
        <is>
          <t>New Zealand Steel (FM) - 45002887</t>
        </is>
      </c>
      <c r="C1489" s="2" t="inlineStr">
        <is>
          <t>Other</t>
        </is>
      </c>
      <c r="D1489" s="2" t="inlineStr">
        <is>
          <t>L9.S.24000170</t>
        </is>
      </c>
      <c r="E1489" s="2" t="n">
        <v>2000004700</v>
      </c>
      <c r="H1489" s="2" t="inlineStr">
        <is>
          <t>131 Mission Bush Road</t>
        </is>
      </c>
      <c r="I1489" s="2" t="inlineStr">
        <is>
          <t>Glenbrook</t>
        </is>
      </c>
      <c r="J1489" s="2" t="inlineStr">
        <is>
          <t>Glenbrook</t>
        </is>
      </c>
      <c r="K1489" s="2" t="n">
        <v>2681</v>
      </c>
      <c r="L1489" s="2" t="inlineStr">
        <is>
          <t>New Zealand</t>
        </is>
      </c>
      <c r="M1489" s="2" t="inlineStr">
        <is>
          <t>Waiuku</t>
        </is>
      </c>
      <c r="N1489" s="2" t="inlineStr">
        <is>
          <t>New Zealand</t>
        </is>
      </c>
      <c r="P1489" s="2" t="inlineStr">
        <is>
          <t>Operational Control</t>
        </is>
      </c>
      <c r="Q1489" s="2" t="inlineStr">
        <is>
          <t>Operational Control</t>
        </is>
      </c>
      <c r="R1489" s="2" t="inlineStr">
        <is>
          <t>Social Infra &amp; Citizen Serv (SICS)</t>
        </is>
      </c>
      <c r="S1489" s="2" t="inlineStr">
        <is>
          <t>Downer</t>
        </is>
      </c>
      <c r="T1489" s="2" t="n">
        <v>100</v>
      </c>
      <c r="W1489" s="2" t="inlineStr">
        <is>
          <t>Classification</t>
        </is>
      </c>
      <c r="X1489" s="2" t="n">
        <v>-37.2093</v>
      </c>
      <c r="Y1489" s="2" t="n">
        <v>174.7352</v>
      </c>
    </row>
    <row r="1490">
      <c r="A1490" s="2" t="inlineStr">
        <is>
          <t>Downer</t>
        </is>
      </c>
      <c r="B1490" s="2" t="inlineStr">
        <is>
          <t>Newcastle - Stenhouse Dr, Cameron Pk</t>
        </is>
      </c>
      <c r="C1490" s="2" t="inlineStr">
        <is>
          <t>Depot</t>
        </is>
      </c>
      <c r="D1490" s="2" t="inlineStr">
        <is>
          <t>L9.S.13000985</t>
        </is>
      </c>
      <c r="E1490" s="2" t="n">
        <v>7043</v>
      </c>
      <c r="H1490" s="2" t="inlineStr">
        <is>
          <t>113 Stenhouse Drive</t>
        </is>
      </c>
      <c r="I1490" s="2" t="inlineStr">
        <is>
          <t>Cameron Park</t>
        </is>
      </c>
      <c r="J1490" s="2" t="inlineStr">
        <is>
          <t>NSW</t>
        </is>
      </c>
      <c r="K1490" s="2" t="n">
        <v>2285</v>
      </c>
      <c r="M1490" s="2" t="inlineStr">
        <is>
          <t>Newcastle</t>
        </is>
      </c>
      <c r="N1490" s="2" t="inlineStr">
        <is>
          <t>Australia</t>
        </is>
      </c>
      <c r="P1490" s="2" t="inlineStr">
        <is>
          <t>Operational Control</t>
        </is>
      </c>
      <c r="Q1490" s="2" t="inlineStr">
        <is>
          <t>Operational Control</t>
        </is>
      </c>
      <c r="R1490" s="2" t="inlineStr">
        <is>
          <t>Energy and Utilities (EU)</t>
        </is>
      </c>
      <c r="S1490" s="2" t="inlineStr">
        <is>
          <t>Downer</t>
        </is>
      </c>
      <c r="T1490" s="2" t="n">
        <v>100</v>
      </c>
      <c r="W1490" s="2" t="inlineStr">
        <is>
          <t>Classification</t>
        </is>
      </c>
    </row>
    <row r="1491">
      <c r="A1491" s="2" t="inlineStr">
        <is>
          <t>Downer</t>
        </is>
      </c>
      <c r="B1491" s="2" t="inlineStr">
        <is>
          <t>Newman Mobile 1</t>
        </is>
      </c>
      <c r="C1491" s="2" t="inlineStr">
        <is>
          <t>Asphalt Plant</t>
        </is>
      </c>
      <c r="D1491" s="2" t="inlineStr">
        <is>
          <t>L9.J.17060634</t>
        </is>
      </c>
      <c r="E1491" s="2" t="n">
        <v>197</v>
      </c>
      <c r="H1491" s="2" t="inlineStr">
        <is>
          <t>Big Rock Quarry, Great Northern Highway</t>
        </is>
      </c>
      <c r="I1491" s="2" t="inlineStr">
        <is>
          <t>Newman</t>
        </is>
      </c>
      <c r="J1491" s="2" t="inlineStr">
        <is>
          <t>WA</t>
        </is>
      </c>
      <c r="K1491" s="2" t="n">
        <v>6753</v>
      </c>
      <c r="L1491" s="2" t="inlineStr">
        <is>
          <t>Australia</t>
        </is>
      </c>
      <c r="M1491" s="2" t="inlineStr">
        <is>
          <t>Western Australia</t>
        </is>
      </c>
      <c r="N1491" s="2" t="inlineStr">
        <is>
          <t>Australia</t>
        </is>
      </c>
      <c r="P1491" s="2" t="inlineStr">
        <is>
          <t>Operational Control</t>
        </is>
      </c>
      <c r="Q1491" s="2" t="inlineStr">
        <is>
          <t>Operational Control</t>
        </is>
      </c>
      <c r="R1491" s="2" t="inlineStr">
        <is>
          <t>Transport &amp; Infrastructure (T&amp;I)</t>
        </is>
      </c>
      <c r="S1491" s="2" t="inlineStr">
        <is>
          <t>Downer</t>
        </is>
      </c>
      <c r="T1491" s="2" t="n">
        <v>100</v>
      </c>
      <c r="W1491" s="2" t="inlineStr">
        <is>
          <t>Classification</t>
        </is>
      </c>
      <c r="X1491" s="2" t="n">
        <v>-22.715</v>
      </c>
      <c r="Y1491" s="2" t="n">
        <v>119.047</v>
      </c>
      <c r="Z1491" s="2" t="n">
        <v>170</v>
      </c>
    </row>
    <row r="1492">
      <c r="A1492" s="2" t="inlineStr">
        <is>
          <t>Downer</t>
        </is>
      </c>
      <c r="B1492" s="2" t="inlineStr">
        <is>
          <t>Newport</t>
        </is>
      </c>
      <c r="C1492" s="2" t="inlineStr">
        <is>
          <t>Depot</t>
        </is>
      </c>
      <c r="D1492" s="2" t="inlineStr">
        <is>
          <t>L9.J.709401</t>
        </is>
      </c>
      <c r="E1492" s="2" t="n">
        <v>3012</v>
      </c>
      <c r="F1492" s="2" t="n">
        <v>198</v>
      </c>
      <c r="H1492" s="2" t="inlineStr">
        <is>
          <t>Champion Road</t>
        </is>
      </c>
      <c r="I1492" s="2" t="inlineStr">
        <is>
          <t>Newport</t>
        </is>
      </c>
      <c r="J1492" s="2" t="inlineStr">
        <is>
          <t>VIC</t>
        </is>
      </c>
      <c r="K1492" s="2" t="n">
        <v>3015</v>
      </c>
      <c r="L1492" s="2" t="inlineStr">
        <is>
          <t>Australia</t>
        </is>
      </c>
      <c r="M1492" s="2" t="inlineStr">
        <is>
          <t>Victoria</t>
        </is>
      </c>
      <c r="N1492" s="2" t="inlineStr">
        <is>
          <t>Australia</t>
        </is>
      </c>
      <c r="P1492" s="2" t="inlineStr">
        <is>
          <t>Operational Control</t>
        </is>
      </c>
      <c r="Q1492" s="2" t="inlineStr">
        <is>
          <t>Operational Control</t>
        </is>
      </c>
      <c r="R1492" s="2" t="inlineStr">
        <is>
          <t>Rail &amp; Transit Systems (RTS)</t>
        </is>
      </c>
      <c r="S1492" s="2" t="inlineStr">
        <is>
          <t>Downer</t>
        </is>
      </c>
      <c r="T1492" s="2" t="n">
        <v>100</v>
      </c>
      <c r="V1492" s="11" t="n">
        <v>45412</v>
      </c>
      <c r="W1492" s="2" t="inlineStr">
        <is>
          <t>Classification</t>
        </is>
      </c>
      <c r="X1492" s="2" t="n">
        <v>-25.542</v>
      </c>
      <c r="Y1492" s="2" t="n">
        <v>152.705</v>
      </c>
      <c r="Z1492" s="2" t="n">
        <v>239</v>
      </c>
      <c r="AB1492" s="11" t="n">
        <v>45412</v>
      </c>
    </row>
    <row r="1493">
      <c r="A1493" s="2" t="inlineStr">
        <is>
          <t>Downer</t>
        </is>
      </c>
      <c r="B1493" s="2" t="inlineStr">
        <is>
          <t>NGT EU Subcontractors</t>
        </is>
      </c>
      <c r="C1493" s="2" t="inlineStr">
        <is>
          <t>Other</t>
        </is>
      </c>
      <c r="D1493" s="2" t="inlineStr">
        <is>
          <t>L9.J.38210115</t>
        </is>
      </c>
      <c r="E1493" s="2" t="inlineStr">
        <is>
          <t>L9.J.38210115</t>
        </is>
      </c>
      <c r="M1493" s="2" t="inlineStr">
        <is>
          <t>North Ryde</t>
        </is>
      </c>
      <c r="N1493" s="2" t="inlineStr">
        <is>
          <t>Australia</t>
        </is>
      </c>
      <c r="P1493" s="2" t="inlineStr">
        <is>
          <t>Operational Control</t>
        </is>
      </c>
      <c r="Q1493" s="2" t="inlineStr">
        <is>
          <t>Operational Control</t>
        </is>
      </c>
      <c r="R1493" s="2" t="inlineStr">
        <is>
          <t>Energy and Utilities (EU)</t>
        </is>
      </c>
      <c r="S1493" s="2" t="inlineStr">
        <is>
          <t>Downer</t>
        </is>
      </c>
      <c r="T1493" s="2" t="n">
        <v>100</v>
      </c>
      <c r="W1493" s="2" t="inlineStr">
        <is>
          <t>Classification</t>
        </is>
      </c>
    </row>
    <row r="1494">
      <c r="A1494" s="2" t="inlineStr">
        <is>
          <t>Downer</t>
        </is>
      </c>
      <c r="B1494" s="2" t="inlineStr">
        <is>
          <t>Nokia DWDM Replacement EU Subcontractors</t>
        </is>
      </c>
      <c r="C1494" s="2" t="inlineStr">
        <is>
          <t>Other</t>
        </is>
      </c>
      <c r="D1494" s="2" t="inlineStr">
        <is>
          <t>L9.DNZ.810.20995</t>
        </is>
      </c>
      <c r="E1494" s="2" t="inlineStr">
        <is>
          <t>L9.DNZ.810.20995</t>
        </is>
      </c>
      <c r="F1494" s="2" t="inlineStr">
        <is>
          <t>L9.DNZ.810.20995</t>
        </is>
      </c>
      <c r="M1494" s="2" t="inlineStr">
        <is>
          <t>North Ryde</t>
        </is>
      </c>
      <c r="N1494" s="2" t="inlineStr">
        <is>
          <t>Australia</t>
        </is>
      </c>
      <c r="P1494" s="2" t="inlineStr">
        <is>
          <t>Operational Control</t>
        </is>
      </c>
      <c r="Q1494" s="2" t="inlineStr">
        <is>
          <t>Operational Control</t>
        </is>
      </c>
      <c r="R1494" s="2" t="inlineStr">
        <is>
          <t>Energy and Utilities (EU)</t>
        </is>
      </c>
      <c r="S1494" s="2" t="inlineStr">
        <is>
          <t>Downer</t>
        </is>
      </c>
      <c r="T1494" s="2" t="n">
        <v>100</v>
      </c>
      <c r="W1494" s="2" t="inlineStr">
        <is>
          <t>Classification</t>
        </is>
      </c>
    </row>
    <row r="1495">
      <c r="A1495" s="2" t="inlineStr">
        <is>
          <t>Downer</t>
        </is>
      </c>
      <c r="B1495" s="2" t="inlineStr">
        <is>
          <t>North Island Management</t>
        </is>
      </c>
      <c r="C1495" s="2" t="inlineStr">
        <is>
          <t>Other</t>
        </is>
      </c>
      <c r="D1495" s="2" t="inlineStr">
        <is>
          <t>L9.DNZJ.8804</t>
        </is>
      </c>
      <c r="E1495" s="2" t="n">
        <v>8804</v>
      </c>
      <c r="H1495" s="2" t="inlineStr">
        <is>
          <t>130 Kerrs Road</t>
        </is>
      </c>
      <c r="I1495" s="2" t="inlineStr">
        <is>
          <t>Wiri</t>
        </is>
      </c>
      <c r="J1495" s="2" t="inlineStr">
        <is>
          <t>Auckland</t>
        </is>
      </c>
      <c r="K1495" s="2" t="n">
        <v>2104</v>
      </c>
      <c r="L1495" s="2" t="inlineStr">
        <is>
          <t>New Zealand</t>
        </is>
      </c>
      <c r="M1495" s="2" t="inlineStr">
        <is>
          <t>Manurewa</t>
        </is>
      </c>
      <c r="N1495" s="2" t="inlineStr">
        <is>
          <t>New Zealand</t>
        </is>
      </c>
      <c r="P1495" s="2" t="inlineStr">
        <is>
          <t>Operational Control</t>
        </is>
      </c>
      <c r="Q1495" s="2" t="inlineStr">
        <is>
          <t>Operational Control</t>
        </is>
      </c>
      <c r="R1495" s="2" t="inlineStr">
        <is>
          <t>Transport &amp; Infrastructure (T&amp;I)</t>
        </is>
      </c>
      <c r="S1495" s="2" t="inlineStr">
        <is>
          <t>Downer</t>
        </is>
      </c>
      <c r="T1495" s="2" t="n">
        <v>100</v>
      </c>
      <c r="W1495" s="2" t="inlineStr">
        <is>
          <t>Classification</t>
        </is>
      </c>
      <c r="X1495" s="2" t="n">
        <v>-37.0083</v>
      </c>
      <c r="Y1495" s="2" t="n">
        <v>174.8705</v>
      </c>
    </row>
    <row r="1496">
      <c r="A1496" s="2" t="inlineStr">
        <is>
          <t>Downer</t>
        </is>
      </c>
      <c r="B1496" s="2" t="inlineStr">
        <is>
          <t>North Ryde T1 - Level 1</t>
        </is>
      </c>
      <c r="C1496" s="2" t="inlineStr">
        <is>
          <t>Office</t>
        </is>
      </c>
      <c r="D1496" s="2" t="inlineStr">
        <is>
          <t>L9.J.101001</t>
        </is>
      </c>
      <c r="E1496" s="2" t="n">
        <v>1006</v>
      </c>
      <c r="F1496" s="2" t="n">
        <v>201</v>
      </c>
      <c r="G1496" s="2" t="inlineStr">
        <is>
          <t>Shared Services</t>
        </is>
      </c>
      <c r="H1496" s="2" t="inlineStr">
        <is>
          <t>T1, Triniti Business Campus, 39 Delhi Road</t>
        </is>
      </c>
      <c r="I1496" s="2" t="inlineStr">
        <is>
          <t>North Ryde</t>
        </is>
      </c>
      <c r="J1496" s="2" t="inlineStr">
        <is>
          <t>NSW</t>
        </is>
      </c>
      <c r="K1496" s="2" t="n">
        <v>2113</v>
      </c>
      <c r="L1496" s="2" t="inlineStr">
        <is>
          <t>Australia</t>
        </is>
      </c>
      <c r="M1496" s="2" t="inlineStr">
        <is>
          <t>New South Wales</t>
        </is>
      </c>
      <c r="N1496" s="2" t="inlineStr">
        <is>
          <t>Australia</t>
        </is>
      </c>
      <c r="P1496" s="2" t="inlineStr">
        <is>
          <t>Operational Control</t>
        </is>
      </c>
      <c r="Q1496" s="2" t="inlineStr">
        <is>
          <t>Operational Control</t>
        </is>
      </c>
      <c r="R1496" s="2" t="inlineStr">
        <is>
          <t>Corporate</t>
        </is>
      </c>
      <c r="S1496" s="2" t="inlineStr">
        <is>
          <t>Downer</t>
        </is>
      </c>
      <c r="T1496" s="2" t="n">
        <v>100</v>
      </c>
      <c r="W1496" s="2" t="inlineStr">
        <is>
          <t>Classification</t>
        </is>
      </c>
      <c r="X1496" s="2" t="n">
        <v>-33.794</v>
      </c>
      <c r="Y1496" s="2" t="n">
        <v>151.139</v>
      </c>
      <c r="Z1496" s="2" t="n">
        <v>729</v>
      </c>
    </row>
    <row r="1497">
      <c r="A1497" s="2" t="inlineStr">
        <is>
          <t>Downer</t>
        </is>
      </c>
      <c r="B1497" s="2" t="inlineStr">
        <is>
          <t>North Ryde T1 - Level 2</t>
        </is>
      </c>
      <c r="C1497" s="2" t="inlineStr">
        <is>
          <t>Office</t>
        </is>
      </c>
      <c r="D1497" s="2" t="inlineStr">
        <is>
          <t>L9.J.102001</t>
        </is>
      </c>
      <c r="E1497" s="2" t="n">
        <v>1012</v>
      </c>
      <c r="H1497" s="2" t="inlineStr">
        <is>
          <t>T1, Triniti Business Campus, 39 Delhi Road</t>
        </is>
      </c>
      <c r="I1497" s="2" t="inlineStr">
        <is>
          <t>Sydney</t>
        </is>
      </c>
      <c r="J1497" s="2" t="inlineStr">
        <is>
          <t>NSW</t>
        </is>
      </c>
      <c r="K1497" s="2" t="n">
        <v>2113</v>
      </c>
      <c r="M1497" s="2" t="inlineStr">
        <is>
          <t>North Ryde</t>
        </is>
      </c>
      <c r="N1497" s="2" t="inlineStr">
        <is>
          <t>Australia</t>
        </is>
      </c>
      <c r="P1497" s="2" t="inlineStr">
        <is>
          <t>Operational Control</t>
        </is>
      </c>
      <c r="Q1497" s="2" t="inlineStr">
        <is>
          <t>Operational Control</t>
        </is>
      </c>
      <c r="R1497" s="2" t="inlineStr">
        <is>
          <t>Corporate</t>
        </is>
      </c>
      <c r="S1497" s="2" t="inlineStr">
        <is>
          <t>Downer</t>
        </is>
      </c>
      <c r="T1497" s="2" t="n">
        <v>100</v>
      </c>
      <c r="W1497" s="2" t="inlineStr">
        <is>
          <t>Classification</t>
        </is>
      </c>
      <c r="Z1497" s="2" t="n">
        <v>729</v>
      </c>
    </row>
    <row r="1498">
      <c r="A1498" s="2" t="inlineStr">
        <is>
          <t>Downer</t>
        </is>
      </c>
      <c r="B1498" s="2" t="inlineStr">
        <is>
          <t>North Ryde T1 - Level 3</t>
        </is>
      </c>
      <c r="C1498" s="2" t="inlineStr">
        <is>
          <t>Office</t>
        </is>
      </c>
      <c r="D1498" s="2" t="inlineStr">
        <is>
          <t>L9.J.103001</t>
        </is>
      </c>
      <c r="E1498" s="2" t="n">
        <v>1007</v>
      </c>
      <c r="F1498" s="2" t="n">
        <v>408</v>
      </c>
      <c r="G1498" s="2" t="inlineStr">
        <is>
          <t>occupied space: Keolis-Downer (1/4), Mouchel (1/4), IT (1/2) occupied from April 2015, bill data starts at May 2015</t>
        </is>
      </c>
      <c r="H1498" s="2" t="inlineStr">
        <is>
          <t>T1, Triniti Business Campus, 39 Delhi Road</t>
        </is>
      </c>
      <c r="I1498" s="2" t="inlineStr">
        <is>
          <t>North Ryde</t>
        </is>
      </c>
      <c r="J1498" s="2" t="inlineStr">
        <is>
          <t>NSW</t>
        </is>
      </c>
      <c r="K1498" s="2" t="n">
        <v>2113</v>
      </c>
      <c r="L1498" s="2" t="inlineStr">
        <is>
          <t>Australia</t>
        </is>
      </c>
      <c r="M1498" s="2" t="inlineStr">
        <is>
          <t>New South Wales</t>
        </is>
      </c>
      <c r="N1498" s="2" t="inlineStr">
        <is>
          <t>Australia</t>
        </is>
      </c>
      <c r="P1498" s="2" t="inlineStr">
        <is>
          <t>Operational Control</t>
        </is>
      </c>
      <c r="Q1498" s="2" t="inlineStr">
        <is>
          <t>Operational Control</t>
        </is>
      </c>
      <c r="R1498" s="2" t="inlineStr">
        <is>
          <t>Corporate</t>
        </is>
      </c>
      <c r="S1498" s="2" t="inlineStr">
        <is>
          <t>Downer</t>
        </is>
      </c>
      <c r="T1498" s="2" t="n">
        <v>100</v>
      </c>
      <c r="W1498" s="2" t="inlineStr">
        <is>
          <t>Classification</t>
        </is>
      </c>
      <c r="X1498" s="2" t="n">
        <v>-33.794</v>
      </c>
      <c r="Y1498" s="2" t="n">
        <v>151.139</v>
      </c>
      <c r="Z1498" s="2" t="n">
        <v>729</v>
      </c>
    </row>
    <row r="1499">
      <c r="A1499" s="2" t="inlineStr">
        <is>
          <t>Downer</t>
        </is>
      </c>
      <c r="B1499" s="2" t="inlineStr">
        <is>
          <t>North Ryde T1 - Level 4</t>
        </is>
      </c>
      <c r="C1499" s="2" t="inlineStr">
        <is>
          <t>Office</t>
        </is>
      </c>
      <c r="D1499" s="2" t="inlineStr">
        <is>
          <t>L9.J.104001</t>
        </is>
      </c>
      <c r="E1499" s="2" t="n">
        <v>1008</v>
      </c>
      <c r="F1499" s="2" t="n">
        <v>410</v>
      </c>
      <c r="G1499" s="2" t="inlineStr">
        <is>
          <t>Utilities, IT. Occupied from April 2015, bill data from May 2015</t>
        </is>
      </c>
      <c r="H1499" s="2" t="inlineStr">
        <is>
          <t>T1, Triniti Business Campus, 39 Delhi Road</t>
        </is>
      </c>
      <c r="I1499" s="2" t="inlineStr">
        <is>
          <t>North Ryde</t>
        </is>
      </c>
      <c r="J1499" s="2" t="inlineStr">
        <is>
          <t>NSW</t>
        </is>
      </c>
      <c r="K1499" s="2" t="n">
        <v>2113</v>
      </c>
      <c r="L1499" s="2" t="inlineStr">
        <is>
          <t>Australia</t>
        </is>
      </c>
      <c r="M1499" s="2" t="inlineStr">
        <is>
          <t>New South Wales</t>
        </is>
      </c>
      <c r="N1499" s="2" t="inlineStr">
        <is>
          <t>Australia</t>
        </is>
      </c>
      <c r="P1499" s="2" t="inlineStr">
        <is>
          <t>Operational Control</t>
        </is>
      </c>
      <c r="Q1499" s="2" t="inlineStr">
        <is>
          <t>Operational Control</t>
        </is>
      </c>
      <c r="R1499" s="2" t="inlineStr">
        <is>
          <t>Corporate</t>
        </is>
      </c>
      <c r="S1499" s="2" t="inlineStr">
        <is>
          <t>Downer</t>
        </is>
      </c>
      <c r="T1499" s="2" t="n">
        <v>100</v>
      </c>
      <c r="W1499" s="2" t="inlineStr">
        <is>
          <t>Classification</t>
        </is>
      </c>
      <c r="X1499" s="2" t="n">
        <v>-33.794</v>
      </c>
      <c r="Y1499" s="2" t="n">
        <v>151.139</v>
      </c>
      <c r="Z1499" s="2" t="n">
        <v>729</v>
      </c>
    </row>
    <row r="1500">
      <c r="A1500" s="2" t="inlineStr">
        <is>
          <t>Downer</t>
        </is>
      </c>
      <c r="B1500" s="2" t="inlineStr">
        <is>
          <t>North Ryde T3 - Level 2</t>
        </is>
      </c>
      <c r="C1500" s="2" t="inlineStr">
        <is>
          <t>Office</t>
        </is>
      </c>
      <c r="D1500" s="2" t="inlineStr">
        <is>
          <t>L9.J.107001</t>
        </is>
      </c>
      <c r="E1500" s="2" t="n">
        <v>1013</v>
      </c>
      <c r="H1500" s="2" t="inlineStr">
        <is>
          <t>T1, Triniti Business Campus, 39 Delhi Road</t>
        </is>
      </c>
      <c r="I1500" s="2" t="inlineStr">
        <is>
          <t>Sydney</t>
        </is>
      </c>
      <c r="J1500" s="2" t="inlineStr">
        <is>
          <t>NSW</t>
        </is>
      </c>
      <c r="K1500" s="2" t="n">
        <v>2113</v>
      </c>
      <c r="M1500" s="2" t="inlineStr">
        <is>
          <t>North Ryde</t>
        </is>
      </c>
      <c r="N1500" s="2" t="inlineStr">
        <is>
          <t>Australia</t>
        </is>
      </c>
      <c r="P1500" s="2" t="inlineStr">
        <is>
          <t>Operational Control</t>
        </is>
      </c>
      <c r="Q1500" s="2" t="inlineStr">
        <is>
          <t>Operational Control</t>
        </is>
      </c>
      <c r="R1500" s="2" t="inlineStr">
        <is>
          <t>Corporate</t>
        </is>
      </c>
      <c r="S1500" s="2" t="inlineStr">
        <is>
          <t>Downer</t>
        </is>
      </c>
      <c r="T1500" s="2" t="n">
        <v>100</v>
      </c>
      <c r="W1500" s="2" t="inlineStr">
        <is>
          <t>Classification</t>
        </is>
      </c>
      <c r="Z1500" s="2" t="n">
        <v>729</v>
      </c>
    </row>
    <row r="1501">
      <c r="A1501" s="2" t="inlineStr">
        <is>
          <t>Downer</t>
        </is>
      </c>
      <c r="B1501" s="2" t="inlineStr">
        <is>
          <t>North Ryde T3 - Level 3</t>
        </is>
      </c>
      <c r="C1501" s="2" t="inlineStr">
        <is>
          <t>Office</t>
        </is>
      </c>
      <c r="D1501" s="2" t="inlineStr">
        <is>
          <t>L9.J.109001</t>
        </is>
      </c>
      <c r="E1501" s="2" t="n">
        <v>1009</v>
      </c>
      <c r="F1501" s="2" t="n">
        <v>202</v>
      </c>
      <c r="G1501" s="2" t="inlineStr">
        <is>
          <t>Group, IT &amp; Infrastructure Services</t>
        </is>
      </c>
      <c r="H1501" s="2" t="inlineStr">
        <is>
          <t>T3, Triniti Business Campus, 39 Delhi Road</t>
        </is>
      </c>
      <c r="I1501" s="2" t="inlineStr">
        <is>
          <t>North Ryde</t>
        </is>
      </c>
      <c r="J1501" s="2" t="inlineStr">
        <is>
          <t>NSW</t>
        </is>
      </c>
      <c r="K1501" s="2" t="n">
        <v>2113</v>
      </c>
      <c r="L1501" s="2" t="inlineStr">
        <is>
          <t>Australia</t>
        </is>
      </c>
      <c r="M1501" s="2" t="inlineStr">
        <is>
          <t>North Ryde</t>
        </is>
      </c>
      <c r="N1501" s="2" t="inlineStr">
        <is>
          <t>Australia</t>
        </is>
      </c>
      <c r="P1501" s="2" t="inlineStr">
        <is>
          <t>Operational Control</t>
        </is>
      </c>
      <c r="Q1501" s="2" t="inlineStr">
        <is>
          <t>Operational Control</t>
        </is>
      </c>
      <c r="R1501" s="2" t="inlineStr">
        <is>
          <t>Corporate</t>
        </is>
      </c>
      <c r="S1501" s="2" t="inlineStr">
        <is>
          <t>Downer</t>
        </is>
      </c>
      <c r="T1501" s="2" t="n">
        <v>100</v>
      </c>
      <c r="W1501" s="2" t="inlineStr">
        <is>
          <t>Classification</t>
        </is>
      </c>
      <c r="X1501" s="2" t="n">
        <v>-33.794</v>
      </c>
      <c r="Y1501" s="2" t="n">
        <v>151.139</v>
      </c>
      <c r="Z1501" s="2" t="n">
        <v>729</v>
      </c>
    </row>
    <row r="1502">
      <c r="A1502" s="2" t="inlineStr">
        <is>
          <t>Downer</t>
        </is>
      </c>
      <c r="B1502" s="2" t="inlineStr">
        <is>
          <t>NORTH WANAKA WW CONVEYANCE</t>
        </is>
      </c>
      <c r="C1502" s="2" t="inlineStr">
        <is>
          <t>Other</t>
        </is>
      </c>
      <c r="D1502" s="2" t="inlineStr">
        <is>
          <t>L9.DNZJ.DS2671</t>
        </is>
      </c>
      <c r="E1502" s="2" t="inlineStr">
        <is>
          <t>JP_DS2671</t>
        </is>
      </c>
      <c r="H1502" s="2" t="inlineStr">
        <is>
          <t>130 Kerrs Road</t>
        </is>
      </c>
      <c r="I1502" s="2" t="inlineStr">
        <is>
          <t>Wiri</t>
        </is>
      </c>
      <c r="J1502" s="2" t="inlineStr">
        <is>
          <t>Auckland</t>
        </is>
      </c>
      <c r="K1502" s="2" t="n">
        <v>2104</v>
      </c>
      <c r="L1502" s="2" t="inlineStr">
        <is>
          <t>New Zealand</t>
        </is>
      </c>
      <c r="M1502" s="2" t="inlineStr">
        <is>
          <t>Manurewa</t>
        </is>
      </c>
      <c r="N1502" s="2" t="inlineStr">
        <is>
          <t>New Zealand</t>
        </is>
      </c>
      <c r="P1502" s="2" t="inlineStr">
        <is>
          <t>Operational Control</t>
        </is>
      </c>
      <c r="Q1502" s="2" t="inlineStr">
        <is>
          <t>Operational Control</t>
        </is>
      </c>
      <c r="R1502" s="2" t="inlineStr">
        <is>
          <t>Energy and Utilities (EU)</t>
        </is>
      </c>
      <c r="S1502" s="2" t="inlineStr">
        <is>
          <t>Downer</t>
        </is>
      </c>
      <c r="T1502" s="2" t="n">
        <v>100</v>
      </c>
      <c r="W1502" s="2" t="inlineStr">
        <is>
          <t>Classification</t>
        </is>
      </c>
      <c r="X1502" s="2" t="n">
        <v>-37.0083</v>
      </c>
      <c r="Y1502" s="2" t="n">
        <v>174.8705</v>
      </c>
    </row>
    <row r="1503">
      <c r="A1503" s="2" t="inlineStr">
        <is>
          <t>Downer</t>
        </is>
      </c>
      <c r="B1503" s="2" t="inlineStr">
        <is>
          <t>North Wollongong Office</t>
        </is>
      </c>
      <c r="C1503" s="2" t="inlineStr">
        <is>
          <t>Office / Warehouse</t>
        </is>
      </c>
      <c r="D1503" s="2" t="inlineStr">
        <is>
          <t>L9.WAU.000891</t>
        </is>
      </c>
      <c r="E1503" s="2" t="inlineStr">
        <is>
          <t>L9.WAU.000891</t>
        </is>
      </c>
      <c r="G1503" s="2" t="inlineStr">
        <is>
          <t>Was previously called "LAHC - North Wollongong"</t>
        </is>
      </c>
      <c r="H1503" s="2" t="inlineStr">
        <is>
          <t>5/13 Ralph Black Drive</t>
        </is>
      </c>
      <c r="I1503" s="2" t="inlineStr">
        <is>
          <t>North Wollongong</t>
        </is>
      </c>
      <c r="J1503" s="2" t="inlineStr">
        <is>
          <t>NSW</t>
        </is>
      </c>
      <c r="K1503" s="2" t="n">
        <v>2500</v>
      </c>
      <c r="M1503" s="2" t="inlineStr">
        <is>
          <t>Wollongong</t>
        </is>
      </c>
      <c r="N1503" s="2" t="inlineStr">
        <is>
          <t>Australia</t>
        </is>
      </c>
      <c r="P1503" s="2" t="inlineStr">
        <is>
          <t>Operational Control</t>
        </is>
      </c>
      <c r="Q1503" s="2" t="inlineStr">
        <is>
          <t>Operational Control</t>
        </is>
      </c>
      <c r="R1503" s="2" t="inlineStr">
        <is>
          <t>Corporate</t>
        </is>
      </c>
      <c r="S1503" s="2" t="inlineStr">
        <is>
          <t>Downer</t>
        </is>
      </c>
      <c r="T1503" s="2" t="n">
        <v>100</v>
      </c>
      <c r="W1503" s="2" t="inlineStr">
        <is>
          <t>Classification</t>
        </is>
      </c>
      <c r="X1503" s="2" t="n">
        <v>-34.408277</v>
      </c>
      <c r="Y1503" s="2" t="n">
        <v>150.893433</v>
      </c>
      <c r="Z1503" s="2" t="n">
        <v>729</v>
      </c>
    </row>
    <row r="1504">
      <c r="A1504" s="2" t="inlineStr">
        <is>
          <t>Downer</t>
        </is>
      </c>
      <c r="B1504" s="2" t="inlineStr">
        <is>
          <t>Northern BPL's</t>
        </is>
      </c>
      <c r="C1504" s="2" t="inlineStr">
        <is>
          <t>Other</t>
        </is>
      </c>
      <c r="D1504" s="2" t="inlineStr">
        <is>
          <t>L9.DNZ.810.10.237</t>
        </is>
      </c>
      <c r="E1504" s="2" t="n">
        <v>10237</v>
      </c>
      <c r="G1504" s="2" t="n">
        <v>10.237</v>
      </c>
      <c r="H1504" s="2" t="inlineStr">
        <is>
          <t>130 Kerrs Road</t>
        </is>
      </c>
      <c r="I1504" s="2" t="inlineStr">
        <is>
          <t>Wiri</t>
        </is>
      </c>
      <c r="J1504" s="2" t="inlineStr">
        <is>
          <t>Auckland</t>
        </is>
      </c>
      <c r="K1504" s="2" t="n">
        <v>2104</v>
      </c>
      <c r="L1504" s="2" t="inlineStr">
        <is>
          <t>New Zealand</t>
        </is>
      </c>
      <c r="M1504" s="2" t="inlineStr">
        <is>
          <t>Manurewa</t>
        </is>
      </c>
      <c r="N1504" s="2" t="inlineStr">
        <is>
          <t>New Zealand</t>
        </is>
      </c>
      <c r="P1504" s="2" t="inlineStr">
        <is>
          <t>Operational Control</t>
        </is>
      </c>
      <c r="Q1504" s="2" t="inlineStr">
        <is>
          <t>Operational Control</t>
        </is>
      </c>
      <c r="R1504" s="2" t="inlineStr">
        <is>
          <t>Energy and Utilities (EU)</t>
        </is>
      </c>
      <c r="S1504" s="2" t="inlineStr">
        <is>
          <t>Downer</t>
        </is>
      </c>
      <c r="T1504" s="2" t="n">
        <v>100</v>
      </c>
      <c r="W1504" s="2" t="inlineStr">
        <is>
          <t>Classification</t>
        </is>
      </c>
      <c r="X1504" s="2" t="n">
        <v>-37.0083</v>
      </c>
      <c r="Y1504" s="2" t="n">
        <v>174.8705</v>
      </c>
    </row>
    <row r="1505">
      <c r="A1505" s="2" t="inlineStr">
        <is>
          <t>Downer</t>
        </is>
      </c>
      <c r="B1505" s="2" t="inlineStr">
        <is>
          <t>Northern Corrections</t>
        </is>
      </c>
      <c r="C1505" s="2" t="inlineStr">
        <is>
          <t>Other</t>
        </is>
      </c>
      <c r="D1505" s="2" t="inlineStr">
        <is>
          <t>L9.DNZ.810.10.135</t>
        </is>
      </c>
      <c r="E1505" s="2" t="n">
        <v>10131</v>
      </c>
      <c r="H1505" s="2" t="inlineStr">
        <is>
          <t>130 Kerrs Road</t>
        </is>
      </c>
      <c r="I1505" s="2" t="inlineStr">
        <is>
          <t>Wiri</t>
        </is>
      </c>
      <c r="J1505" s="2" t="inlineStr">
        <is>
          <t>Auckland</t>
        </is>
      </c>
      <c r="K1505" s="2" t="n">
        <v>2104</v>
      </c>
      <c r="L1505" s="2" t="inlineStr">
        <is>
          <t>New Zealand</t>
        </is>
      </c>
      <c r="M1505" s="2" t="inlineStr">
        <is>
          <t>Manurewa</t>
        </is>
      </c>
      <c r="N1505" s="2" t="inlineStr">
        <is>
          <t>New Zealand</t>
        </is>
      </c>
      <c r="P1505" s="2" t="inlineStr">
        <is>
          <t>Operational Control</t>
        </is>
      </c>
      <c r="Q1505" s="2" t="inlineStr">
        <is>
          <t>Operational Control</t>
        </is>
      </c>
      <c r="R1505" s="2" t="inlineStr">
        <is>
          <t>Social Infra &amp; Citizen Serv (SICS)</t>
        </is>
      </c>
      <c r="S1505" s="2" t="inlineStr">
        <is>
          <t>Downer</t>
        </is>
      </c>
      <c r="T1505" s="2" t="n">
        <v>100</v>
      </c>
      <c r="W1505" s="2" t="inlineStr">
        <is>
          <t>Classification</t>
        </is>
      </c>
      <c r="X1505" s="2" t="n">
        <v>-37.0083</v>
      </c>
      <c r="Y1505" s="2" t="n">
        <v>174.8705</v>
      </c>
    </row>
    <row r="1506">
      <c r="A1506" s="2" t="inlineStr">
        <is>
          <t>Downer</t>
        </is>
      </c>
      <c r="B1506" s="2" t="inlineStr">
        <is>
          <t>Northern Food AOR</t>
        </is>
      </c>
      <c r="C1506" s="2" t="inlineStr">
        <is>
          <t>Other</t>
        </is>
      </c>
      <c r="D1506" s="2" t="inlineStr">
        <is>
          <t>L9.S.26019466</t>
        </is>
      </c>
      <c r="E1506" s="2" t="n">
        <v>2000005064</v>
      </c>
      <c r="H1506" s="2" t="inlineStr">
        <is>
          <t>130 Kerrs Road</t>
        </is>
      </c>
      <c r="I1506" s="2" t="inlineStr">
        <is>
          <t>Wiri</t>
        </is>
      </c>
      <c r="J1506" s="2" t="inlineStr">
        <is>
          <t>Auckland</t>
        </is>
      </c>
      <c r="K1506" s="2" t="n">
        <v>2104</v>
      </c>
      <c r="L1506" s="2" t="inlineStr">
        <is>
          <t>New Zealand</t>
        </is>
      </c>
      <c r="M1506" s="2" t="inlineStr">
        <is>
          <t>Manurewa</t>
        </is>
      </c>
      <c r="N1506" s="2" t="inlineStr">
        <is>
          <t>New Zealand</t>
        </is>
      </c>
      <c r="P1506" s="2" t="inlineStr">
        <is>
          <t>Operational Control</t>
        </is>
      </c>
      <c r="Q1506" s="2" t="inlineStr">
        <is>
          <t>Operational Control</t>
        </is>
      </c>
      <c r="R1506" s="2" t="inlineStr">
        <is>
          <t>Social Infra &amp; Citizen Serv (SICS)</t>
        </is>
      </c>
      <c r="S1506" s="2" t="inlineStr">
        <is>
          <t>Downer</t>
        </is>
      </c>
      <c r="T1506" s="2" t="n">
        <v>100</v>
      </c>
      <c r="W1506" s="2" t="inlineStr">
        <is>
          <t>Classification</t>
        </is>
      </c>
      <c r="X1506" s="2" t="n">
        <v>-37.0083</v>
      </c>
      <c r="Y1506" s="2" t="n">
        <v>174.8705</v>
      </c>
    </row>
    <row r="1507">
      <c r="A1507" s="2" t="inlineStr">
        <is>
          <t>Downer</t>
        </is>
      </c>
      <c r="B1507" s="2" t="inlineStr">
        <is>
          <t>NORTHERN NETWORK TRANSPORTATIO</t>
        </is>
      </c>
      <c r="C1507" s="2" t="inlineStr">
        <is>
          <t>Other</t>
        </is>
      </c>
      <c r="D1507" s="2" t="inlineStr">
        <is>
          <t>L9.DNZJ.DN1171</t>
        </is>
      </c>
      <c r="E1507" s="2" t="inlineStr">
        <is>
          <t>JP_DN1171</t>
        </is>
      </c>
      <c r="H1507" s="2" t="inlineStr">
        <is>
          <t>130 Kerrs Road</t>
        </is>
      </c>
      <c r="I1507" s="2" t="inlineStr">
        <is>
          <t>Wiri</t>
        </is>
      </c>
      <c r="J1507" s="2" t="inlineStr">
        <is>
          <t>Auckland</t>
        </is>
      </c>
      <c r="K1507" s="2" t="n">
        <v>2104</v>
      </c>
      <c r="L1507" s="2" t="inlineStr">
        <is>
          <t>New Zealand</t>
        </is>
      </c>
      <c r="M1507" s="2" t="inlineStr">
        <is>
          <t>Manurewa</t>
        </is>
      </c>
      <c r="N1507" s="2" t="inlineStr">
        <is>
          <t>New Zealand</t>
        </is>
      </c>
      <c r="P1507" s="2" t="inlineStr">
        <is>
          <t>Operational Control</t>
        </is>
      </c>
      <c r="Q1507" s="2" t="inlineStr">
        <is>
          <t>Operational Control</t>
        </is>
      </c>
      <c r="R1507" s="2" t="inlineStr">
        <is>
          <t>Transport &amp; Infrastructure (T&amp;I)</t>
        </is>
      </c>
      <c r="S1507" s="2" t="inlineStr">
        <is>
          <t>Downer</t>
        </is>
      </c>
      <c r="T1507" s="2" t="n">
        <v>100</v>
      </c>
      <c r="W1507" s="2" t="inlineStr">
        <is>
          <t>Classification</t>
        </is>
      </c>
      <c r="X1507" s="2" t="n">
        <v>-37.0083</v>
      </c>
      <c r="Y1507" s="2" t="n">
        <v>174.8705</v>
      </c>
    </row>
    <row r="1508">
      <c r="A1508" s="2" t="inlineStr">
        <is>
          <t>Downer</t>
        </is>
      </c>
      <c r="B1508" s="2" t="inlineStr">
        <is>
          <t>Northern Operations Manager</t>
        </is>
      </c>
      <c r="C1508" s="2" t="inlineStr">
        <is>
          <t>Other</t>
        </is>
      </c>
      <c r="D1508" s="2" t="inlineStr">
        <is>
          <t>L9.DUN.70100</t>
        </is>
      </c>
      <c r="E1508" s="2" t="inlineStr">
        <is>
          <t>PG70100</t>
        </is>
      </c>
      <c r="H1508" s="2" t="inlineStr">
        <is>
          <t>130 Kerrs Road</t>
        </is>
      </c>
      <c r="I1508" s="2" t="inlineStr">
        <is>
          <t>Wiri</t>
        </is>
      </c>
      <c r="J1508" s="2" t="inlineStr">
        <is>
          <t>Auckland</t>
        </is>
      </c>
      <c r="K1508" s="2" t="n">
        <v>2104</v>
      </c>
      <c r="L1508" s="2" t="inlineStr">
        <is>
          <t>New Zealand</t>
        </is>
      </c>
      <c r="M1508" s="2" t="inlineStr">
        <is>
          <t>Manurewa</t>
        </is>
      </c>
      <c r="N1508" s="2" t="inlineStr">
        <is>
          <t>New Zealand</t>
        </is>
      </c>
      <c r="P1508" s="2" t="inlineStr">
        <is>
          <t>Operational Control</t>
        </is>
      </c>
      <c r="Q1508" s="2" t="inlineStr">
        <is>
          <t>Operational Control</t>
        </is>
      </c>
      <c r="R1508" s="2" t="inlineStr">
        <is>
          <t>Energy and Utilities (EU)</t>
        </is>
      </c>
      <c r="S1508" s="2" t="inlineStr">
        <is>
          <t>Downer</t>
        </is>
      </c>
      <c r="T1508" s="2" t="n">
        <v>100</v>
      </c>
      <c r="W1508" s="2" t="inlineStr">
        <is>
          <t>Classification</t>
        </is>
      </c>
      <c r="X1508" s="2" t="n">
        <v>-37.0083</v>
      </c>
      <c r="Y1508" s="2" t="n">
        <v>174.8705</v>
      </c>
    </row>
    <row r="1509">
      <c r="A1509" s="2" t="inlineStr">
        <is>
          <t>Downer</t>
        </is>
      </c>
      <c r="B1509" s="2" t="inlineStr">
        <is>
          <t>Northern Overhead</t>
        </is>
      </c>
      <c r="C1509" s="2" t="inlineStr">
        <is>
          <t>Other</t>
        </is>
      </c>
      <c r="D1509" s="2" t="inlineStr">
        <is>
          <t>L9.DNZJ.55923</t>
        </is>
      </c>
      <c r="E1509" s="2" t="n">
        <v>55923</v>
      </c>
      <c r="H1509" s="2" t="inlineStr">
        <is>
          <t>130 Kerrs Road</t>
        </is>
      </c>
      <c r="I1509" s="2" t="inlineStr">
        <is>
          <t>Wiri</t>
        </is>
      </c>
      <c r="J1509" s="2" t="inlineStr">
        <is>
          <t>Auckland</t>
        </is>
      </c>
      <c r="K1509" s="2" t="n">
        <v>2104</v>
      </c>
      <c r="L1509" s="2" t="inlineStr">
        <is>
          <t>New Zealand</t>
        </is>
      </c>
      <c r="M1509" s="2" t="inlineStr">
        <is>
          <t>Manurewa</t>
        </is>
      </c>
      <c r="N1509" s="2" t="inlineStr">
        <is>
          <t>New Zealand</t>
        </is>
      </c>
      <c r="P1509" s="2" t="inlineStr">
        <is>
          <t>Operational Control</t>
        </is>
      </c>
      <c r="Q1509" s="2" t="inlineStr">
        <is>
          <t>Operational Control</t>
        </is>
      </c>
      <c r="R1509" s="2" t="inlineStr">
        <is>
          <t>Transport &amp; Infrastructure (T&amp;I)</t>
        </is>
      </c>
      <c r="S1509" s="2" t="inlineStr">
        <is>
          <t>Downer</t>
        </is>
      </c>
      <c r="T1509" s="2" t="n">
        <v>100</v>
      </c>
      <c r="W1509" s="2" t="inlineStr">
        <is>
          <t>Classification</t>
        </is>
      </c>
      <c r="X1509" s="2" t="n">
        <v>-37.0083</v>
      </c>
      <c r="Y1509" s="2" t="n">
        <v>174.8705</v>
      </c>
    </row>
    <row r="1510">
      <c r="A1510" s="2" t="inlineStr">
        <is>
          <t>Downer</t>
        </is>
      </c>
      <c r="B1510" s="2" t="inlineStr">
        <is>
          <t>Northern Regional</t>
        </is>
      </c>
      <c r="C1510" s="2" t="inlineStr">
        <is>
          <t>Other</t>
        </is>
      </c>
      <c r="D1510" s="2" t="inlineStr">
        <is>
          <t>L9.DUN.10132</t>
        </is>
      </c>
      <c r="E1510" s="2" t="n">
        <v>10132</v>
      </c>
      <c r="H1510" s="2" t="inlineStr">
        <is>
          <t>130 Kerrs Road</t>
        </is>
      </c>
      <c r="I1510" s="2" t="inlineStr">
        <is>
          <t>Wiri</t>
        </is>
      </c>
      <c r="J1510" s="2" t="inlineStr">
        <is>
          <t>Auckland</t>
        </is>
      </c>
      <c r="K1510" s="2" t="n">
        <v>2104</v>
      </c>
      <c r="L1510" s="2" t="inlineStr">
        <is>
          <t>New Zealand</t>
        </is>
      </c>
      <c r="M1510" s="2" t="inlineStr">
        <is>
          <t>Manurewa</t>
        </is>
      </c>
      <c r="N1510" s="2" t="inlineStr">
        <is>
          <t>New Zealand</t>
        </is>
      </c>
      <c r="P1510" s="2" t="inlineStr">
        <is>
          <t>Operational Control</t>
        </is>
      </c>
      <c r="Q1510" s="2" t="inlineStr">
        <is>
          <t>Operational Control</t>
        </is>
      </c>
      <c r="R1510" s="2" t="inlineStr">
        <is>
          <t>Social Infra &amp; Citizen Serv (SICS)</t>
        </is>
      </c>
      <c r="S1510" s="2" t="inlineStr">
        <is>
          <t>Downer</t>
        </is>
      </c>
      <c r="T1510" s="2" t="n">
        <v>100</v>
      </c>
      <c r="W1510" s="2" t="inlineStr">
        <is>
          <t>Classification</t>
        </is>
      </c>
      <c r="X1510" s="2" t="n">
        <v>-37.0083</v>
      </c>
      <c r="Y1510" s="2" t="n">
        <v>174.8705</v>
      </c>
    </row>
    <row r="1511">
      <c r="A1511" s="2" t="inlineStr">
        <is>
          <t>Downer</t>
        </is>
      </c>
      <c r="B1511" s="2" t="inlineStr">
        <is>
          <t>Northland Hlth 45000806</t>
        </is>
      </c>
      <c r="C1511" s="2" t="inlineStr">
        <is>
          <t>Other</t>
        </is>
      </c>
      <c r="D1511" s="2" t="inlineStr">
        <is>
          <t>L9.S.26006372</t>
        </is>
      </c>
      <c r="E1511" s="2" t="n">
        <v>2000003263</v>
      </c>
      <c r="M1511" s="2" t="inlineStr">
        <is>
          <t>Manurewa</t>
        </is>
      </c>
      <c r="N1511" s="2" t="inlineStr">
        <is>
          <t>New Zealand</t>
        </is>
      </c>
      <c r="P1511" s="2" t="inlineStr">
        <is>
          <t>Operational Control</t>
        </is>
      </c>
      <c r="Q1511" s="2" t="inlineStr">
        <is>
          <t>Operational Control</t>
        </is>
      </c>
      <c r="R1511" s="2" t="inlineStr">
        <is>
          <t>Social Infra &amp; Citizen Serv (SICS)</t>
        </is>
      </c>
      <c r="S1511" s="2" t="inlineStr">
        <is>
          <t>Downer</t>
        </is>
      </c>
      <c r="T1511" s="2" t="n">
        <v>100</v>
      </c>
      <c r="W1511" s="2" t="inlineStr">
        <is>
          <t>Classification</t>
        </is>
      </c>
    </row>
    <row r="1512">
      <c r="A1512" s="2" t="inlineStr">
        <is>
          <t>Downer</t>
        </is>
      </c>
      <c r="B1512" s="2" t="inlineStr">
        <is>
          <t>Northland Hospital Operations - 45002552</t>
        </is>
      </c>
      <c r="C1512" s="2" t="inlineStr">
        <is>
          <t>Other</t>
        </is>
      </c>
      <c r="D1512" s="2" t="inlineStr">
        <is>
          <t>L9.S.24000130</t>
        </is>
      </c>
      <c r="E1512" s="2" t="n">
        <v>2000004516</v>
      </c>
      <c r="H1512" s="2" t="inlineStr">
        <is>
          <t>130 Kerrs Road</t>
        </is>
      </c>
      <c r="I1512" s="2" t="inlineStr">
        <is>
          <t>Wiri</t>
        </is>
      </c>
      <c r="J1512" s="2" t="inlineStr">
        <is>
          <t>Auckland</t>
        </is>
      </c>
      <c r="K1512" s="2" t="n">
        <v>2104</v>
      </c>
      <c r="L1512" s="2" t="inlineStr">
        <is>
          <t>New Zealand</t>
        </is>
      </c>
      <c r="M1512" s="2" t="inlineStr">
        <is>
          <t>Manurewa</t>
        </is>
      </c>
      <c r="N1512" s="2" t="inlineStr">
        <is>
          <t>New Zealand</t>
        </is>
      </c>
      <c r="P1512" s="2" t="inlineStr">
        <is>
          <t>Operational Control</t>
        </is>
      </c>
      <c r="Q1512" s="2" t="inlineStr">
        <is>
          <t>Operational Control</t>
        </is>
      </c>
      <c r="R1512" s="2" t="inlineStr">
        <is>
          <t>Social Infra &amp; Citizen Serv (SICS)</t>
        </is>
      </c>
      <c r="S1512" s="2" t="inlineStr">
        <is>
          <t>Downer</t>
        </is>
      </c>
      <c r="T1512" s="2" t="n">
        <v>100</v>
      </c>
      <c r="W1512" s="2" t="inlineStr">
        <is>
          <t>Classification</t>
        </is>
      </c>
      <c r="X1512" s="2" t="n">
        <v>-37.0083</v>
      </c>
      <c r="Y1512" s="2" t="n">
        <v>174.8705</v>
      </c>
    </row>
    <row r="1513">
      <c r="A1513" s="2" t="inlineStr">
        <is>
          <t>Downer</t>
        </is>
      </c>
      <c r="B1513" s="2" t="inlineStr">
        <is>
          <t>NPT Overheads (Other) EU Subcontractors</t>
        </is>
      </c>
      <c r="C1513" s="2" t="inlineStr">
        <is>
          <t>Other</t>
        </is>
      </c>
      <c r="D1513" s="2" t="inlineStr">
        <is>
          <t>L9.J.239009</t>
        </is>
      </c>
      <c r="E1513" s="2" t="inlineStr">
        <is>
          <t>L9.J.239009</t>
        </is>
      </c>
      <c r="F1513" s="2" t="inlineStr">
        <is>
          <t>L9.J.239009</t>
        </is>
      </c>
      <c r="M1513" s="2" t="inlineStr">
        <is>
          <t>Auckland</t>
        </is>
      </c>
      <c r="N1513" s="2" t="inlineStr">
        <is>
          <t>New Zealand</t>
        </is>
      </c>
      <c r="P1513" s="2" t="inlineStr">
        <is>
          <t>Operational Control</t>
        </is>
      </c>
      <c r="Q1513" s="2" t="inlineStr">
        <is>
          <t>Operational Control</t>
        </is>
      </c>
      <c r="R1513" s="2" t="inlineStr">
        <is>
          <t>Energy and Utilities (EU)</t>
        </is>
      </c>
      <c r="S1513" s="2" t="inlineStr">
        <is>
          <t>Downer</t>
        </is>
      </c>
      <c r="T1513" s="2" t="n">
        <v>100</v>
      </c>
      <c r="W1513" s="2" t="inlineStr">
        <is>
          <t>Classification</t>
        </is>
      </c>
    </row>
    <row r="1514">
      <c r="A1514" s="2" t="inlineStr">
        <is>
          <t>Downer</t>
        </is>
      </c>
      <c r="B1514" s="2" t="inlineStr">
        <is>
          <t>NSW Police Capital Works Management Services</t>
        </is>
      </c>
      <c r="C1514" s="2" t="inlineStr">
        <is>
          <t>Virtual Location</t>
        </is>
      </c>
      <c r="D1514" s="2" t="inlineStr">
        <is>
          <t>L9.S.0392.1029</t>
        </is>
      </c>
      <c r="E1514" s="2" t="inlineStr">
        <is>
          <t>L9.S.0392.1029</t>
        </is>
      </c>
      <c r="M1514" s="2" t="inlineStr">
        <is>
          <t>New South Wales</t>
        </is>
      </c>
      <c r="N1514" s="2" t="inlineStr">
        <is>
          <t>Australia</t>
        </is>
      </c>
      <c r="P1514" s="2" t="inlineStr">
        <is>
          <t>Operational Control</t>
        </is>
      </c>
      <c r="Q1514" s="2" t="inlineStr">
        <is>
          <t>Operational Control</t>
        </is>
      </c>
      <c r="R1514" s="2" t="inlineStr">
        <is>
          <t>Social Infra &amp; Citizen Serv (SICS)</t>
        </is>
      </c>
      <c r="S1514" s="2" t="inlineStr">
        <is>
          <t>Downer</t>
        </is>
      </c>
      <c r="T1514" s="2" t="n">
        <v>100</v>
      </c>
      <c r="W1514" s="2" t="inlineStr">
        <is>
          <t>Classification</t>
        </is>
      </c>
    </row>
    <row r="1515">
      <c r="A1515" s="2" t="inlineStr">
        <is>
          <t>Downer</t>
        </is>
      </c>
      <c r="B1515" s="2" t="inlineStr">
        <is>
          <t>NSW Spray Seal</t>
        </is>
      </c>
      <c r="C1515" s="2" t="inlineStr">
        <is>
          <t>Depot</t>
        </is>
      </c>
      <c r="D1515" s="2" t="inlineStr">
        <is>
          <t>L9.J.171210</t>
        </is>
      </c>
      <c r="E1515" s="2" t="n">
        <v>171210</v>
      </c>
      <c r="G1515" s="2" t="inlineStr">
        <is>
          <t>Includes all RPQ NSW spray seal depots</t>
        </is>
      </c>
      <c r="H1515" s="2" t="inlineStr">
        <is>
          <t>3 Tyson Street</t>
        </is>
      </c>
      <c r="I1515" s="2" t="inlineStr">
        <is>
          <t>South Grafton</t>
        </is>
      </c>
      <c r="J1515" s="2" t="inlineStr">
        <is>
          <t>NSW</t>
        </is>
      </c>
      <c r="K1515" s="2" t="n">
        <v>2460</v>
      </c>
      <c r="L1515" s="2" t="inlineStr">
        <is>
          <t>Australia</t>
        </is>
      </c>
      <c r="M1515" s="2" t="inlineStr">
        <is>
          <t>New South Wales</t>
        </is>
      </c>
      <c r="N1515" s="2" t="inlineStr">
        <is>
          <t>Australia</t>
        </is>
      </c>
      <c r="P1515" s="2" t="inlineStr">
        <is>
          <t>Operational Control</t>
        </is>
      </c>
      <c r="Q1515" s="2" t="inlineStr">
        <is>
          <t>Operational Control</t>
        </is>
      </c>
      <c r="R1515" s="2" t="inlineStr">
        <is>
          <t>Transport &amp; Infrastructure (T&amp;I)</t>
        </is>
      </c>
      <c r="S1515" s="2" t="inlineStr">
        <is>
          <t>Downer</t>
        </is>
      </c>
      <c r="T1515" s="2" t="n">
        <v>100</v>
      </c>
      <c r="W1515" s="2" t="inlineStr">
        <is>
          <t>Classification</t>
        </is>
      </c>
      <c r="X1515" s="2" t="n">
        <v>-29.717988</v>
      </c>
      <c r="Y1515" s="2" t="n">
        <v>152.948332</v>
      </c>
      <c r="Z1515" s="2" t="n">
        <v>310</v>
      </c>
    </row>
    <row r="1516">
      <c r="A1516" s="2" t="inlineStr">
        <is>
          <t>Downer</t>
        </is>
      </c>
      <c r="B1516" s="2" t="inlineStr">
        <is>
          <t>NSW Telco EU Subcontractors</t>
        </is>
      </c>
      <c r="C1516" s="2" t="inlineStr">
        <is>
          <t>Other</t>
        </is>
      </c>
      <c r="D1516" s="2" t="inlineStr">
        <is>
          <t>L9.J.23440129</t>
        </is>
      </c>
      <c r="E1516" s="2" t="inlineStr">
        <is>
          <t>L9.J.23440129</t>
        </is>
      </c>
      <c r="F1516" s="2" t="inlineStr">
        <is>
          <t>L9.J.23440129</t>
        </is>
      </c>
      <c r="M1516" s="2" t="inlineStr">
        <is>
          <t>North Ryde</t>
        </is>
      </c>
      <c r="N1516" s="2" t="inlineStr">
        <is>
          <t>Australia</t>
        </is>
      </c>
      <c r="P1516" s="2" t="inlineStr">
        <is>
          <t>Operational Control</t>
        </is>
      </c>
      <c r="Q1516" s="2" t="inlineStr">
        <is>
          <t>Operational Control</t>
        </is>
      </c>
      <c r="R1516" s="2" t="inlineStr">
        <is>
          <t>Energy and Utilities (EU)</t>
        </is>
      </c>
      <c r="S1516" s="2" t="inlineStr">
        <is>
          <t>Downer</t>
        </is>
      </c>
      <c r="T1516" s="2" t="n">
        <v>100</v>
      </c>
      <c r="W1516" s="2" t="inlineStr">
        <is>
          <t>Classification</t>
        </is>
      </c>
    </row>
    <row r="1517">
      <c r="A1517" s="2" t="inlineStr">
        <is>
          <t>Downer</t>
        </is>
      </c>
      <c r="B1517" s="2" t="inlineStr">
        <is>
          <t>NSW/ACT/Vic other customers EU Subcontractors</t>
        </is>
      </c>
      <c r="C1517" s="2" t="inlineStr">
        <is>
          <t>Other</t>
        </is>
      </c>
      <c r="D1517" s="2" t="inlineStr">
        <is>
          <t>L9.J.24160024</t>
        </is>
      </c>
      <c r="E1517" s="2" t="inlineStr">
        <is>
          <t>L9.J.24160024</t>
        </is>
      </c>
      <c r="M1517" s="2" t="inlineStr">
        <is>
          <t>North Ryde</t>
        </is>
      </c>
      <c r="N1517" s="2" t="inlineStr">
        <is>
          <t>Australia</t>
        </is>
      </c>
      <c r="P1517" s="2" t="inlineStr">
        <is>
          <t>Operational Control</t>
        </is>
      </c>
      <c r="Q1517" s="2" t="inlineStr">
        <is>
          <t>Operational Control</t>
        </is>
      </c>
      <c r="R1517" s="2" t="inlineStr">
        <is>
          <t>Energy and Utilities (EU)</t>
        </is>
      </c>
      <c r="S1517" s="2" t="inlineStr">
        <is>
          <t>Downer</t>
        </is>
      </c>
      <c r="T1517" s="2" t="n">
        <v>100</v>
      </c>
      <c r="W1517" s="2" t="inlineStr">
        <is>
          <t>Classification</t>
        </is>
      </c>
    </row>
    <row r="1518">
      <c r="A1518" s="2" t="inlineStr">
        <is>
          <t>Downer</t>
        </is>
      </c>
      <c r="B1518" s="2" t="inlineStr">
        <is>
          <t>NSW/ACT/VIC Overhead EU Subcontractors</t>
        </is>
      </c>
      <c r="C1518" s="2" t="inlineStr">
        <is>
          <t>Other</t>
        </is>
      </c>
      <c r="D1518" s="2" t="inlineStr">
        <is>
          <t>L9.J.240102</t>
        </is>
      </c>
      <c r="E1518" s="2" t="inlineStr">
        <is>
          <t>L9.J.240102</t>
        </is>
      </c>
      <c r="F1518" s="2" t="inlineStr">
        <is>
          <t>L9.J.240102</t>
        </is>
      </c>
      <c r="M1518" s="2" t="inlineStr">
        <is>
          <t>North Ryde</t>
        </is>
      </c>
      <c r="N1518" s="2" t="inlineStr">
        <is>
          <t>Australia</t>
        </is>
      </c>
      <c r="P1518" s="2" t="inlineStr">
        <is>
          <t>Operational Control</t>
        </is>
      </c>
      <c r="Q1518" s="2" t="inlineStr">
        <is>
          <t>Operational Control</t>
        </is>
      </c>
      <c r="R1518" s="2" t="inlineStr">
        <is>
          <t>Energy and Utilities (EU)</t>
        </is>
      </c>
      <c r="S1518" s="2" t="inlineStr">
        <is>
          <t>Downer</t>
        </is>
      </c>
      <c r="T1518" s="2" t="n">
        <v>100</v>
      </c>
      <c r="W1518" s="2" t="inlineStr">
        <is>
          <t>Classification</t>
        </is>
      </c>
    </row>
    <row r="1519">
      <c r="A1519" s="2" t="inlineStr">
        <is>
          <t>Downer</t>
        </is>
      </c>
      <c r="B1519" s="2" t="inlineStr">
        <is>
          <t>NSW/ACT/VIC Recoveries EU Subcontractors</t>
        </is>
      </c>
      <c r="C1519" s="2" t="inlineStr">
        <is>
          <t>Other</t>
        </is>
      </c>
      <c r="D1519" s="2" t="inlineStr">
        <is>
          <t>L9.J.240107</t>
        </is>
      </c>
      <c r="E1519" s="2" t="inlineStr">
        <is>
          <t>L9.J.240107</t>
        </is>
      </c>
      <c r="F1519" s="2" t="inlineStr">
        <is>
          <t>L9.J.240107</t>
        </is>
      </c>
      <c r="M1519" s="2" t="inlineStr">
        <is>
          <t>North Ryde</t>
        </is>
      </c>
      <c r="N1519" s="2" t="inlineStr">
        <is>
          <t>Australia</t>
        </is>
      </c>
      <c r="P1519" s="2" t="inlineStr">
        <is>
          <t>Operational Control</t>
        </is>
      </c>
      <c r="Q1519" s="2" t="inlineStr">
        <is>
          <t>Operational Control</t>
        </is>
      </c>
      <c r="R1519" s="2" t="inlineStr">
        <is>
          <t>Energy and Utilities (EU)</t>
        </is>
      </c>
      <c r="S1519" s="2" t="inlineStr">
        <is>
          <t>Downer</t>
        </is>
      </c>
      <c r="T1519" s="2" t="n">
        <v>100</v>
      </c>
      <c r="W1519" s="2" t="inlineStr">
        <is>
          <t>Classification</t>
        </is>
      </c>
    </row>
    <row r="1520">
      <c r="A1520" s="2" t="inlineStr">
        <is>
          <t>Downer</t>
        </is>
      </c>
      <c r="B1520" s="2" t="inlineStr">
        <is>
          <t>NZ Aluminium (Food) - 45002914</t>
        </is>
      </c>
      <c r="C1520" s="2" t="inlineStr">
        <is>
          <t>Other</t>
        </is>
      </c>
      <c r="D1520" s="2" t="inlineStr">
        <is>
          <t>L9.S.24000203</t>
        </is>
      </c>
      <c r="E1520" s="2" t="n">
        <v>2000004776</v>
      </c>
      <c r="H1520" s="2" t="inlineStr">
        <is>
          <t>Tiwai Road</t>
        </is>
      </c>
      <c r="I1520" s="2" t="inlineStr">
        <is>
          <t>Tiwai Point</t>
        </is>
      </c>
      <c r="J1520" s="2" t="inlineStr">
        <is>
          <t>Tiwai Point</t>
        </is>
      </c>
      <c r="K1520" s="2" t="n">
        <v>9877</v>
      </c>
      <c r="L1520" s="2" t="inlineStr">
        <is>
          <t>New Zealand</t>
        </is>
      </c>
      <c r="M1520" s="2" t="inlineStr">
        <is>
          <t>Bluff</t>
        </is>
      </c>
      <c r="N1520" s="2" t="inlineStr">
        <is>
          <t>New Zealand</t>
        </is>
      </c>
      <c r="P1520" s="2" t="inlineStr">
        <is>
          <t>Operational Control</t>
        </is>
      </c>
      <c r="Q1520" s="2" t="inlineStr">
        <is>
          <t>Operational Control</t>
        </is>
      </c>
      <c r="R1520" s="2" t="inlineStr">
        <is>
          <t>Social Infra &amp; Citizen Serv (SICS)</t>
        </is>
      </c>
      <c r="S1520" s="2" t="inlineStr">
        <is>
          <t>Downer</t>
        </is>
      </c>
      <c r="T1520" s="2" t="n">
        <v>100</v>
      </c>
      <c r="W1520" s="2" t="inlineStr">
        <is>
          <t>Classification</t>
        </is>
      </c>
      <c r="X1520" s="2" t="n">
        <v>-46.583</v>
      </c>
      <c r="Y1520" s="2" t="n">
        <v>168.3875</v>
      </c>
    </row>
    <row r="1521">
      <c r="A1521" s="2" t="inlineStr">
        <is>
          <t>Downer</t>
        </is>
      </c>
      <c r="B1521" s="2" t="inlineStr">
        <is>
          <t>NZ Aluminium Smelters  45000887</t>
        </is>
      </c>
      <c r="C1521" s="2" t="inlineStr">
        <is>
          <t>Other</t>
        </is>
      </c>
      <c r="D1521" s="2" t="inlineStr">
        <is>
          <t>L9.S.26005890</t>
        </is>
      </c>
      <c r="E1521" s="2" t="n">
        <v>2000003339</v>
      </c>
      <c r="H1521" s="2" t="inlineStr">
        <is>
          <t>130 Kerrs Road</t>
        </is>
      </c>
      <c r="I1521" s="2" t="inlineStr">
        <is>
          <t>Wiri</t>
        </is>
      </c>
      <c r="J1521" s="2" t="inlineStr">
        <is>
          <t>Auckland</t>
        </is>
      </c>
      <c r="K1521" s="2" t="n">
        <v>2104</v>
      </c>
      <c r="L1521" s="2" t="inlineStr">
        <is>
          <t>New Zealand</t>
        </is>
      </c>
      <c r="M1521" s="2" t="inlineStr">
        <is>
          <t>Manurewa</t>
        </is>
      </c>
      <c r="N1521" s="2" t="inlineStr">
        <is>
          <t>New Zealand</t>
        </is>
      </c>
      <c r="P1521" s="2" t="inlineStr">
        <is>
          <t>Operational Control</t>
        </is>
      </c>
      <c r="Q1521" s="2" t="inlineStr">
        <is>
          <t>Operational Control</t>
        </is>
      </c>
      <c r="R1521" s="2" t="inlineStr">
        <is>
          <t>Social Infra &amp; Citizen Serv (SICS)</t>
        </is>
      </c>
      <c r="S1521" s="2" t="inlineStr">
        <is>
          <t>Downer</t>
        </is>
      </c>
      <c r="T1521" s="2" t="n">
        <v>100</v>
      </c>
      <c r="W1521" s="2" t="inlineStr">
        <is>
          <t>Classification</t>
        </is>
      </c>
      <c r="X1521" s="2" t="n">
        <v>-37.0083</v>
      </c>
      <c r="Y1521" s="2" t="n">
        <v>174.8705</v>
      </c>
    </row>
    <row r="1522">
      <c r="A1522" s="2" t="inlineStr">
        <is>
          <t>Downer</t>
        </is>
      </c>
      <c r="B1522" s="2" t="inlineStr">
        <is>
          <t>NZ ANZ Ops Overheads</t>
        </is>
      </c>
      <c r="C1522" s="2" t="inlineStr">
        <is>
          <t>Other</t>
        </is>
      </c>
      <c r="D1522" s="2" t="inlineStr">
        <is>
          <t>L9.DNZJ.1937</t>
        </is>
      </c>
      <c r="E1522" s="2" t="n">
        <v>1937</v>
      </c>
      <c r="M1522" s="2" t="inlineStr">
        <is>
          <t>Manurewa</t>
        </is>
      </c>
      <c r="N1522" s="2" t="inlineStr">
        <is>
          <t>New Zealand</t>
        </is>
      </c>
      <c r="P1522" s="2" t="inlineStr">
        <is>
          <t>Operational Control</t>
        </is>
      </c>
      <c r="Q1522" s="2" t="inlineStr">
        <is>
          <t>Operational Control</t>
        </is>
      </c>
      <c r="R1522" s="2" t="inlineStr">
        <is>
          <t>Transport &amp; Infrastructure (T&amp;I)</t>
        </is>
      </c>
      <c r="S1522" s="2" t="inlineStr">
        <is>
          <t>Downer</t>
        </is>
      </c>
      <c r="T1522" s="2" t="n">
        <v>100</v>
      </c>
      <c r="W1522" s="2" t="inlineStr">
        <is>
          <t>Classification</t>
        </is>
      </c>
    </row>
    <row r="1523">
      <c r="A1523" s="2" t="inlineStr">
        <is>
          <t>Downer</t>
        </is>
      </c>
      <c r="B1523" s="2" t="inlineStr">
        <is>
          <t>NZ Asset Management</t>
        </is>
      </c>
      <c r="C1523" s="2" t="inlineStr">
        <is>
          <t>Other</t>
        </is>
      </c>
      <c r="D1523" s="2" t="inlineStr">
        <is>
          <t>L9.DNZJ.1936</t>
        </is>
      </c>
      <c r="E1523" s="2" t="n">
        <v>1936</v>
      </c>
      <c r="G1523" s="2" t="inlineStr">
        <is>
          <t>Fleet-NZ Asset Management</t>
        </is>
      </c>
      <c r="M1523" s="2" t="inlineStr">
        <is>
          <t>Auckland</t>
        </is>
      </c>
      <c r="N1523" s="2" t="inlineStr">
        <is>
          <t>New Zealand</t>
        </is>
      </c>
      <c r="P1523" s="2" t="inlineStr">
        <is>
          <t>Operational Control</t>
        </is>
      </c>
      <c r="Q1523" s="2" t="inlineStr">
        <is>
          <t>Operational Control</t>
        </is>
      </c>
      <c r="R1523" s="2" t="inlineStr">
        <is>
          <t>Transport &amp; Infrastructure (T&amp;I)</t>
        </is>
      </c>
      <c r="S1523" s="2" t="inlineStr">
        <is>
          <t>Downer</t>
        </is>
      </c>
      <c r="T1523" s="2" t="n">
        <v>100</v>
      </c>
      <c r="W1523" s="2" t="inlineStr">
        <is>
          <t>Classification</t>
        </is>
      </c>
    </row>
    <row r="1524">
      <c r="A1524" s="2" t="inlineStr">
        <is>
          <t>Downer</t>
        </is>
      </c>
      <c r="B1524" s="2" t="inlineStr">
        <is>
          <t>NZ Car Rentals</t>
        </is>
      </c>
      <c r="C1524" s="2" t="inlineStr">
        <is>
          <t>Other</t>
        </is>
      </c>
      <c r="D1524" s="2" t="inlineStr">
        <is>
          <t>L9.DNZJ.9006</t>
        </is>
      </c>
      <c r="E1524" s="2" t="n">
        <v>1028</v>
      </c>
      <c r="M1524" s="2" t="inlineStr">
        <is>
          <t>Auckland City</t>
        </is>
      </c>
      <c r="N1524" s="2" t="inlineStr">
        <is>
          <t>New Zealand</t>
        </is>
      </c>
      <c r="P1524" s="2" t="inlineStr">
        <is>
          <t>Operational Control</t>
        </is>
      </c>
      <c r="Q1524" s="2" t="inlineStr">
        <is>
          <t>Operational Control</t>
        </is>
      </c>
      <c r="R1524" s="2" t="inlineStr">
        <is>
          <t>Corporate</t>
        </is>
      </c>
      <c r="S1524" s="2" t="inlineStr">
        <is>
          <t>Downer</t>
        </is>
      </c>
      <c r="T1524" s="2" t="n">
        <v>100</v>
      </c>
      <c r="W1524" s="2" t="inlineStr">
        <is>
          <t>Classification</t>
        </is>
      </c>
    </row>
    <row r="1525">
      <c r="A1525" s="2" t="inlineStr">
        <is>
          <t>Downer</t>
        </is>
      </c>
      <c r="B1525" s="2" t="inlineStr">
        <is>
          <t>NZ Construction Direct Overhead</t>
        </is>
      </c>
      <c r="C1525" s="2" t="inlineStr">
        <is>
          <t>Other</t>
        </is>
      </c>
      <c r="D1525" s="2" t="inlineStr">
        <is>
          <t>L9.S.26020301</t>
        </is>
      </c>
      <c r="E1525" s="2" t="n">
        <v>2000008050</v>
      </c>
      <c r="H1525" s="2" t="inlineStr">
        <is>
          <t>130 Kerrs Road</t>
        </is>
      </c>
      <c r="I1525" s="2" t="inlineStr">
        <is>
          <t>Wiri</t>
        </is>
      </c>
      <c r="J1525" s="2" t="inlineStr">
        <is>
          <t>Auckland</t>
        </is>
      </c>
      <c r="K1525" s="2" t="n">
        <v>2104</v>
      </c>
      <c r="L1525" s="2" t="inlineStr">
        <is>
          <t>New Zealand</t>
        </is>
      </c>
      <c r="M1525" s="2" t="inlineStr">
        <is>
          <t>Manurewa</t>
        </is>
      </c>
      <c r="N1525" s="2" t="inlineStr">
        <is>
          <t>New Zealand</t>
        </is>
      </c>
      <c r="P1525" s="2" t="inlineStr">
        <is>
          <t>Operational Control</t>
        </is>
      </c>
      <c r="Q1525" s="2" t="inlineStr">
        <is>
          <t>Operational Control</t>
        </is>
      </c>
      <c r="R1525" s="2" t="inlineStr">
        <is>
          <t>Social Infra &amp; Citizen Serv (SICS)</t>
        </is>
      </c>
      <c r="S1525" s="2" t="inlineStr">
        <is>
          <t>Downer</t>
        </is>
      </c>
      <c r="T1525" s="2" t="n">
        <v>100</v>
      </c>
      <c r="V1525" s="11" t="n">
        <v>45291</v>
      </c>
      <c r="W1525" s="2" t="inlineStr">
        <is>
          <t>Classification</t>
        </is>
      </c>
      <c r="X1525" s="2" t="n">
        <v>-37.0083</v>
      </c>
      <c r="Y1525" s="2" t="n">
        <v>174.8705</v>
      </c>
    </row>
    <row r="1526">
      <c r="A1526" s="2" t="inlineStr">
        <is>
          <t>Downer</t>
        </is>
      </c>
      <c r="B1526" s="2" t="inlineStr">
        <is>
          <t>NZ Construction Electrical 45003670</t>
        </is>
      </c>
      <c r="C1526" s="2" t="inlineStr">
        <is>
          <t>Other</t>
        </is>
      </c>
      <c r="D1526" s="2" t="inlineStr">
        <is>
          <t>L9.S.26019357</t>
        </is>
      </c>
      <c r="E1526" s="2" t="n">
        <v>2000008005</v>
      </c>
      <c r="H1526" s="2" t="inlineStr">
        <is>
          <t>130 Kerrs Road</t>
        </is>
      </c>
      <c r="I1526" s="2" t="inlineStr">
        <is>
          <t>Wiri</t>
        </is>
      </c>
      <c r="J1526" s="2" t="inlineStr">
        <is>
          <t>Auckland</t>
        </is>
      </c>
      <c r="K1526" s="2" t="n">
        <v>2104</v>
      </c>
      <c r="L1526" s="2" t="inlineStr">
        <is>
          <t>New Zealand</t>
        </is>
      </c>
      <c r="M1526" s="2" t="inlineStr">
        <is>
          <t>Manurewa</t>
        </is>
      </c>
      <c r="N1526" s="2" t="inlineStr">
        <is>
          <t>New Zealand</t>
        </is>
      </c>
      <c r="P1526" s="2" t="inlineStr">
        <is>
          <t>Operational Control</t>
        </is>
      </c>
      <c r="Q1526" s="2" t="inlineStr">
        <is>
          <t>Operational Control</t>
        </is>
      </c>
      <c r="R1526" s="2" t="inlineStr">
        <is>
          <t>Social Infra &amp; Citizen Serv (SICS)</t>
        </is>
      </c>
      <c r="S1526" s="2" t="inlineStr">
        <is>
          <t>Downer</t>
        </is>
      </c>
      <c r="T1526" s="2" t="n">
        <v>100</v>
      </c>
      <c r="V1526" s="11" t="n">
        <v>45291</v>
      </c>
      <c r="W1526" s="2" t="inlineStr">
        <is>
          <t>Classification</t>
        </is>
      </c>
      <c r="X1526" s="2" t="n">
        <v>-37.0083</v>
      </c>
      <c r="Y1526" s="2" t="n">
        <v>174.8705</v>
      </c>
    </row>
    <row r="1527">
      <c r="A1527" s="2" t="inlineStr">
        <is>
          <t>Downer</t>
        </is>
      </c>
      <c r="B1527" s="2" t="inlineStr">
        <is>
          <t>NZ Construction Overhead</t>
        </is>
      </c>
      <c r="C1527" s="2" t="inlineStr">
        <is>
          <t>Other</t>
        </is>
      </c>
      <c r="D1527" s="2" t="inlineStr">
        <is>
          <t>L9.S.23016600</t>
        </is>
      </c>
      <c r="E1527" s="2" t="n">
        <v>2000008051</v>
      </c>
      <c r="H1527" s="2" t="inlineStr">
        <is>
          <t>130 Kerrs Road</t>
        </is>
      </c>
      <c r="I1527" s="2" t="inlineStr">
        <is>
          <t>Wiri</t>
        </is>
      </c>
      <c r="J1527" s="2" t="inlineStr">
        <is>
          <t>Auckland</t>
        </is>
      </c>
      <c r="K1527" s="2" t="n">
        <v>2104</v>
      </c>
      <c r="L1527" s="2" t="inlineStr">
        <is>
          <t>New Zealand</t>
        </is>
      </c>
      <c r="M1527" s="2" t="inlineStr">
        <is>
          <t>Manurewa</t>
        </is>
      </c>
      <c r="N1527" s="2" t="inlineStr">
        <is>
          <t>New Zealand</t>
        </is>
      </c>
      <c r="P1527" s="2" t="inlineStr">
        <is>
          <t>Operational Control</t>
        </is>
      </c>
      <c r="Q1527" s="2" t="inlineStr">
        <is>
          <t>Operational Control</t>
        </is>
      </c>
      <c r="R1527" s="2" t="inlineStr">
        <is>
          <t>Social Infra &amp; Citizen Serv (SICS)</t>
        </is>
      </c>
      <c r="S1527" s="2" t="inlineStr">
        <is>
          <t>Downer</t>
        </is>
      </c>
      <c r="T1527" s="2" t="n">
        <v>100</v>
      </c>
      <c r="V1527" s="11" t="n">
        <v>45291</v>
      </c>
      <c r="W1527" s="2" t="inlineStr">
        <is>
          <t>Classification</t>
        </is>
      </c>
      <c r="X1527" s="2" t="n">
        <v>-37.0083</v>
      </c>
      <c r="Y1527" s="2" t="n">
        <v>174.8705</v>
      </c>
    </row>
    <row r="1528">
      <c r="A1528" s="2" t="inlineStr">
        <is>
          <t>Downer</t>
        </is>
      </c>
      <c r="B1528" s="2" t="inlineStr">
        <is>
          <t>NZ Construction Resource Pool</t>
        </is>
      </c>
      <c r="C1528" s="2" t="inlineStr">
        <is>
          <t>Site</t>
        </is>
      </c>
      <c r="D1528" s="2" t="inlineStr">
        <is>
          <t>L9.S.26020300</t>
        </is>
      </c>
      <c r="E1528" s="2" t="n">
        <v>2000008049</v>
      </c>
      <c r="M1528" s="2" t="inlineStr">
        <is>
          <t>Auckland</t>
        </is>
      </c>
      <c r="N1528" s="2" t="inlineStr">
        <is>
          <t>New Zealand</t>
        </is>
      </c>
      <c r="P1528" s="2" t="inlineStr">
        <is>
          <t>Operational Control</t>
        </is>
      </c>
      <c r="Q1528" s="2" t="inlineStr">
        <is>
          <t>Operational Control</t>
        </is>
      </c>
      <c r="R1528" s="2" t="inlineStr">
        <is>
          <t>Social Infra &amp; Citizen Serv (SICS)</t>
        </is>
      </c>
      <c r="S1528" s="2" t="inlineStr">
        <is>
          <t>Downer</t>
        </is>
      </c>
      <c r="T1528" s="2" t="n">
        <v>100</v>
      </c>
      <c r="V1528" s="11" t="n">
        <v>45291</v>
      </c>
      <c r="W1528" s="2" t="inlineStr">
        <is>
          <t>Classification</t>
        </is>
      </c>
    </row>
    <row r="1529">
      <c r="A1529" s="2" t="inlineStr">
        <is>
          <t>Downer</t>
        </is>
      </c>
      <c r="B1529" s="2" t="inlineStr">
        <is>
          <t>NZ Education Food - Management</t>
        </is>
      </c>
      <c r="C1529" s="2" t="inlineStr">
        <is>
          <t>Other</t>
        </is>
      </c>
      <c r="D1529" s="2" t="inlineStr">
        <is>
          <t>L9.S.23000789</t>
        </is>
      </c>
      <c r="E1529" s="2" t="n">
        <v>2000004855</v>
      </c>
      <c r="H1529" s="2" t="inlineStr">
        <is>
          <t>130 Kerrs Road</t>
        </is>
      </c>
      <c r="I1529" s="2" t="inlineStr">
        <is>
          <t>Wiri</t>
        </is>
      </c>
      <c r="J1529" s="2" t="inlineStr">
        <is>
          <t>Auckland</t>
        </is>
      </c>
      <c r="K1529" s="2" t="n">
        <v>2104</v>
      </c>
      <c r="L1529" s="2" t="inlineStr">
        <is>
          <t>New Zealand</t>
        </is>
      </c>
      <c r="M1529" s="2" t="inlineStr">
        <is>
          <t>Manurewa</t>
        </is>
      </c>
      <c r="N1529" s="2" t="inlineStr">
        <is>
          <t>New Zealand</t>
        </is>
      </c>
      <c r="P1529" s="2" t="inlineStr">
        <is>
          <t>Operational Control</t>
        </is>
      </c>
      <c r="Q1529" s="2" t="inlineStr">
        <is>
          <t>Operational Control</t>
        </is>
      </c>
      <c r="R1529" s="2" t="inlineStr">
        <is>
          <t>Social Infra &amp; Citizen Serv (SICS)</t>
        </is>
      </c>
      <c r="S1529" s="2" t="inlineStr">
        <is>
          <t>Downer</t>
        </is>
      </c>
      <c r="T1529" s="2" t="n">
        <v>100</v>
      </c>
      <c r="W1529" s="2" t="inlineStr">
        <is>
          <t>Classification</t>
        </is>
      </c>
      <c r="X1529" s="2" t="n">
        <v>-37.0083</v>
      </c>
      <c r="Y1529" s="2" t="n">
        <v>174.8705</v>
      </c>
    </row>
    <row r="1530">
      <c r="A1530" s="2" t="inlineStr">
        <is>
          <t>Downer</t>
        </is>
      </c>
      <c r="B1530" s="2" t="inlineStr">
        <is>
          <t>NZ Govt Housing - 45002376</t>
        </is>
      </c>
      <c r="C1530" s="2" t="inlineStr">
        <is>
          <t>Other</t>
        </is>
      </c>
      <c r="D1530" s="2" t="inlineStr">
        <is>
          <t>L9.S.24000003</t>
        </is>
      </c>
      <c r="E1530" s="2" t="n">
        <v>2000004482</v>
      </c>
      <c r="H1530" s="2" t="inlineStr">
        <is>
          <t>130 Kerrs Road</t>
        </is>
      </c>
      <c r="I1530" s="2" t="inlineStr">
        <is>
          <t>Wiri</t>
        </is>
      </c>
      <c r="J1530" s="2" t="inlineStr">
        <is>
          <t>Auckland</t>
        </is>
      </c>
      <c r="K1530" s="2" t="n">
        <v>2104</v>
      </c>
      <c r="L1530" s="2" t="inlineStr">
        <is>
          <t>New Zealand</t>
        </is>
      </c>
      <c r="M1530" s="2" t="inlineStr">
        <is>
          <t>Manurewa</t>
        </is>
      </c>
      <c r="N1530" s="2" t="inlineStr">
        <is>
          <t>New Zealand</t>
        </is>
      </c>
      <c r="P1530" s="2" t="inlineStr">
        <is>
          <t>Operational Control</t>
        </is>
      </c>
      <c r="Q1530" s="2" t="inlineStr">
        <is>
          <t>Operational Control</t>
        </is>
      </c>
      <c r="R1530" s="2" t="inlineStr">
        <is>
          <t>Social Infra &amp; Citizen Serv (SICS)</t>
        </is>
      </c>
      <c r="S1530" s="2" t="inlineStr">
        <is>
          <t>Downer</t>
        </is>
      </c>
      <c r="T1530" s="2" t="n">
        <v>100</v>
      </c>
      <c r="W1530" s="2" t="inlineStr">
        <is>
          <t>Classification</t>
        </is>
      </c>
      <c r="X1530" s="2" t="n">
        <v>-37.0083</v>
      </c>
      <c r="Y1530" s="2" t="n">
        <v>174.8705</v>
      </c>
    </row>
    <row r="1531">
      <c r="A1531" s="2" t="inlineStr">
        <is>
          <t>Downer</t>
        </is>
      </c>
      <c r="B1531" s="2" t="inlineStr">
        <is>
          <t>NZ I &amp; C Overhead</t>
        </is>
      </c>
      <c r="C1531" s="2" t="inlineStr">
        <is>
          <t>Other</t>
        </is>
      </c>
      <c r="D1531" s="2" t="inlineStr">
        <is>
          <t>L9.S.23016541</t>
        </is>
      </c>
      <c r="E1531" s="2" t="n">
        <v>2000008009</v>
      </c>
      <c r="H1531" s="2" t="inlineStr">
        <is>
          <t>130 Kerrs Road</t>
        </is>
      </c>
      <c r="I1531" s="2" t="inlineStr">
        <is>
          <t>Wiri</t>
        </is>
      </c>
      <c r="J1531" s="2" t="inlineStr">
        <is>
          <t>Auckland</t>
        </is>
      </c>
      <c r="K1531" s="2" t="n">
        <v>2104</v>
      </c>
      <c r="L1531" s="2" t="inlineStr">
        <is>
          <t>New Zealand</t>
        </is>
      </c>
      <c r="M1531" s="2" t="inlineStr">
        <is>
          <t>Manurewa</t>
        </is>
      </c>
      <c r="N1531" s="2" t="inlineStr">
        <is>
          <t>New Zealand</t>
        </is>
      </c>
      <c r="P1531" s="2" t="inlineStr">
        <is>
          <t>Operational Control</t>
        </is>
      </c>
      <c r="Q1531" s="2" t="inlineStr">
        <is>
          <t>Operational Control</t>
        </is>
      </c>
      <c r="R1531" s="2" t="inlineStr">
        <is>
          <t>Social Infra &amp; Citizen Serv (SICS)</t>
        </is>
      </c>
      <c r="S1531" s="2" t="inlineStr">
        <is>
          <t>Downer</t>
        </is>
      </c>
      <c r="T1531" s="2" t="n">
        <v>100</v>
      </c>
      <c r="V1531" s="11" t="n">
        <v>45291</v>
      </c>
      <c r="W1531" s="2" t="inlineStr">
        <is>
          <t>Classification</t>
        </is>
      </c>
      <c r="X1531" s="2" t="n">
        <v>-37.0083</v>
      </c>
      <c r="Y1531" s="2" t="n">
        <v>174.8705</v>
      </c>
    </row>
    <row r="1532">
      <c r="A1532" s="2" t="inlineStr">
        <is>
          <t>Downer</t>
        </is>
      </c>
      <c r="B1532" s="2" t="inlineStr">
        <is>
          <t>NZ Overhead</t>
        </is>
      </c>
      <c r="C1532" s="2" t="inlineStr">
        <is>
          <t>Other</t>
        </is>
      </c>
      <c r="D1532" s="2" t="inlineStr">
        <is>
          <t>L9.S.23016602</t>
        </is>
      </c>
      <c r="E1532" s="2" t="n">
        <v>2000008055</v>
      </c>
      <c r="H1532" s="2" t="inlineStr">
        <is>
          <t>130 Kerrs Road</t>
        </is>
      </c>
      <c r="I1532" s="2" t="inlineStr">
        <is>
          <t>Wiri</t>
        </is>
      </c>
      <c r="J1532" s="2" t="inlineStr">
        <is>
          <t>Auckland</t>
        </is>
      </c>
      <c r="K1532" s="2" t="n">
        <v>2104</v>
      </c>
      <c r="L1532" s="2" t="inlineStr">
        <is>
          <t>New Zealand</t>
        </is>
      </c>
      <c r="M1532" s="2" t="inlineStr">
        <is>
          <t>Manurewa</t>
        </is>
      </c>
      <c r="N1532" s="2" t="inlineStr">
        <is>
          <t>New Zealand</t>
        </is>
      </c>
      <c r="P1532" s="2" t="inlineStr">
        <is>
          <t>Operational Control</t>
        </is>
      </c>
      <c r="Q1532" s="2" t="inlineStr">
        <is>
          <t>Operational Control</t>
        </is>
      </c>
      <c r="R1532" s="2" t="inlineStr">
        <is>
          <t>Social Infra &amp; Citizen Serv (SICS)</t>
        </is>
      </c>
      <c r="S1532" s="2" t="inlineStr">
        <is>
          <t>Downer</t>
        </is>
      </c>
      <c r="T1532" s="2" t="n">
        <v>100</v>
      </c>
      <c r="V1532" s="11" t="n">
        <v>45291</v>
      </c>
      <c r="W1532" s="2" t="inlineStr">
        <is>
          <t>Classification</t>
        </is>
      </c>
      <c r="X1532" s="2" t="n">
        <v>-37.0083</v>
      </c>
      <c r="Y1532" s="2" t="n">
        <v>174.8705</v>
      </c>
    </row>
    <row r="1533">
      <c r="A1533" s="2" t="inlineStr">
        <is>
          <t>Downer</t>
        </is>
      </c>
      <c r="B1533" s="2" t="inlineStr">
        <is>
          <t>NZ Sch-Kumeu PS 45003777</t>
        </is>
      </c>
      <c r="C1533" s="2" t="inlineStr">
        <is>
          <t>Other</t>
        </is>
      </c>
      <c r="D1533" s="2" t="inlineStr">
        <is>
          <t>L9.S.26018544</t>
        </is>
      </c>
      <c r="E1533" s="2" t="n">
        <v>2000004978</v>
      </c>
      <c r="H1533" s="2" t="inlineStr">
        <is>
          <t>130 Kerrs Road</t>
        </is>
      </c>
      <c r="I1533" s="2" t="inlineStr">
        <is>
          <t>Wiri</t>
        </is>
      </c>
      <c r="J1533" s="2" t="inlineStr">
        <is>
          <t>Auckland</t>
        </is>
      </c>
      <c r="K1533" s="2" t="n">
        <v>2104</v>
      </c>
      <c r="L1533" s="2" t="inlineStr">
        <is>
          <t>New Zealand</t>
        </is>
      </c>
      <c r="M1533" s="2" t="inlineStr">
        <is>
          <t>Manurewa</t>
        </is>
      </c>
      <c r="N1533" s="2" t="inlineStr">
        <is>
          <t>New Zealand</t>
        </is>
      </c>
      <c r="P1533" s="2" t="inlineStr">
        <is>
          <t>Operational Control</t>
        </is>
      </c>
      <c r="Q1533" s="2" t="inlineStr">
        <is>
          <t>Operational Control</t>
        </is>
      </c>
      <c r="R1533" s="2" t="inlineStr">
        <is>
          <t>Social Infra &amp; Citizen Serv (SICS)</t>
        </is>
      </c>
      <c r="S1533" s="2" t="inlineStr">
        <is>
          <t>Downer</t>
        </is>
      </c>
      <c r="T1533" s="2" t="n">
        <v>100</v>
      </c>
      <c r="W1533" s="2" t="inlineStr">
        <is>
          <t>Classification</t>
        </is>
      </c>
      <c r="X1533" s="2" t="n">
        <v>-37.0083</v>
      </c>
      <c r="Y1533" s="2" t="n">
        <v>174.8705</v>
      </c>
    </row>
    <row r="1534">
      <c r="A1534" s="2" t="inlineStr">
        <is>
          <t>Downer</t>
        </is>
      </c>
      <c r="B1534" s="2" t="inlineStr">
        <is>
          <t>NZ Sch-Shirley Boys HS 45003777</t>
        </is>
      </c>
      <c r="C1534" s="2" t="inlineStr">
        <is>
          <t>Other</t>
        </is>
      </c>
      <c r="D1534" s="2" t="inlineStr">
        <is>
          <t>L9.S.26018555</t>
        </is>
      </c>
      <c r="E1534" s="2" t="n">
        <v>2000004979</v>
      </c>
      <c r="H1534" s="2" t="inlineStr">
        <is>
          <t>209 Travis Road</t>
        </is>
      </c>
      <c r="I1534" s="2" t="inlineStr">
        <is>
          <t>New Brighton</t>
        </is>
      </c>
      <c r="J1534" s="2" t="inlineStr">
        <is>
          <t>Christchurch</t>
        </is>
      </c>
      <c r="K1534" s="2" t="n">
        <v>8083</v>
      </c>
      <c r="L1534" s="2" t="inlineStr">
        <is>
          <t>New Zealand</t>
        </is>
      </c>
      <c r="M1534" s="2" t="inlineStr">
        <is>
          <t>Christchurch</t>
        </is>
      </c>
      <c r="N1534" s="2" t="inlineStr">
        <is>
          <t>New Zealand</t>
        </is>
      </c>
      <c r="P1534" s="2" t="inlineStr">
        <is>
          <t>Operational Control</t>
        </is>
      </c>
      <c r="Q1534" s="2" t="inlineStr">
        <is>
          <t>Operational Control</t>
        </is>
      </c>
      <c r="R1534" s="2" t="inlineStr">
        <is>
          <t>Social Infra &amp; Citizen Serv (SICS)</t>
        </is>
      </c>
      <c r="S1534" s="2" t="inlineStr">
        <is>
          <t>Downer</t>
        </is>
      </c>
      <c r="T1534" s="2" t="n">
        <v>100</v>
      </c>
      <c r="W1534" s="2" t="inlineStr">
        <is>
          <t>Classification</t>
        </is>
      </c>
      <c r="X1534" s="2" t="n">
        <v>-43.4937</v>
      </c>
      <c r="Y1534" s="2" t="n">
        <v>172.7055</v>
      </c>
    </row>
    <row r="1535">
      <c r="A1535" s="2" t="inlineStr">
        <is>
          <t>Downer</t>
        </is>
      </c>
      <c r="B1535" s="2" t="inlineStr">
        <is>
          <t>NZ Sch-Sylvester PS 45003777</t>
        </is>
      </c>
      <c r="C1535" s="2" t="inlineStr">
        <is>
          <t>Other</t>
        </is>
      </c>
      <c r="D1535" s="2" t="inlineStr">
        <is>
          <t>L9.S.26018577</t>
        </is>
      </c>
      <c r="E1535" s="2" t="n">
        <v>2000004981</v>
      </c>
      <c r="H1535" s="2" t="inlineStr">
        <is>
          <t>130 Kerrs Road</t>
        </is>
      </c>
      <c r="I1535" s="2" t="inlineStr">
        <is>
          <t>Wiri</t>
        </is>
      </c>
      <c r="J1535" s="2" t="inlineStr">
        <is>
          <t>Auckland</t>
        </is>
      </c>
      <c r="K1535" s="2" t="n">
        <v>2104</v>
      </c>
      <c r="L1535" s="2" t="inlineStr">
        <is>
          <t>New Zealand</t>
        </is>
      </c>
      <c r="M1535" s="2" t="inlineStr">
        <is>
          <t>Manurewa</t>
        </is>
      </c>
      <c r="N1535" s="2" t="inlineStr">
        <is>
          <t>New Zealand</t>
        </is>
      </c>
      <c r="P1535" s="2" t="inlineStr">
        <is>
          <t>Operational Control</t>
        </is>
      </c>
      <c r="Q1535" s="2" t="inlineStr">
        <is>
          <t>Operational Control</t>
        </is>
      </c>
      <c r="R1535" s="2" t="inlineStr">
        <is>
          <t>Social Infra &amp; Citizen Serv (SICS)</t>
        </is>
      </c>
      <c r="S1535" s="2" t="inlineStr">
        <is>
          <t>Downer</t>
        </is>
      </c>
      <c r="T1535" s="2" t="n">
        <v>100</v>
      </c>
      <c r="W1535" s="2" t="inlineStr">
        <is>
          <t>Classification</t>
        </is>
      </c>
      <c r="X1535" s="2" t="n">
        <v>-37.0083</v>
      </c>
      <c r="Y1535" s="2" t="n">
        <v>174.8705</v>
      </c>
    </row>
    <row r="1536">
      <c r="A1536" s="2" t="inlineStr">
        <is>
          <t>Downer</t>
        </is>
      </c>
      <c r="B1536" s="2" t="inlineStr">
        <is>
          <t>NZ Service Direct Overhead</t>
        </is>
      </c>
      <c r="C1536" s="2" t="inlineStr">
        <is>
          <t>Other</t>
        </is>
      </c>
      <c r="D1536" s="2" t="inlineStr">
        <is>
          <t>L9.S.26020303</t>
        </is>
      </c>
      <c r="E1536" s="2" t="n">
        <v>2000008053</v>
      </c>
      <c r="H1536" s="2" t="inlineStr">
        <is>
          <t>130 Kerrs Road</t>
        </is>
      </c>
      <c r="I1536" s="2" t="inlineStr">
        <is>
          <t>Wiri</t>
        </is>
      </c>
      <c r="J1536" s="2" t="inlineStr">
        <is>
          <t>Auckland</t>
        </is>
      </c>
      <c r="K1536" s="2" t="n">
        <v>2104</v>
      </c>
      <c r="L1536" s="2" t="inlineStr">
        <is>
          <t>New Zealand</t>
        </is>
      </c>
      <c r="M1536" s="2" t="inlineStr">
        <is>
          <t>Manurewa</t>
        </is>
      </c>
      <c r="N1536" s="2" t="inlineStr">
        <is>
          <t>New Zealand</t>
        </is>
      </c>
      <c r="P1536" s="2" t="inlineStr">
        <is>
          <t>Operational Control</t>
        </is>
      </c>
      <c r="Q1536" s="2" t="inlineStr">
        <is>
          <t>Operational Control</t>
        </is>
      </c>
      <c r="R1536" s="2" t="inlineStr">
        <is>
          <t>Social Infra &amp; Citizen Serv (SICS)</t>
        </is>
      </c>
      <c r="S1536" s="2" t="inlineStr">
        <is>
          <t>Downer</t>
        </is>
      </c>
      <c r="T1536" s="2" t="n">
        <v>100</v>
      </c>
      <c r="V1536" s="11" t="n">
        <v>45291</v>
      </c>
      <c r="W1536" s="2" t="inlineStr">
        <is>
          <t>Classification</t>
        </is>
      </c>
      <c r="X1536" s="2" t="n">
        <v>-37.0083</v>
      </c>
      <c r="Y1536" s="2" t="n">
        <v>174.8705</v>
      </c>
    </row>
    <row r="1537">
      <c r="A1537" s="2" t="inlineStr">
        <is>
          <t>Downer</t>
        </is>
      </c>
      <c r="B1537" s="2" t="inlineStr">
        <is>
          <t>NZ Service Resource Pool</t>
        </is>
      </c>
      <c r="C1537" s="2" t="inlineStr">
        <is>
          <t>Other</t>
        </is>
      </c>
      <c r="D1537" s="2" t="inlineStr">
        <is>
          <t>L9.S.26020302</t>
        </is>
      </c>
      <c r="E1537" s="2" t="n">
        <v>2000008052</v>
      </c>
      <c r="M1537" s="2" t="inlineStr">
        <is>
          <t>Auckland</t>
        </is>
      </c>
      <c r="N1537" s="2" t="inlineStr">
        <is>
          <t>New Zealand</t>
        </is>
      </c>
      <c r="P1537" s="2" t="inlineStr">
        <is>
          <t>Operational Control</t>
        </is>
      </c>
      <c r="Q1537" s="2" t="inlineStr">
        <is>
          <t>Operational Control</t>
        </is>
      </c>
      <c r="R1537" s="2" t="inlineStr">
        <is>
          <t>Social Infra &amp; Citizen Serv (SICS)</t>
        </is>
      </c>
      <c r="S1537" s="2" t="inlineStr">
        <is>
          <t>Downer</t>
        </is>
      </c>
      <c r="T1537" s="2" t="n">
        <v>100</v>
      </c>
      <c r="V1537" s="11" t="n">
        <v>45291</v>
      </c>
      <c r="W1537" s="2" t="inlineStr">
        <is>
          <t>Classification</t>
        </is>
      </c>
    </row>
    <row r="1538">
      <c r="A1538" s="2" t="inlineStr">
        <is>
          <t>Downer</t>
        </is>
      </c>
      <c r="B1538" s="2" t="inlineStr">
        <is>
          <t>NZ_Nauru</t>
        </is>
      </c>
      <c r="C1538" s="2" t="inlineStr">
        <is>
          <t>Airport</t>
        </is>
      </c>
      <c r="D1538" s="2" t="inlineStr">
        <is>
          <t>L9.DNZJ.300210</t>
        </is>
      </c>
      <c r="E1538" s="2" t="n">
        <v>300210</v>
      </c>
      <c r="G1538" s="2" t="inlineStr">
        <is>
          <t>TI-NZT-300210 - Pacific Recharge - Nauru</t>
        </is>
      </c>
      <c r="M1538" s="2" t="inlineStr">
        <is>
          <t>Yaren</t>
        </is>
      </c>
      <c r="N1538" s="2" t="inlineStr">
        <is>
          <t>Nauru</t>
        </is>
      </c>
      <c r="P1538" s="2" t="inlineStr">
        <is>
          <t>Operational Control</t>
        </is>
      </c>
      <c r="Q1538" s="2" t="inlineStr">
        <is>
          <t>Operational Control</t>
        </is>
      </c>
      <c r="R1538" s="2" t="inlineStr">
        <is>
          <t>Transport &amp; Infrastructure (T&amp;I)</t>
        </is>
      </c>
      <c r="S1538" s="2" t="inlineStr">
        <is>
          <t>Downer</t>
        </is>
      </c>
      <c r="T1538" s="2" t="n">
        <v>100</v>
      </c>
      <c r="W1538" s="2" t="inlineStr">
        <is>
          <t>Classification</t>
        </is>
      </c>
    </row>
    <row r="1539">
      <c r="A1539" s="2" t="inlineStr">
        <is>
          <t>Downer</t>
        </is>
      </c>
      <c r="B1539" s="2" t="inlineStr">
        <is>
          <t>NZ_Solomon Islands</t>
        </is>
      </c>
      <c r="C1539" s="2" t="inlineStr">
        <is>
          <t>Airport</t>
        </is>
      </c>
      <c r="D1539" s="2" t="inlineStr">
        <is>
          <t>L9.DNZJ.8060</t>
        </is>
      </c>
      <c r="E1539" s="2" t="n">
        <v>4040</v>
      </c>
      <c r="M1539" s="2" t="inlineStr">
        <is>
          <t>Seghe</t>
        </is>
      </c>
      <c r="N1539" s="2" t="inlineStr">
        <is>
          <t>Solomon Islands</t>
        </is>
      </c>
      <c r="P1539" s="2" t="inlineStr">
        <is>
          <t>Operational Control</t>
        </is>
      </c>
      <c r="Q1539" s="2" t="inlineStr">
        <is>
          <t>Operational Control</t>
        </is>
      </c>
      <c r="R1539" s="2" t="inlineStr">
        <is>
          <t>Transport &amp; Infrastructure (T&amp;I)</t>
        </is>
      </c>
      <c r="S1539" s="2" t="inlineStr">
        <is>
          <t>Downer</t>
        </is>
      </c>
      <c r="T1539" s="2" t="n">
        <v>100</v>
      </c>
      <c r="W1539" s="2" t="inlineStr">
        <is>
          <t>Classification</t>
        </is>
      </c>
    </row>
    <row r="1540">
      <c r="A1540" s="2" t="inlineStr">
        <is>
          <t>Downer</t>
        </is>
      </c>
      <c r="B1540" s="2" t="inlineStr">
        <is>
          <t>NZ_Vanuatu</t>
        </is>
      </c>
      <c r="C1540" s="2" t="inlineStr">
        <is>
          <t>Other</t>
        </is>
      </c>
      <c r="D1540" s="2" t="inlineStr">
        <is>
          <t>L9.DNZJ.300201</t>
        </is>
      </c>
      <c r="E1540" s="2" t="n">
        <v>90</v>
      </c>
      <c r="G1540" s="2" t="inlineStr">
        <is>
          <t>Final obligations August 2012, coincided with expiry of DNP for final part of the works. Reported up to FY15. Divisional restructure &amp; data input to "facility" modified from FY16 - see Lisa Martin or Emily Townsend for detail.</t>
        </is>
      </c>
      <c r="H1540" s="2" t="inlineStr">
        <is>
          <t>Lot 31 Stella-Marie Subdivision, Second Lagoon, Port Vila</t>
        </is>
      </c>
      <c r="J1540" s="2" t="inlineStr">
        <is>
          <t>Vanuatu</t>
        </is>
      </c>
      <c r="L1540" s="2" t="inlineStr">
        <is>
          <t>Vanuatu</t>
        </is>
      </c>
      <c r="M1540" s="2" t="inlineStr">
        <is>
          <t>Port Vila</t>
        </is>
      </c>
      <c r="N1540" s="2" t="inlineStr">
        <is>
          <t>Vanuatu</t>
        </is>
      </c>
      <c r="P1540" s="2" t="inlineStr">
        <is>
          <t>Operational Control</t>
        </is>
      </c>
      <c r="Q1540" s="2" t="inlineStr">
        <is>
          <t>Operational Control</t>
        </is>
      </c>
      <c r="R1540" s="2" t="inlineStr">
        <is>
          <t>Transport &amp; Infrastructure (T&amp;I)</t>
        </is>
      </c>
      <c r="S1540" s="2" t="inlineStr">
        <is>
          <t>Downer</t>
        </is>
      </c>
      <c r="T1540" s="2" t="n">
        <v>100</v>
      </c>
      <c r="W1540" s="2" t="inlineStr">
        <is>
          <t>Classification</t>
        </is>
      </c>
      <c r="X1540" s="2" t="n">
        <v>-17.7875</v>
      </c>
      <c r="Y1540" s="2" t="n">
        <v>168.4514</v>
      </c>
      <c r="Z1540" s="2" t="n">
        <v>310</v>
      </c>
    </row>
    <row r="1541">
      <c r="A1541" s="2" t="inlineStr">
        <is>
          <t>Downer</t>
        </is>
      </c>
      <c r="B1541" s="2" t="inlineStr">
        <is>
          <t>NZTA 9970 SH3 Stewart Rd SIP</t>
        </is>
      </c>
      <c r="C1541" s="2" t="inlineStr">
        <is>
          <t>Public Facility</t>
        </is>
      </c>
      <c r="D1541" s="2" t="inlineStr">
        <is>
          <t>L9.DNZJ.552415</t>
        </is>
      </c>
      <c r="E1541" s="2" t="n">
        <v>552415</v>
      </c>
      <c r="G1541" s="2" t="inlineStr">
        <is>
          <t>TI-NZT-552415 - NZTA 9970 SH3 Stewart Rd SIP (TI-NZT - Taranaki Whanganui Projects)</t>
        </is>
      </c>
      <c r="M1541" s="2" t="inlineStr">
        <is>
          <t>Taranaki</t>
        </is>
      </c>
      <c r="N1541" s="2" t="inlineStr">
        <is>
          <t>New Zealand</t>
        </is>
      </c>
      <c r="P1541" s="2" t="inlineStr">
        <is>
          <t>Operational Control</t>
        </is>
      </c>
      <c r="Q1541" s="2" t="inlineStr">
        <is>
          <t>Operational Control</t>
        </is>
      </c>
      <c r="R1541" s="2" t="inlineStr">
        <is>
          <t>Transport &amp; Infrastructure (T&amp;I)</t>
        </is>
      </c>
      <c r="S1541" s="2" t="inlineStr">
        <is>
          <t>Downer</t>
        </is>
      </c>
      <c r="T1541" s="2" t="n">
        <v>100</v>
      </c>
      <c r="W1541" s="2" t="inlineStr">
        <is>
          <t>Classification</t>
        </is>
      </c>
    </row>
    <row r="1542">
      <c r="A1542" s="2" t="inlineStr">
        <is>
          <t>Downer</t>
        </is>
      </c>
      <c r="B1542" s="2" t="inlineStr">
        <is>
          <t>NZTA BOP West - RCM</t>
        </is>
      </c>
      <c r="C1542" s="2" t="inlineStr">
        <is>
          <t>Other</t>
        </is>
      </c>
      <c r="D1542" s="2" t="inlineStr">
        <is>
          <t>L9.DNZJ.55143</t>
        </is>
      </c>
      <c r="E1542" s="2" t="n">
        <v>55143</v>
      </c>
      <c r="M1542" s="2" t="inlineStr">
        <is>
          <t>Manurewa</t>
        </is>
      </c>
      <c r="N1542" s="2" t="inlineStr">
        <is>
          <t>New Zealand</t>
        </is>
      </c>
      <c r="P1542" s="2" t="inlineStr">
        <is>
          <t>Operational Control</t>
        </is>
      </c>
      <c r="Q1542" s="2" t="inlineStr">
        <is>
          <t>Operational Control</t>
        </is>
      </c>
      <c r="R1542" s="2" t="inlineStr">
        <is>
          <t>Transport &amp; Infrastructure (T&amp;I)</t>
        </is>
      </c>
      <c r="S1542" s="2" t="inlineStr">
        <is>
          <t>Downer</t>
        </is>
      </c>
      <c r="T1542" s="2" t="n">
        <v>100</v>
      </c>
      <c r="W1542" s="2" t="inlineStr">
        <is>
          <t>Classification</t>
        </is>
      </c>
    </row>
    <row r="1543">
      <c r="A1543" s="2" t="inlineStr">
        <is>
          <t>Downer</t>
        </is>
      </c>
      <c r="B1543" s="2" t="inlineStr">
        <is>
          <t>NZTA CO NOC - Construction</t>
        </is>
      </c>
      <c r="C1543" s="2" t="inlineStr">
        <is>
          <t>Other</t>
        </is>
      </c>
      <c r="D1543" s="2" t="inlineStr">
        <is>
          <t>L9.DNZJ.556224</t>
        </is>
      </c>
      <c r="E1543" s="2" t="n">
        <v>556224</v>
      </c>
      <c r="F1543" s="2" t="n">
        <v>556224</v>
      </c>
      <c r="M1543" s="2" t="inlineStr">
        <is>
          <t>Otago</t>
        </is>
      </c>
      <c r="N1543" s="2" t="inlineStr">
        <is>
          <t>New Zealand</t>
        </is>
      </c>
      <c r="P1543" s="2" t="inlineStr">
        <is>
          <t>Operational Control</t>
        </is>
      </c>
      <c r="Q1543" s="2" t="inlineStr">
        <is>
          <t>Operational Control</t>
        </is>
      </c>
      <c r="R1543" s="2" t="inlineStr">
        <is>
          <t>Transport &amp; Infrastructure (T&amp;I)</t>
        </is>
      </c>
      <c r="S1543" s="2" t="inlineStr">
        <is>
          <t>Downer</t>
        </is>
      </c>
      <c r="T1543" s="2" t="n">
        <v>100</v>
      </c>
      <c r="W1543" s="2" t="inlineStr">
        <is>
          <t>Classification</t>
        </is>
      </c>
    </row>
    <row r="1544">
      <c r="A1544" s="2" t="inlineStr">
        <is>
          <t>Downer</t>
        </is>
      </c>
      <c r="B1544" s="2" t="inlineStr">
        <is>
          <t>NZTA CO NOC - RCM</t>
        </is>
      </c>
      <c r="C1544" s="2" t="inlineStr">
        <is>
          <t>Other</t>
        </is>
      </c>
      <c r="D1544" s="2" t="inlineStr">
        <is>
          <t>L9.DNZJ.55383</t>
        </is>
      </c>
      <c r="E1544" s="2" t="n">
        <v>55383</v>
      </c>
      <c r="H1544" s="2" t="inlineStr">
        <is>
          <t>130 Kerrs Road</t>
        </is>
      </c>
      <c r="I1544" s="2" t="inlineStr">
        <is>
          <t>Wiri</t>
        </is>
      </c>
      <c r="J1544" s="2" t="inlineStr">
        <is>
          <t>Auckland</t>
        </is>
      </c>
      <c r="K1544" s="2" t="n">
        <v>2104</v>
      </c>
      <c r="L1544" s="2" t="inlineStr">
        <is>
          <t>New Zealand</t>
        </is>
      </c>
      <c r="M1544" s="2" t="inlineStr">
        <is>
          <t>Manurewa</t>
        </is>
      </c>
      <c r="N1544" s="2" t="inlineStr">
        <is>
          <t>New Zealand</t>
        </is>
      </c>
      <c r="P1544" s="2" t="inlineStr">
        <is>
          <t>Operational Control</t>
        </is>
      </c>
      <c r="Q1544" s="2" t="inlineStr">
        <is>
          <t>Operational Control</t>
        </is>
      </c>
      <c r="R1544" s="2" t="inlineStr">
        <is>
          <t>Transport &amp; Infrastructure (T&amp;I)</t>
        </is>
      </c>
      <c r="S1544" s="2" t="inlineStr">
        <is>
          <t>Downer</t>
        </is>
      </c>
      <c r="T1544" s="2" t="n">
        <v>100</v>
      </c>
      <c r="W1544" s="2" t="inlineStr">
        <is>
          <t>Classification</t>
        </is>
      </c>
      <c r="X1544" s="2" t="n">
        <v>-37.0083</v>
      </c>
      <c r="Y1544" s="2" t="n">
        <v>174.8705</v>
      </c>
    </row>
    <row r="1545">
      <c r="A1545" s="2" t="inlineStr">
        <is>
          <t>Downer</t>
        </is>
      </c>
      <c r="B1545" s="2" t="inlineStr">
        <is>
          <t>NZTA CO NOC - Reseals</t>
        </is>
      </c>
      <c r="C1545" s="2" t="inlineStr">
        <is>
          <t>Other</t>
        </is>
      </c>
      <c r="D1545" s="2" t="inlineStr">
        <is>
          <t>L9.DNZJ.556227</t>
        </is>
      </c>
      <c r="E1545" s="2" t="n">
        <v>556227</v>
      </c>
      <c r="M1545" s="2" t="inlineStr">
        <is>
          <t>Manurewa</t>
        </is>
      </c>
      <c r="N1545" s="2" t="inlineStr">
        <is>
          <t>New Zealand</t>
        </is>
      </c>
      <c r="P1545" s="2" t="inlineStr">
        <is>
          <t>Operational Control</t>
        </is>
      </c>
      <c r="Q1545" s="2" t="inlineStr">
        <is>
          <t>Operational Control</t>
        </is>
      </c>
      <c r="R1545" s="2" t="inlineStr">
        <is>
          <t>Transport &amp; Infrastructure (T&amp;I)</t>
        </is>
      </c>
      <c r="S1545" s="2" t="inlineStr">
        <is>
          <t>Downer</t>
        </is>
      </c>
      <c r="T1545" s="2" t="n">
        <v>100</v>
      </c>
      <c r="W1545" s="2" t="inlineStr">
        <is>
          <t>Classification</t>
        </is>
      </c>
    </row>
    <row r="1546">
      <c r="A1546" s="2" t="inlineStr">
        <is>
          <t>Downer</t>
        </is>
      </c>
      <c r="B1546" s="2" t="inlineStr">
        <is>
          <t>NZTA Contract PW S88/01</t>
        </is>
      </c>
      <c r="C1546" s="2" t="inlineStr">
        <is>
          <t>Other</t>
        </is>
      </c>
      <c r="D1546" s="2" t="inlineStr">
        <is>
          <t>L9.DNZJ.556260</t>
        </is>
      </c>
      <c r="E1546" s="2" t="n">
        <v>556260</v>
      </c>
      <c r="H1546" s="2" t="inlineStr">
        <is>
          <t>401 Kakapo Road</t>
        </is>
      </c>
      <c r="I1546" s="2" t="inlineStr">
        <is>
          <t>Te Anau</t>
        </is>
      </c>
      <c r="J1546" s="2" t="inlineStr">
        <is>
          <t>Southland</t>
        </is>
      </c>
      <c r="K1546" s="2" t="n">
        <v>9672</v>
      </c>
      <c r="L1546" s="2" t="inlineStr">
        <is>
          <t>New Zealand</t>
        </is>
      </c>
      <c r="M1546" s="2" t="inlineStr">
        <is>
          <t>Te Anau</t>
        </is>
      </c>
      <c r="N1546" s="2" t="inlineStr">
        <is>
          <t>New Zealand</t>
        </is>
      </c>
      <c r="P1546" s="2" t="inlineStr">
        <is>
          <t>Operational Control</t>
        </is>
      </c>
      <c r="Q1546" s="2" t="inlineStr">
        <is>
          <t>Operational Control</t>
        </is>
      </c>
      <c r="R1546" s="2" t="inlineStr">
        <is>
          <t>Transport &amp; Infrastructure (T&amp;I)</t>
        </is>
      </c>
      <c r="S1546" s="2" t="inlineStr">
        <is>
          <t>Downer</t>
        </is>
      </c>
      <c r="T1546" s="2" t="n">
        <v>100</v>
      </c>
      <c r="W1546" s="2" t="inlineStr">
        <is>
          <t>Classification</t>
        </is>
      </c>
      <c r="X1546" s="2" t="n">
        <v>-45.4146</v>
      </c>
      <c r="Y1546" s="2" t="n">
        <v>167.814</v>
      </c>
    </row>
    <row r="1547">
      <c r="A1547" s="2" t="inlineStr">
        <is>
          <t>Downer</t>
        </is>
      </c>
      <c r="B1547" s="2" t="inlineStr">
        <is>
          <t>NZTA Nth Cant NOC - RCM</t>
        </is>
      </c>
      <c r="C1547" s="2" t="inlineStr">
        <is>
          <t>Other</t>
        </is>
      </c>
      <c r="D1547" s="2" t="inlineStr">
        <is>
          <t>L9.DNZJ.55404</t>
        </is>
      </c>
      <c r="E1547" s="2" t="n">
        <v>55404</v>
      </c>
      <c r="H1547" s="2" t="inlineStr">
        <is>
          <t>130 Kerrs Road</t>
        </is>
      </c>
      <c r="I1547" s="2" t="inlineStr">
        <is>
          <t>Wiri</t>
        </is>
      </c>
      <c r="J1547" s="2" t="inlineStr">
        <is>
          <t>Auckland</t>
        </is>
      </c>
      <c r="K1547" s="2" t="n">
        <v>2104</v>
      </c>
      <c r="L1547" s="2" t="inlineStr">
        <is>
          <t>New Zealand</t>
        </is>
      </c>
      <c r="M1547" s="2" t="inlineStr">
        <is>
          <t>Manurewa</t>
        </is>
      </c>
      <c r="N1547" s="2" t="inlineStr">
        <is>
          <t>New Zealand</t>
        </is>
      </c>
      <c r="P1547" s="2" t="inlineStr">
        <is>
          <t>Operational Control</t>
        </is>
      </c>
      <c r="Q1547" s="2" t="inlineStr">
        <is>
          <t>Operational Control</t>
        </is>
      </c>
      <c r="R1547" s="2" t="inlineStr">
        <is>
          <t>Transport &amp; Infrastructure (T&amp;I)</t>
        </is>
      </c>
      <c r="S1547" s="2" t="inlineStr">
        <is>
          <t>Downer</t>
        </is>
      </c>
      <c r="T1547" s="2" t="n">
        <v>100</v>
      </c>
      <c r="W1547" s="2" t="inlineStr">
        <is>
          <t>Classification</t>
        </is>
      </c>
      <c r="X1547" s="2" t="n">
        <v>-37.0083</v>
      </c>
      <c r="Y1547" s="2" t="n">
        <v>174.8705</v>
      </c>
    </row>
    <row r="1548">
      <c r="A1548" s="2" t="inlineStr">
        <is>
          <t>Downer</t>
        </is>
      </c>
      <c r="B1548" s="2" t="inlineStr">
        <is>
          <t>NZTA TNOC - Maintenance LS</t>
        </is>
      </c>
      <c r="C1548" s="2" t="inlineStr">
        <is>
          <t>Other</t>
        </is>
      </c>
      <c r="D1548" s="2" t="inlineStr">
        <is>
          <t>L9.DNZJ.551983</t>
        </is>
      </c>
      <c r="E1548" s="2" t="n">
        <v>551983</v>
      </c>
      <c r="F1548" s="2" t="n">
        <v>551983</v>
      </c>
      <c r="M1548" s="2" t="inlineStr">
        <is>
          <t>Taranaki</t>
        </is>
      </c>
      <c r="N1548" s="2" t="inlineStr">
        <is>
          <t>New Zealand</t>
        </is>
      </c>
      <c r="P1548" s="2" t="inlineStr">
        <is>
          <t>Operational Control</t>
        </is>
      </c>
      <c r="Q1548" s="2" t="inlineStr">
        <is>
          <t>Operational Control</t>
        </is>
      </c>
      <c r="R1548" s="2" t="inlineStr">
        <is>
          <t>Transport &amp; Infrastructure (T&amp;I)</t>
        </is>
      </c>
      <c r="S1548" s="2" t="inlineStr">
        <is>
          <t>Downer</t>
        </is>
      </c>
      <c r="T1548" s="2" t="n">
        <v>100</v>
      </c>
      <c r="W1548" s="2" t="inlineStr">
        <is>
          <t>Classification</t>
        </is>
      </c>
    </row>
    <row r="1549">
      <c r="A1549" s="2" t="inlineStr">
        <is>
          <t>Downer</t>
        </is>
      </c>
      <c r="B1549" s="2" t="inlineStr">
        <is>
          <t>NZTA TNOC - Surfacing 22/23</t>
        </is>
      </c>
      <c r="C1549" s="2" t="inlineStr">
        <is>
          <t>Other</t>
        </is>
      </c>
      <c r="D1549" s="2" t="inlineStr">
        <is>
          <t>L9.DNZJ.552038</t>
        </is>
      </c>
      <c r="E1549" s="2" t="n">
        <v>552038</v>
      </c>
      <c r="M1549" s="2" t="inlineStr">
        <is>
          <t>Manurewa</t>
        </is>
      </c>
      <c r="N1549" s="2" t="inlineStr">
        <is>
          <t>New Zealand</t>
        </is>
      </c>
      <c r="P1549" s="2" t="inlineStr">
        <is>
          <t>Operational Control</t>
        </is>
      </c>
      <c r="Q1549" s="2" t="inlineStr">
        <is>
          <t>Operational Control</t>
        </is>
      </c>
      <c r="R1549" s="2" t="inlineStr">
        <is>
          <t>Transport &amp; Infrastructure (T&amp;I)</t>
        </is>
      </c>
      <c r="S1549" s="2" t="inlineStr">
        <is>
          <t>Downer</t>
        </is>
      </c>
      <c r="T1549" s="2" t="n">
        <v>100</v>
      </c>
      <c r="W1549" s="2" t="inlineStr">
        <is>
          <t>Classification</t>
        </is>
      </c>
    </row>
    <row r="1550">
      <c r="A1550" s="2" t="inlineStr">
        <is>
          <t>Downer</t>
        </is>
      </c>
      <c r="B1550" s="2" t="inlineStr">
        <is>
          <t>NZTA Weigh Right - SP1 Ohakea</t>
        </is>
      </c>
      <c r="C1550" s="2" t="inlineStr">
        <is>
          <t>Office</t>
        </is>
      </c>
      <c r="D1550" s="2" t="inlineStr">
        <is>
          <t>L9.DNZJ.558020</t>
        </is>
      </c>
      <c r="E1550" s="2" t="n">
        <v>558020</v>
      </c>
      <c r="G1550" s="2" t="inlineStr">
        <is>
          <t>TI-NZT.558020-NZTA Weigh Right - SP1 Ohakea</t>
        </is>
      </c>
      <c r="M1550" s="2" t="inlineStr">
        <is>
          <t>Manawatu-Wanganui</t>
        </is>
      </c>
      <c r="N1550" s="2" t="inlineStr">
        <is>
          <t>New Zealand</t>
        </is>
      </c>
      <c r="P1550" s="2" t="inlineStr">
        <is>
          <t>Operational Control</t>
        </is>
      </c>
      <c r="Q1550" s="2" t="inlineStr">
        <is>
          <t>Operational Control</t>
        </is>
      </c>
      <c r="R1550" s="2" t="inlineStr">
        <is>
          <t>Transport &amp; Infrastructure (T&amp;I)</t>
        </is>
      </c>
      <c r="S1550" s="2" t="inlineStr">
        <is>
          <t>Downer</t>
        </is>
      </c>
      <c r="T1550" s="2" t="n">
        <v>100</v>
      </c>
      <c r="W1550" s="2" t="inlineStr">
        <is>
          <t>Classification</t>
        </is>
      </c>
    </row>
    <row r="1551">
      <c r="A1551" s="2" t="inlineStr">
        <is>
          <t>Downer</t>
        </is>
      </c>
      <c r="B1551" s="2" t="inlineStr">
        <is>
          <t>Oamaru (39 Chelmers St)</t>
        </is>
      </c>
      <c r="C1551" s="2" t="inlineStr">
        <is>
          <t>Other</t>
        </is>
      </c>
      <c r="D1551" s="2" t="inlineStr">
        <is>
          <t>L9.DNZJ.91335</t>
        </is>
      </c>
      <c r="E1551" s="2" t="n">
        <v>91335</v>
      </c>
      <c r="H1551" s="2" t="inlineStr">
        <is>
          <t>39B Chelmer Street</t>
        </is>
      </c>
      <c r="I1551" s="2" t="inlineStr">
        <is>
          <t>Oamaru</t>
        </is>
      </c>
      <c r="J1551" s="2" t="inlineStr">
        <is>
          <t>Oamaru</t>
        </is>
      </c>
      <c r="K1551" s="2" t="n">
        <v>9400</v>
      </c>
      <c r="L1551" s="2" t="inlineStr">
        <is>
          <t>New Zealand</t>
        </is>
      </c>
      <c r="M1551" s="2" t="inlineStr">
        <is>
          <t>Oamaru</t>
        </is>
      </c>
      <c r="N1551" s="2" t="inlineStr">
        <is>
          <t>New Zealand</t>
        </is>
      </c>
      <c r="P1551" s="2" t="inlineStr">
        <is>
          <t>Operational Control</t>
        </is>
      </c>
      <c r="Q1551" s="2" t="inlineStr">
        <is>
          <t>Operational Control</t>
        </is>
      </c>
      <c r="R1551" s="2" t="inlineStr">
        <is>
          <t>Corporate</t>
        </is>
      </c>
      <c r="S1551" s="2" t="inlineStr">
        <is>
          <t>Downer</t>
        </is>
      </c>
      <c r="T1551" s="2" t="n">
        <v>100</v>
      </c>
      <c r="W1551" s="2" t="inlineStr">
        <is>
          <t>Classification</t>
        </is>
      </c>
      <c r="X1551" s="2" t="n">
        <v>-45.0977</v>
      </c>
      <c r="Y1551" s="2" t="n">
        <v>170.9562</v>
      </c>
    </row>
    <row r="1552">
      <c r="A1552" s="2" t="inlineStr">
        <is>
          <t>Downer</t>
        </is>
      </c>
      <c r="B1552" s="2" t="inlineStr">
        <is>
          <t>Oamaru Depot</t>
        </is>
      </c>
      <c r="C1552" s="2" t="inlineStr">
        <is>
          <t>Other</t>
        </is>
      </c>
      <c r="D1552" s="2" t="inlineStr">
        <is>
          <t>L9.DNZJ.55684</t>
        </is>
      </c>
      <c r="E1552" s="2" t="n">
        <v>55684</v>
      </c>
      <c r="H1552" s="2" t="inlineStr">
        <is>
          <t>3A Main North Road</t>
        </is>
      </c>
      <c r="I1552" s="2" t="inlineStr">
        <is>
          <t>Oamaru North</t>
        </is>
      </c>
      <c r="J1552" s="2" t="inlineStr">
        <is>
          <t>Oamaru</t>
        </is>
      </c>
      <c r="K1552" s="2" t="n">
        <v>9494</v>
      </c>
      <c r="L1552" s="2" t="inlineStr">
        <is>
          <t>New Zealand</t>
        </is>
      </c>
      <c r="M1552" s="2" t="inlineStr">
        <is>
          <t>Oamaru</t>
        </is>
      </c>
      <c r="N1552" s="2" t="inlineStr">
        <is>
          <t>New Zealand</t>
        </is>
      </c>
      <c r="P1552" s="2" t="inlineStr">
        <is>
          <t>Operational Control</t>
        </is>
      </c>
      <c r="Q1552" s="2" t="inlineStr">
        <is>
          <t>Operational Control</t>
        </is>
      </c>
      <c r="R1552" s="2" t="inlineStr">
        <is>
          <t>Transport &amp; Infrastructure (T&amp;I)</t>
        </is>
      </c>
      <c r="S1552" s="2" t="inlineStr">
        <is>
          <t>Downer</t>
        </is>
      </c>
      <c r="T1552" s="2" t="n">
        <v>100</v>
      </c>
      <c r="W1552" s="2" t="inlineStr">
        <is>
          <t>Classification</t>
        </is>
      </c>
      <c r="X1552" s="2" t="n">
        <v>-45.0654</v>
      </c>
      <c r="Y1552" s="2" t="n">
        <v>170.9964</v>
      </c>
    </row>
    <row r="1553">
      <c r="A1553" s="2" t="inlineStr">
        <is>
          <t>Downer</t>
        </is>
      </c>
      <c r="B1553" s="2" t="inlineStr">
        <is>
          <t>OCD Landscape + Road Repairs</t>
        </is>
      </c>
      <c r="C1553" s="2" t="inlineStr">
        <is>
          <t>Other</t>
        </is>
      </c>
      <c r="D1553" s="2" t="inlineStr">
        <is>
          <t>L9.DNZJ.312035</t>
        </is>
      </c>
      <c r="E1553" s="2" t="n">
        <v>312035</v>
      </c>
      <c r="F1553" s="2" t="n">
        <v>312035</v>
      </c>
      <c r="M1553" s="2" t="inlineStr">
        <is>
          <t>Wellington</t>
        </is>
      </c>
      <c r="N1553" s="2" t="inlineStr">
        <is>
          <t>New Zealand</t>
        </is>
      </c>
      <c r="P1553" s="2" t="inlineStr">
        <is>
          <t>Operational Control</t>
        </is>
      </c>
      <c r="Q1553" s="2" t="inlineStr">
        <is>
          <t>Operational Control</t>
        </is>
      </c>
      <c r="R1553" s="2" t="inlineStr">
        <is>
          <t>Transport &amp; Infrastructure (T&amp;I)</t>
        </is>
      </c>
      <c r="S1553" s="2" t="inlineStr">
        <is>
          <t>Downer</t>
        </is>
      </c>
      <c r="T1553" s="2" t="n">
        <v>100</v>
      </c>
      <c r="W1553" s="2" t="inlineStr">
        <is>
          <t>Classification</t>
        </is>
      </c>
    </row>
    <row r="1554">
      <c r="A1554" s="2" t="inlineStr">
        <is>
          <t>Downer</t>
        </is>
      </c>
      <c r="B1554" s="2" t="inlineStr">
        <is>
          <t>Ocean Oufall Pump Station</t>
        </is>
      </c>
      <c r="C1554" s="2" t="inlineStr">
        <is>
          <t>Other</t>
        </is>
      </c>
      <c r="D1554" s="2" t="inlineStr">
        <is>
          <t>L9.DNZJ.8109</t>
        </is>
      </c>
      <c r="E1554" s="2" t="n">
        <v>8109</v>
      </c>
      <c r="M1554" s="2" t="inlineStr">
        <is>
          <t>Manurewa</t>
        </is>
      </c>
      <c r="N1554" s="2" t="inlineStr">
        <is>
          <t>New Zealand</t>
        </is>
      </c>
      <c r="P1554" s="2" t="inlineStr">
        <is>
          <t>Operational Control</t>
        </is>
      </c>
      <c r="Q1554" s="2" t="inlineStr">
        <is>
          <t>Operational Control</t>
        </is>
      </c>
      <c r="R1554" s="2" t="inlineStr">
        <is>
          <t>Transport &amp; Infrastructure (T&amp;I)</t>
        </is>
      </c>
      <c r="S1554" s="2" t="inlineStr">
        <is>
          <t>Downer</t>
        </is>
      </c>
      <c r="T1554" s="2" t="n">
        <v>100</v>
      </c>
      <c r="W1554" s="2" t="inlineStr">
        <is>
          <t>Classification</t>
        </is>
      </c>
    </row>
    <row r="1555">
      <c r="A1555" s="2" t="inlineStr">
        <is>
          <t>Downer</t>
        </is>
      </c>
      <c r="B1555" s="2" t="inlineStr">
        <is>
          <t>Oceana Gold (NZ)  45000822</t>
        </is>
      </c>
      <c r="C1555" s="2" t="inlineStr">
        <is>
          <t>Other</t>
        </is>
      </c>
      <c r="D1555" s="2" t="inlineStr">
        <is>
          <t>L9.S.26004890</t>
        </is>
      </c>
      <c r="E1555" s="2" t="n">
        <v>2000003278</v>
      </c>
      <c r="G1555" s="2" t="inlineStr">
        <is>
          <t>SI-NZG-26004890-Oceana Gold</t>
        </is>
      </c>
      <c r="H1555" s="2" t="inlineStr">
        <is>
          <t>130 Kerrs Road</t>
        </is>
      </c>
      <c r="I1555" s="2" t="inlineStr">
        <is>
          <t>Wiri</t>
        </is>
      </c>
      <c r="J1555" s="2" t="inlineStr">
        <is>
          <t>Auckland</t>
        </is>
      </c>
      <c r="K1555" s="2" t="n">
        <v>2104</v>
      </c>
      <c r="L1555" s="2" t="inlineStr">
        <is>
          <t>New Zealand</t>
        </is>
      </c>
      <c r="M1555" s="2" t="inlineStr">
        <is>
          <t>Manurewa</t>
        </is>
      </c>
      <c r="N1555" s="2" t="inlineStr">
        <is>
          <t>New Zealand</t>
        </is>
      </c>
      <c r="P1555" s="2" t="inlineStr">
        <is>
          <t>Operational Control</t>
        </is>
      </c>
      <c r="Q1555" s="2" t="inlineStr">
        <is>
          <t>Operational Control</t>
        </is>
      </c>
      <c r="R1555" s="2" t="inlineStr">
        <is>
          <t>Social Infra &amp; Citizen Serv (SICS)</t>
        </is>
      </c>
      <c r="S1555" s="2" t="inlineStr">
        <is>
          <t>Downer</t>
        </is>
      </c>
      <c r="T1555" s="2" t="n">
        <v>100</v>
      </c>
      <c r="W1555" s="2" t="inlineStr">
        <is>
          <t>Classification</t>
        </is>
      </c>
      <c r="X1555" s="2" t="n">
        <v>-37.0083</v>
      </c>
      <c r="Y1555" s="2" t="n">
        <v>174.8705</v>
      </c>
    </row>
    <row r="1556">
      <c r="A1556" s="2" t="inlineStr">
        <is>
          <t>Downer</t>
        </is>
      </c>
      <c r="B1556" s="2" t="inlineStr">
        <is>
          <t>ODM - BDOD EU Subcontractors</t>
        </is>
      </c>
      <c r="C1556" s="2" t="inlineStr">
        <is>
          <t>Other</t>
        </is>
      </c>
      <c r="D1556" s="2" t="inlineStr">
        <is>
          <t>L9.J.23440412</t>
        </is>
      </c>
      <c r="E1556" s="2" t="inlineStr">
        <is>
          <t>L9.J.23440412</t>
        </is>
      </c>
      <c r="M1556" s="2" t="inlineStr">
        <is>
          <t>North Ryde</t>
        </is>
      </c>
      <c r="N1556" s="2" t="inlineStr">
        <is>
          <t>Australia</t>
        </is>
      </c>
      <c r="P1556" s="2" t="inlineStr">
        <is>
          <t>Operational Control</t>
        </is>
      </c>
      <c r="Q1556" s="2" t="inlineStr">
        <is>
          <t>Operational Control</t>
        </is>
      </c>
      <c r="R1556" s="2" t="inlineStr">
        <is>
          <t>Energy and Utilities (EU)</t>
        </is>
      </c>
      <c r="S1556" s="2" t="inlineStr">
        <is>
          <t>Downer</t>
        </is>
      </c>
      <c r="T1556" s="2" t="n">
        <v>100</v>
      </c>
      <c r="W1556" s="2" t="inlineStr">
        <is>
          <t>Classification</t>
        </is>
      </c>
    </row>
    <row r="1557">
      <c r="A1557" s="2" t="inlineStr">
        <is>
          <t>Downer</t>
        </is>
      </c>
      <c r="B1557" s="2" t="inlineStr">
        <is>
          <t>ODM - SD2 EU Subcontractors</t>
        </is>
      </c>
      <c r="C1557" s="2" t="inlineStr">
        <is>
          <t>Other</t>
        </is>
      </c>
      <c r="D1557" s="2" t="inlineStr">
        <is>
          <t>L9.J.23440353</t>
        </is>
      </c>
      <c r="E1557" s="2" t="inlineStr">
        <is>
          <t>L9.J.23440353</t>
        </is>
      </c>
      <c r="F1557" s="2" t="inlineStr">
        <is>
          <t>L9.J.23440353</t>
        </is>
      </c>
      <c r="M1557" s="2" t="inlineStr">
        <is>
          <t>North Ryde</t>
        </is>
      </c>
      <c r="N1557" s="2" t="inlineStr">
        <is>
          <t>Australia</t>
        </is>
      </c>
      <c r="P1557" s="2" t="inlineStr">
        <is>
          <t>Operational Control</t>
        </is>
      </c>
      <c r="Q1557" s="2" t="inlineStr">
        <is>
          <t>Operational Control</t>
        </is>
      </c>
      <c r="R1557" s="2" t="inlineStr">
        <is>
          <t>Energy and Utilities (EU)</t>
        </is>
      </c>
      <c r="S1557" s="2" t="inlineStr">
        <is>
          <t>Downer</t>
        </is>
      </c>
      <c r="T1557" s="2" t="n">
        <v>100</v>
      </c>
      <c r="W1557" s="2" t="inlineStr">
        <is>
          <t>Classification</t>
        </is>
      </c>
    </row>
    <row r="1558">
      <c r="A1558" s="2" t="inlineStr">
        <is>
          <t>Downer</t>
        </is>
      </c>
      <c r="B1558" s="2" t="inlineStr">
        <is>
          <t>ODM Other Works EU Subcontractors</t>
        </is>
      </c>
      <c r="C1558" s="2" t="inlineStr">
        <is>
          <t>Other</t>
        </is>
      </c>
      <c r="D1558" s="2" t="inlineStr">
        <is>
          <t>L9.J.23440330</t>
        </is>
      </c>
      <c r="E1558" s="2" t="inlineStr">
        <is>
          <t>L9.J.23440330</t>
        </is>
      </c>
      <c r="F1558" s="2" t="inlineStr">
        <is>
          <t>L9.J.23440330</t>
        </is>
      </c>
      <c r="M1558" s="2" t="inlineStr">
        <is>
          <t>North Ryde</t>
        </is>
      </c>
      <c r="N1558" s="2" t="inlineStr">
        <is>
          <t>Australia</t>
        </is>
      </c>
      <c r="P1558" s="2" t="inlineStr">
        <is>
          <t>Operational Control</t>
        </is>
      </c>
      <c r="Q1558" s="2" t="inlineStr">
        <is>
          <t>Operational Control</t>
        </is>
      </c>
      <c r="R1558" s="2" t="inlineStr">
        <is>
          <t>Energy and Utilities (EU)</t>
        </is>
      </c>
      <c r="S1558" s="2" t="inlineStr">
        <is>
          <t>Downer</t>
        </is>
      </c>
      <c r="T1558" s="2" t="n">
        <v>100</v>
      </c>
      <c r="W1558" s="2" t="inlineStr">
        <is>
          <t>Classification</t>
        </is>
      </c>
    </row>
    <row r="1559">
      <c r="A1559" s="2" t="inlineStr">
        <is>
          <t>Downer</t>
        </is>
      </c>
      <c r="B1559" s="2" t="inlineStr">
        <is>
          <t>Ohakea Operations - 45002412</t>
        </is>
      </c>
      <c r="C1559" s="2" t="inlineStr">
        <is>
          <t>Other</t>
        </is>
      </c>
      <c r="D1559" s="2" t="inlineStr">
        <is>
          <t>L9.S.24000037</t>
        </is>
      </c>
      <c r="E1559" s="2" t="n">
        <v>2000004492</v>
      </c>
      <c r="H1559" s="2" t="inlineStr">
        <is>
          <t>130 Kerrs Road</t>
        </is>
      </c>
      <c r="I1559" s="2" t="inlineStr">
        <is>
          <t>Wiri</t>
        </is>
      </c>
      <c r="J1559" s="2" t="inlineStr">
        <is>
          <t>Auckland</t>
        </is>
      </c>
      <c r="K1559" s="2" t="n">
        <v>2104</v>
      </c>
      <c r="L1559" s="2" t="inlineStr">
        <is>
          <t>New Zealand</t>
        </is>
      </c>
      <c r="M1559" s="2" t="inlineStr">
        <is>
          <t>Manurewa</t>
        </is>
      </c>
      <c r="N1559" s="2" t="inlineStr">
        <is>
          <t>New Zealand</t>
        </is>
      </c>
      <c r="P1559" s="2" t="inlineStr">
        <is>
          <t>Operational Control</t>
        </is>
      </c>
      <c r="Q1559" s="2" t="inlineStr">
        <is>
          <t>Operational Control</t>
        </is>
      </c>
      <c r="R1559" s="2" t="inlineStr">
        <is>
          <t>Social Infra &amp; Citizen Serv (SICS)</t>
        </is>
      </c>
      <c r="S1559" s="2" t="inlineStr">
        <is>
          <t>Downer</t>
        </is>
      </c>
      <c r="T1559" s="2" t="n">
        <v>100</v>
      </c>
      <c r="W1559" s="2" t="inlineStr">
        <is>
          <t>Classification</t>
        </is>
      </c>
      <c r="X1559" s="2" t="n">
        <v>-37.0083</v>
      </c>
      <c r="Y1559" s="2" t="n">
        <v>174.8705</v>
      </c>
    </row>
    <row r="1560">
      <c r="A1560" s="2" t="inlineStr">
        <is>
          <t>Downer</t>
        </is>
      </c>
      <c r="B1560" s="2" t="inlineStr">
        <is>
          <t>Ohakea Weigh Right</t>
        </is>
      </c>
      <c r="C1560" s="2" t="inlineStr">
        <is>
          <t>Infrastructure</t>
        </is>
      </c>
      <c r="D1560" s="2" t="inlineStr">
        <is>
          <t>L9.DNZ.HW0253</t>
        </is>
      </c>
      <c r="E1560" s="2" t="inlineStr">
        <is>
          <t>HW0253</t>
        </is>
      </c>
      <c r="G1560" s="2" t="inlineStr">
        <is>
          <t>In INX, it's named as TI-NZT-BP.HW0253 Ohakea Weigh Right.
in EDW, it's named as WHAKATANE MENTAL HEALTH</t>
        </is>
      </c>
      <c r="M1560" s="2" t="inlineStr">
        <is>
          <t>Auckland</t>
        </is>
      </c>
      <c r="N1560" s="2" t="inlineStr">
        <is>
          <t>New Zealand</t>
        </is>
      </c>
      <c r="P1560" s="2" t="inlineStr">
        <is>
          <t>Operational Control</t>
        </is>
      </c>
      <c r="Q1560" s="2" t="inlineStr">
        <is>
          <t>Operational Control</t>
        </is>
      </c>
      <c r="R1560" s="2" t="inlineStr">
        <is>
          <t>Transport &amp; Infrastructure (T&amp;I)</t>
        </is>
      </c>
      <c r="S1560" s="2" t="inlineStr">
        <is>
          <t>Downer</t>
        </is>
      </c>
      <c r="T1560" s="2" t="n">
        <v>100</v>
      </c>
      <c r="W1560" s="2" t="inlineStr">
        <is>
          <t>Classification</t>
        </is>
      </c>
    </row>
    <row r="1561">
      <c r="A1561" s="2" t="inlineStr">
        <is>
          <t>Downer</t>
        </is>
      </c>
      <c r="B1561" s="2" t="inlineStr">
        <is>
          <t>Oil and Gas QLD EU Subcontractors</t>
        </is>
      </c>
      <c r="C1561" s="2" t="inlineStr">
        <is>
          <t>Other</t>
        </is>
      </c>
      <c r="D1561" s="2" t="inlineStr">
        <is>
          <t>L9.J.381393</t>
        </is>
      </c>
      <c r="E1561" s="2" t="inlineStr">
        <is>
          <t>L9.J.381393</t>
        </is>
      </c>
      <c r="M1561" s="2" t="inlineStr">
        <is>
          <t>North Ryde</t>
        </is>
      </c>
      <c r="N1561" s="2" t="inlineStr">
        <is>
          <t>Australia</t>
        </is>
      </c>
      <c r="P1561" s="2" t="inlineStr">
        <is>
          <t>Operational Control</t>
        </is>
      </c>
      <c r="Q1561" s="2" t="inlineStr">
        <is>
          <t>Operational Control</t>
        </is>
      </c>
      <c r="R1561" s="2" t="inlineStr">
        <is>
          <t>Energy and Utilities (EU)</t>
        </is>
      </c>
      <c r="S1561" s="2" t="inlineStr">
        <is>
          <t>Downer</t>
        </is>
      </c>
      <c r="T1561" s="2" t="n">
        <v>100</v>
      </c>
      <c r="W1561" s="2" t="inlineStr">
        <is>
          <t>Classification</t>
        </is>
      </c>
    </row>
    <row r="1562">
      <c r="A1562" s="2" t="inlineStr">
        <is>
          <t>Downer</t>
        </is>
      </c>
      <c r="B1562" s="2" t="inlineStr">
        <is>
          <t>OM&amp;S Growth &amp; Development EU Subcontractors</t>
        </is>
      </c>
      <c r="C1562" s="2" t="inlineStr">
        <is>
          <t>Other</t>
        </is>
      </c>
      <c r="D1562" s="2" t="inlineStr">
        <is>
          <t>L9.J.382016</t>
        </is>
      </c>
      <c r="E1562" s="2" t="inlineStr">
        <is>
          <t>L9.J.382016</t>
        </is>
      </c>
      <c r="F1562" s="2" t="inlineStr">
        <is>
          <t>L9.J.382016</t>
        </is>
      </c>
      <c r="M1562" s="2" t="inlineStr">
        <is>
          <t>North Ryde</t>
        </is>
      </c>
      <c r="N1562" s="2" t="inlineStr">
        <is>
          <t>Australia</t>
        </is>
      </c>
      <c r="P1562" s="2" t="inlineStr">
        <is>
          <t>Operational Control</t>
        </is>
      </c>
      <c r="Q1562" s="2" t="inlineStr">
        <is>
          <t>Operational Control</t>
        </is>
      </c>
      <c r="R1562" s="2" t="inlineStr">
        <is>
          <t>Energy and Utilities (EU)</t>
        </is>
      </c>
      <c r="S1562" s="2" t="inlineStr">
        <is>
          <t>Downer</t>
        </is>
      </c>
      <c r="T1562" s="2" t="n">
        <v>100</v>
      </c>
      <c r="W1562" s="2" t="inlineStr">
        <is>
          <t>Classification</t>
        </is>
      </c>
    </row>
    <row r="1563">
      <c r="A1563" s="2" t="inlineStr">
        <is>
          <t>Downer</t>
        </is>
      </c>
      <c r="B1563" s="2" t="inlineStr">
        <is>
          <t>One Melbourne Quarter</t>
        </is>
      </c>
      <c r="C1563" s="2" t="inlineStr">
        <is>
          <t>Head Office</t>
        </is>
      </c>
      <c r="D1563" s="2" t="inlineStr">
        <is>
          <t>L9.COR.130.02109</t>
        </is>
      </c>
      <c r="E1563" s="2" t="inlineStr">
        <is>
          <t>02109</t>
        </is>
      </c>
      <c r="G1563" s="2" t="inlineStr">
        <is>
          <t>temporarily use COR-02109 - IT St Kilda Rd Move</t>
        </is>
      </c>
      <c r="H1563" s="2" t="inlineStr">
        <is>
          <t>Level 10, 699 Collins Street</t>
        </is>
      </c>
      <c r="I1563" s="2" t="inlineStr">
        <is>
          <t>Melbourne</t>
        </is>
      </c>
      <c r="J1563" s="2" t="inlineStr">
        <is>
          <t>Victoria</t>
        </is>
      </c>
      <c r="M1563" s="2" t="inlineStr">
        <is>
          <t>Melbourne</t>
        </is>
      </c>
      <c r="N1563" s="2" t="inlineStr">
        <is>
          <t>Australia</t>
        </is>
      </c>
      <c r="P1563" s="2" t="inlineStr">
        <is>
          <t>Operational Control</t>
        </is>
      </c>
      <c r="Q1563" s="2" t="inlineStr">
        <is>
          <t>Operational Control</t>
        </is>
      </c>
      <c r="R1563" s="2" t="inlineStr">
        <is>
          <t>Corporate</t>
        </is>
      </c>
      <c r="S1563" s="2" t="inlineStr">
        <is>
          <t>Downer</t>
        </is>
      </c>
      <c r="T1563" s="2" t="n">
        <v>100</v>
      </c>
      <c r="W1563" s="2" t="inlineStr">
        <is>
          <t>Classification</t>
        </is>
      </c>
    </row>
    <row r="1564">
      <c r="A1564" s="2" t="inlineStr">
        <is>
          <t>Downer</t>
        </is>
      </c>
      <c r="B1564" s="2" t="inlineStr">
        <is>
          <t>One NZ Fxd Proj Mangmt</t>
        </is>
      </c>
      <c r="C1564" s="2" t="inlineStr">
        <is>
          <t>Other</t>
        </is>
      </c>
      <c r="D1564" s="2" t="inlineStr">
        <is>
          <t>L9.DNZJ.10086</t>
        </is>
      </c>
      <c r="E1564" s="2" t="n">
        <v>10086</v>
      </c>
      <c r="G1564" s="2" t="inlineStr">
        <is>
          <t>EU-NZU-10086-One NZ Fxd Proj Mangmt</t>
        </is>
      </c>
      <c r="M1564" s="2" t="inlineStr">
        <is>
          <t>Auckland</t>
        </is>
      </c>
      <c r="N1564" s="2" t="inlineStr">
        <is>
          <t>New Zealand</t>
        </is>
      </c>
      <c r="P1564" s="2" t="inlineStr">
        <is>
          <t>Operational Control</t>
        </is>
      </c>
      <c r="Q1564" s="2" t="inlineStr">
        <is>
          <t>Operational Control</t>
        </is>
      </c>
      <c r="R1564" s="2" t="inlineStr">
        <is>
          <t>Energy and Utilities (EU)</t>
        </is>
      </c>
      <c r="S1564" s="2" t="inlineStr">
        <is>
          <t>Downer</t>
        </is>
      </c>
      <c r="T1564" s="2" t="n">
        <v>100</v>
      </c>
      <c r="W1564" s="2" t="inlineStr">
        <is>
          <t>Classification</t>
        </is>
      </c>
    </row>
    <row r="1565">
      <c r="A1565" s="2" t="inlineStr">
        <is>
          <t>Downer</t>
        </is>
      </c>
      <c r="B1565" s="2" t="inlineStr">
        <is>
          <t>One NZ Maintenance North EU Subcontractors</t>
        </is>
      </c>
      <c r="C1565" s="2" t="inlineStr">
        <is>
          <t>Other</t>
        </is>
      </c>
      <c r="D1565" s="2" t="inlineStr">
        <is>
          <t>L9.DNZ.810.21011</t>
        </is>
      </c>
      <c r="E1565" s="2" t="inlineStr">
        <is>
          <t>L9.DNZ.810.21011</t>
        </is>
      </c>
      <c r="M1565" s="2" t="inlineStr">
        <is>
          <t>Auckland City</t>
        </is>
      </c>
      <c r="N1565" s="2" t="inlineStr">
        <is>
          <t>New Zealand</t>
        </is>
      </c>
      <c r="P1565" s="2" t="inlineStr">
        <is>
          <t>Operational Control</t>
        </is>
      </c>
      <c r="Q1565" s="2" t="inlineStr">
        <is>
          <t>Operational Control</t>
        </is>
      </c>
      <c r="R1565" s="2" t="inlineStr">
        <is>
          <t>Energy and Utilities (EU)</t>
        </is>
      </c>
      <c r="S1565" s="2" t="inlineStr">
        <is>
          <t>Downer</t>
        </is>
      </c>
      <c r="T1565" s="2" t="n">
        <v>100</v>
      </c>
      <c r="W1565" s="2" t="inlineStr">
        <is>
          <t>Classification</t>
        </is>
      </c>
    </row>
    <row r="1566">
      <c r="A1566" s="2" t="inlineStr">
        <is>
          <t>Downer</t>
        </is>
      </c>
      <c r="B1566" s="2" t="inlineStr">
        <is>
          <t>One NZ Wireless - New Builds EU Subcontractors</t>
        </is>
      </c>
      <c r="C1566" s="2" t="inlineStr">
        <is>
          <t>Other</t>
        </is>
      </c>
      <c r="D1566" s="2" t="inlineStr">
        <is>
          <t>L9.DNZ.810.20991</t>
        </is>
      </c>
      <c r="E1566" s="2" t="inlineStr">
        <is>
          <t>L9.DNZ.810.20991</t>
        </is>
      </c>
      <c r="M1566" s="2" t="inlineStr">
        <is>
          <t>Auckland City</t>
        </is>
      </c>
      <c r="N1566" s="2" t="inlineStr">
        <is>
          <t>New Zealand</t>
        </is>
      </c>
      <c r="P1566" s="2" t="inlineStr">
        <is>
          <t>Operational Control</t>
        </is>
      </c>
      <c r="Q1566" s="2" t="inlineStr">
        <is>
          <t>Operational Control</t>
        </is>
      </c>
      <c r="R1566" s="2" t="inlineStr">
        <is>
          <t>Energy and Utilities (EU)</t>
        </is>
      </c>
      <c r="S1566" s="2" t="inlineStr">
        <is>
          <t>Downer</t>
        </is>
      </c>
      <c r="T1566" s="2" t="n">
        <v>100</v>
      </c>
      <c r="W1566" s="2" t="inlineStr">
        <is>
          <t>Classification</t>
        </is>
      </c>
    </row>
    <row r="1567">
      <c r="A1567" s="2" t="inlineStr">
        <is>
          <t>Downer</t>
        </is>
      </c>
      <c r="B1567" s="2" t="inlineStr">
        <is>
          <t>One NZ Wireless - Upgrades EU Subcontractors</t>
        </is>
      </c>
      <c r="C1567" s="2" t="inlineStr">
        <is>
          <t>Other</t>
        </is>
      </c>
      <c r="D1567" s="2" t="inlineStr">
        <is>
          <t>L9.DNZ.810.20992</t>
        </is>
      </c>
      <c r="E1567" s="2" t="inlineStr">
        <is>
          <t>L9.DNZ.810.20992</t>
        </is>
      </c>
      <c r="M1567" s="2" t="inlineStr">
        <is>
          <t>Auckland City</t>
        </is>
      </c>
      <c r="N1567" s="2" t="inlineStr">
        <is>
          <t>New Zealand</t>
        </is>
      </c>
      <c r="P1567" s="2" t="inlineStr">
        <is>
          <t>Operational Control</t>
        </is>
      </c>
      <c r="Q1567" s="2" t="inlineStr">
        <is>
          <t>Operational Control</t>
        </is>
      </c>
      <c r="R1567" s="2" t="inlineStr">
        <is>
          <t>Energy and Utilities (EU)</t>
        </is>
      </c>
      <c r="S1567" s="2" t="inlineStr">
        <is>
          <t>Downer</t>
        </is>
      </c>
      <c r="T1567" s="2" t="n">
        <v>100</v>
      </c>
      <c r="W1567" s="2" t="inlineStr">
        <is>
          <t>Classification</t>
        </is>
      </c>
    </row>
    <row r="1568">
      <c r="A1568" s="2" t="inlineStr">
        <is>
          <t>Downer</t>
        </is>
      </c>
      <c r="B1568" s="2" t="inlineStr">
        <is>
          <t>ONSLOW COLLEGE BOARD OF TRUSTE</t>
        </is>
      </c>
      <c r="C1568" s="2" t="inlineStr">
        <is>
          <t>Other</t>
        </is>
      </c>
      <c r="D1568" s="2" t="inlineStr">
        <is>
          <t>L9.DNZ.HW0231</t>
        </is>
      </c>
      <c r="E1568" s="2" t="inlineStr">
        <is>
          <t>JP_HW0242</t>
        </is>
      </c>
      <c r="M1568" s="2" t="inlineStr">
        <is>
          <t>Manurewa</t>
        </is>
      </c>
      <c r="N1568" s="2" t="inlineStr">
        <is>
          <t>New Zealand</t>
        </is>
      </c>
      <c r="P1568" s="2" t="inlineStr">
        <is>
          <t>Operational Control</t>
        </is>
      </c>
      <c r="Q1568" s="2" t="inlineStr">
        <is>
          <t>Operational Control</t>
        </is>
      </c>
      <c r="R1568" s="2" t="inlineStr">
        <is>
          <t>Transport &amp; Infrastructure (T&amp;I)</t>
        </is>
      </c>
      <c r="S1568" s="2" t="inlineStr">
        <is>
          <t>Downer</t>
        </is>
      </c>
      <c r="T1568" s="2" t="n">
        <v>100</v>
      </c>
      <c r="W1568" s="2" t="inlineStr">
        <is>
          <t>Classification</t>
        </is>
      </c>
    </row>
    <row r="1569">
      <c r="A1569" s="2" t="inlineStr">
        <is>
          <t>Downer</t>
        </is>
      </c>
      <c r="B1569" s="2" t="inlineStr">
        <is>
          <t>Operations</t>
        </is>
      </c>
      <c r="C1569" s="2" t="inlineStr">
        <is>
          <t>Other</t>
        </is>
      </c>
      <c r="D1569" s="2" t="inlineStr">
        <is>
          <t>L9.DNZJ.8810</t>
        </is>
      </c>
      <c r="E1569" s="2" t="n">
        <v>8810</v>
      </c>
      <c r="H1569" s="2" t="inlineStr">
        <is>
          <t>130 Kerrs Road</t>
        </is>
      </c>
      <c r="I1569" s="2" t="inlineStr">
        <is>
          <t>Wiri</t>
        </is>
      </c>
      <c r="J1569" s="2" t="inlineStr">
        <is>
          <t>Auckland</t>
        </is>
      </c>
      <c r="K1569" s="2" t="n">
        <v>2104</v>
      </c>
      <c r="L1569" s="2" t="inlineStr">
        <is>
          <t>New Zealand</t>
        </is>
      </c>
      <c r="M1569" s="2" t="inlineStr">
        <is>
          <t>Manurewa</t>
        </is>
      </c>
      <c r="N1569" s="2" t="inlineStr">
        <is>
          <t>New Zealand</t>
        </is>
      </c>
      <c r="P1569" s="2" t="inlineStr">
        <is>
          <t>Operational Control</t>
        </is>
      </c>
      <c r="Q1569" s="2" t="inlineStr">
        <is>
          <t>Operational Control</t>
        </is>
      </c>
      <c r="R1569" s="2" t="inlineStr">
        <is>
          <t>Transport &amp; Infrastructure (T&amp;I)</t>
        </is>
      </c>
      <c r="S1569" s="2" t="inlineStr">
        <is>
          <t>Downer</t>
        </is>
      </c>
      <c r="T1569" s="2" t="n">
        <v>100</v>
      </c>
      <c r="W1569" s="2" t="inlineStr">
        <is>
          <t>Classification</t>
        </is>
      </c>
      <c r="X1569" s="2" t="n">
        <v>-37.0083</v>
      </c>
      <c r="Y1569" s="2" t="n">
        <v>174.8705</v>
      </c>
    </row>
    <row r="1570">
      <c r="A1570" s="2" t="inlineStr">
        <is>
          <t>Downer</t>
        </is>
      </c>
      <c r="B1570" s="2" t="inlineStr">
        <is>
          <t>Operations - Lower North</t>
        </is>
      </c>
      <c r="C1570" s="2" t="inlineStr">
        <is>
          <t>Other</t>
        </is>
      </c>
      <c r="D1570" s="2" t="inlineStr">
        <is>
          <t>L9.DNZJ.55925</t>
        </is>
      </c>
      <c r="E1570" s="2" t="n">
        <v>55925</v>
      </c>
      <c r="H1570" s="2" t="inlineStr">
        <is>
          <t>130 Kerrs Road</t>
        </is>
      </c>
      <c r="I1570" s="2" t="inlineStr">
        <is>
          <t>Wiri</t>
        </is>
      </c>
      <c r="J1570" s="2" t="inlineStr">
        <is>
          <t>Auckland</t>
        </is>
      </c>
      <c r="K1570" s="2" t="n">
        <v>2104</v>
      </c>
      <c r="L1570" s="2" t="inlineStr">
        <is>
          <t>New Zealand</t>
        </is>
      </c>
      <c r="M1570" s="2" t="inlineStr">
        <is>
          <t>Manurewa</t>
        </is>
      </c>
      <c r="N1570" s="2" t="inlineStr">
        <is>
          <t>New Zealand</t>
        </is>
      </c>
      <c r="P1570" s="2" t="inlineStr">
        <is>
          <t>Operational Control</t>
        </is>
      </c>
      <c r="Q1570" s="2" t="inlineStr">
        <is>
          <t>Operational Control</t>
        </is>
      </c>
      <c r="R1570" s="2" t="inlineStr">
        <is>
          <t>Transport &amp; Infrastructure (T&amp;I)</t>
        </is>
      </c>
      <c r="S1570" s="2" t="inlineStr">
        <is>
          <t>Downer</t>
        </is>
      </c>
      <c r="T1570" s="2" t="n">
        <v>100</v>
      </c>
      <c r="W1570" s="2" t="inlineStr">
        <is>
          <t>Classification</t>
        </is>
      </c>
      <c r="X1570" s="2" t="n">
        <v>-37.0083</v>
      </c>
      <c r="Y1570" s="2" t="n">
        <v>174.8705</v>
      </c>
    </row>
    <row r="1571">
      <c r="A1571" s="2" t="inlineStr">
        <is>
          <t>Downer</t>
        </is>
      </c>
      <c r="B1571" s="2" t="inlineStr">
        <is>
          <t>Operations - Recharge 2</t>
        </is>
      </c>
      <c r="C1571" s="2" t="inlineStr">
        <is>
          <t>Other</t>
        </is>
      </c>
      <c r="D1571" s="2" t="inlineStr">
        <is>
          <t>L9.DNZJ.9009</t>
        </is>
      </c>
      <c r="E1571" s="2" t="n">
        <v>9009</v>
      </c>
      <c r="H1571" s="2" t="inlineStr">
        <is>
          <t>130 Kerrs Road</t>
        </is>
      </c>
      <c r="I1571" s="2" t="inlineStr">
        <is>
          <t>Wiri</t>
        </is>
      </c>
      <c r="J1571" s="2" t="inlineStr">
        <is>
          <t>Auckland</t>
        </is>
      </c>
      <c r="K1571" s="2" t="n">
        <v>2104</v>
      </c>
      <c r="L1571" s="2" t="inlineStr">
        <is>
          <t>New Zealand</t>
        </is>
      </c>
      <c r="M1571" s="2" t="inlineStr">
        <is>
          <t>Manurewa</t>
        </is>
      </c>
      <c r="N1571" s="2" t="inlineStr">
        <is>
          <t>New Zealand</t>
        </is>
      </c>
      <c r="P1571" s="2" t="inlineStr">
        <is>
          <t>Operational Control</t>
        </is>
      </c>
      <c r="Q1571" s="2" t="inlineStr">
        <is>
          <t>Operational Control</t>
        </is>
      </c>
      <c r="R1571" s="2" t="inlineStr">
        <is>
          <t>Corporate</t>
        </is>
      </c>
      <c r="S1571" s="2" t="inlineStr">
        <is>
          <t>Downer</t>
        </is>
      </c>
      <c r="T1571" s="2" t="n">
        <v>100</v>
      </c>
      <c r="W1571" s="2" t="inlineStr">
        <is>
          <t>Classification</t>
        </is>
      </c>
      <c r="X1571" s="2" t="n">
        <v>-37.0083</v>
      </c>
      <c r="Y1571" s="2" t="n">
        <v>174.8705</v>
      </c>
    </row>
    <row r="1572">
      <c r="A1572" s="2" t="inlineStr">
        <is>
          <t>Downer</t>
        </is>
      </c>
      <c r="B1572" s="2" t="inlineStr">
        <is>
          <t>Operations - Southern</t>
        </is>
      </c>
      <c r="C1572" s="2" t="inlineStr">
        <is>
          <t>Other</t>
        </is>
      </c>
      <c r="D1572" s="2" t="inlineStr">
        <is>
          <t>L9.DNZJ.55926</t>
        </is>
      </c>
      <c r="E1572" s="2" t="n">
        <v>55926</v>
      </c>
      <c r="H1572" s="2" t="inlineStr">
        <is>
          <t>130 Kerrs Road</t>
        </is>
      </c>
      <c r="I1572" s="2" t="inlineStr">
        <is>
          <t>Wiri</t>
        </is>
      </c>
      <c r="J1572" s="2" t="inlineStr">
        <is>
          <t>Auckland</t>
        </is>
      </c>
      <c r="K1572" s="2" t="n">
        <v>2104</v>
      </c>
      <c r="L1572" s="2" t="inlineStr">
        <is>
          <t>New Zealand</t>
        </is>
      </c>
      <c r="M1572" s="2" t="inlineStr">
        <is>
          <t>Manurewa</t>
        </is>
      </c>
      <c r="N1572" s="2" t="inlineStr">
        <is>
          <t>New Zealand</t>
        </is>
      </c>
      <c r="P1572" s="2" t="inlineStr">
        <is>
          <t>Operational Control</t>
        </is>
      </c>
      <c r="Q1572" s="2" t="inlineStr">
        <is>
          <t>Operational Control</t>
        </is>
      </c>
      <c r="R1572" s="2" t="inlineStr">
        <is>
          <t>Transport &amp; Infrastructure (T&amp;I)</t>
        </is>
      </c>
      <c r="S1572" s="2" t="inlineStr">
        <is>
          <t>Downer</t>
        </is>
      </c>
      <c r="T1572" s="2" t="n">
        <v>100</v>
      </c>
      <c r="W1572" s="2" t="inlineStr">
        <is>
          <t>Classification</t>
        </is>
      </c>
      <c r="X1572" s="2" t="n">
        <v>-37.0083</v>
      </c>
      <c r="Y1572" s="2" t="n">
        <v>174.8705</v>
      </c>
    </row>
    <row r="1573">
      <c r="A1573" s="2" t="inlineStr">
        <is>
          <t>Downer</t>
        </is>
      </c>
      <c r="B1573" s="2" t="inlineStr">
        <is>
          <t>Operations Leadership</t>
        </is>
      </c>
      <c r="C1573" s="2" t="inlineStr">
        <is>
          <t>Other</t>
        </is>
      </c>
      <c r="D1573" s="2" t="inlineStr">
        <is>
          <t>L9.DNZ.810.10.035</t>
        </is>
      </c>
      <c r="E1573" s="2" t="n">
        <v>10035</v>
      </c>
      <c r="G1573" s="2" t="n">
        <v>10.035</v>
      </c>
      <c r="H1573" s="2" t="inlineStr">
        <is>
          <t>130 Kerrs Road</t>
        </is>
      </c>
      <c r="I1573" s="2" t="inlineStr">
        <is>
          <t>Wiri</t>
        </is>
      </c>
      <c r="J1573" s="2" t="inlineStr">
        <is>
          <t>Auckland</t>
        </is>
      </c>
      <c r="K1573" s="2" t="n">
        <v>2104</v>
      </c>
      <c r="L1573" s="2" t="inlineStr">
        <is>
          <t>New Zealand</t>
        </is>
      </c>
      <c r="M1573" s="2" t="inlineStr">
        <is>
          <t>Manurewa</t>
        </is>
      </c>
      <c r="N1573" s="2" t="inlineStr">
        <is>
          <t>New Zealand</t>
        </is>
      </c>
      <c r="P1573" s="2" t="inlineStr">
        <is>
          <t>Operational Control</t>
        </is>
      </c>
      <c r="Q1573" s="2" t="inlineStr">
        <is>
          <t>Operational Control</t>
        </is>
      </c>
      <c r="R1573" s="2" t="inlineStr">
        <is>
          <t>Energy and Utilities (EU)</t>
        </is>
      </c>
      <c r="S1573" s="2" t="inlineStr">
        <is>
          <t>Downer</t>
        </is>
      </c>
      <c r="T1573" s="2" t="n">
        <v>100</v>
      </c>
      <c r="W1573" s="2" t="inlineStr">
        <is>
          <t>Classification</t>
        </is>
      </c>
      <c r="X1573" s="2" t="n">
        <v>-37.0083</v>
      </c>
      <c r="Y1573" s="2" t="n">
        <v>174.8705</v>
      </c>
    </row>
    <row r="1574">
      <c r="A1574" s="2" t="inlineStr">
        <is>
          <t>Downer</t>
        </is>
      </c>
      <c r="B1574" s="2" t="inlineStr">
        <is>
          <t>Operations OSM</t>
        </is>
      </c>
      <c r="C1574" s="2" t="inlineStr">
        <is>
          <t>Other</t>
        </is>
      </c>
      <c r="D1574" s="2" t="inlineStr">
        <is>
          <t>L9.DNZJ.66901</t>
        </is>
      </c>
      <c r="E1574" s="2" t="n">
        <v>66901</v>
      </c>
      <c r="H1574" s="2" t="inlineStr">
        <is>
          <t>130 Kerrs Road</t>
        </is>
      </c>
      <c r="I1574" s="2" t="inlineStr">
        <is>
          <t>Wiri</t>
        </is>
      </c>
      <c r="J1574" s="2" t="inlineStr">
        <is>
          <t>Auckland</t>
        </is>
      </c>
      <c r="K1574" s="2" t="n">
        <v>2104</v>
      </c>
      <c r="L1574" s="2" t="inlineStr">
        <is>
          <t>New Zealand</t>
        </is>
      </c>
      <c r="M1574" s="2" t="inlineStr">
        <is>
          <t>Manurewa</t>
        </is>
      </c>
      <c r="N1574" s="2" t="inlineStr">
        <is>
          <t>New Zealand</t>
        </is>
      </c>
      <c r="P1574" s="2" t="inlineStr">
        <is>
          <t>Operational Control</t>
        </is>
      </c>
      <c r="Q1574" s="2" t="inlineStr">
        <is>
          <t>Operational Control</t>
        </is>
      </c>
      <c r="R1574" s="2" t="inlineStr">
        <is>
          <t>Transport &amp; Infrastructure (T&amp;I)</t>
        </is>
      </c>
      <c r="S1574" s="2" t="inlineStr">
        <is>
          <t>Downer</t>
        </is>
      </c>
      <c r="T1574" s="2" t="n">
        <v>100</v>
      </c>
      <c r="W1574" s="2" t="inlineStr">
        <is>
          <t>Classification</t>
        </is>
      </c>
      <c r="X1574" s="2" t="n">
        <v>-37.0083</v>
      </c>
      <c r="Y1574" s="2" t="n">
        <v>174.8705</v>
      </c>
    </row>
    <row r="1575">
      <c r="A1575" s="2" t="inlineStr">
        <is>
          <t>Downer</t>
        </is>
      </c>
      <c r="B1575" s="2" t="inlineStr">
        <is>
          <t>Operations South EU Subcontractors</t>
        </is>
      </c>
      <c r="C1575" s="2" t="inlineStr">
        <is>
          <t>Other</t>
        </is>
      </c>
      <c r="D1575" s="2" t="inlineStr">
        <is>
          <t>L9.DNZJ.1518</t>
        </is>
      </c>
      <c r="E1575" s="2" t="inlineStr">
        <is>
          <t>L9.DNZJ.1518</t>
        </is>
      </c>
      <c r="M1575" s="2" t="inlineStr">
        <is>
          <t>Auckland City</t>
        </is>
      </c>
      <c r="N1575" s="2" t="inlineStr">
        <is>
          <t>New Zealand</t>
        </is>
      </c>
      <c r="P1575" s="2" t="inlineStr">
        <is>
          <t>Operational Control</t>
        </is>
      </c>
      <c r="Q1575" s="2" t="inlineStr">
        <is>
          <t>Operational Control</t>
        </is>
      </c>
      <c r="R1575" s="2" t="inlineStr">
        <is>
          <t>Energy and Utilities (EU)</t>
        </is>
      </c>
      <c r="S1575" s="2" t="inlineStr">
        <is>
          <t>Downer</t>
        </is>
      </c>
      <c r="T1575" s="2" t="n">
        <v>100</v>
      </c>
      <c r="W1575" s="2" t="inlineStr">
        <is>
          <t>Classification</t>
        </is>
      </c>
    </row>
    <row r="1576">
      <c r="A1576" s="2" t="inlineStr">
        <is>
          <t>Downer</t>
        </is>
      </c>
      <c r="B1576" s="2" t="inlineStr">
        <is>
          <t>Operations Support Leadership</t>
        </is>
      </c>
      <c r="C1576" s="2" t="inlineStr">
        <is>
          <t>Other</t>
        </is>
      </c>
      <c r="D1576" s="2" t="inlineStr">
        <is>
          <t>L9.DNZ.810.10.037</t>
        </is>
      </c>
      <c r="E1576" s="2" t="n">
        <v>10037</v>
      </c>
      <c r="G1576" s="2" t="n">
        <v>10.037</v>
      </c>
      <c r="H1576" s="2" t="inlineStr">
        <is>
          <t>130 Kerrs Road</t>
        </is>
      </c>
      <c r="I1576" s="2" t="inlineStr">
        <is>
          <t>Wiri</t>
        </is>
      </c>
      <c r="J1576" s="2" t="inlineStr">
        <is>
          <t>Auckland</t>
        </is>
      </c>
      <c r="K1576" s="2" t="n">
        <v>2104</v>
      </c>
      <c r="L1576" s="2" t="inlineStr">
        <is>
          <t>New Zealand</t>
        </is>
      </c>
      <c r="M1576" s="2" t="inlineStr">
        <is>
          <t>Manurewa</t>
        </is>
      </c>
      <c r="N1576" s="2" t="inlineStr">
        <is>
          <t>New Zealand</t>
        </is>
      </c>
      <c r="P1576" s="2" t="inlineStr">
        <is>
          <t>Operational Control</t>
        </is>
      </c>
      <c r="Q1576" s="2" t="inlineStr">
        <is>
          <t>Operational Control</t>
        </is>
      </c>
      <c r="R1576" s="2" t="inlineStr">
        <is>
          <t>Energy and Utilities (EU)</t>
        </is>
      </c>
      <c r="S1576" s="2" t="inlineStr">
        <is>
          <t>Downer</t>
        </is>
      </c>
      <c r="T1576" s="2" t="n">
        <v>100</v>
      </c>
      <c r="W1576" s="2" t="inlineStr">
        <is>
          <t>Classification</t>
        </is>
      </c>
      <c r="X1576" s="2" t="n">
        <v>-37.0083</v>
      </c>
      <c r="Y1576" s="2" t="n">
        <v>174.8705</v>
      </c>
    </row>
    <row r="1577">
      <c r="A1577" s="2" t="inlineStr">
        <is>
          <t>Downer</t>
        </is>
      </c>
      <c r="B1577" s="2" t="inlineStr">
        <is>
          <t>Origin EU Subcontractors</t>
        </is>
      </c>
      <c r="C1577" s="2" t="inlineStr">
        <is>
          <t>Other</t>
        </is>
      </c>
      <c r="D1577" s="2" t="inlineStr">
        <is>
          <t>L9.J.39210321</t>
        </is>
      </c>
      <c r="E1577" s="2" t="inlineStr">
        <is>
          <t>L9.J.39210321</t>
        </is>
      </c>
      <c r="M1577" s="2" t="inlineStr">
        <is>
          <t>North Ryde</t>
        </is>
      </c>
      <c r="N1577" s="2" t="inlineStr">
        <is>
          <t>Australia</t>
        </is>
      </c>
      <c r="P1577" s="2" t="inlineStr">
        <is>
          <t>Operational Control</t>
        </is>
      </c>
      <c r="Q1577" s="2" t="inlineStr">
        <is>
          <t>Operational Control</t>
        </is>
      </c>
      <c r="R1577" s="2" t="inlineStr">
        <is>
          <t>Energy and Utilities (EU)</t>
        </is>
      </c>
      <c r="S1577" s="2" t="inlineStr">
        <is>
          <t>Downer</t>
        </is>
      </c>
      <c r="T1577" s="2" t="n">
        <v>100</v>
      </c>
      <c r="W1577" s="2" t="inlineStr">
        <is>
          <t>Classification</t>
        </is>
      </c>
    </row>
    <row r="1578">
      <c r="A1578" s="2" t="inlineStr">
        <is>
          <t>Downer</t>
        </is>
      </c>
      <c r="B1578" s="2" t="inlineStr">
        <is>
          <t>Otago Overhead</t>
        </is>
      </c>
      <c r="C1578" s="2" t="inlineStr">
        <is>
          <t>Other</t>
        </is>
      </c>
      <c r="D1578" s="2" t="inlineStr">
        <is>
          <t>L9.DNZJ.54943</t>
        </is>
      </c>
      <c r="E1578" s="2" t="n">
        <v>54943</v>
      </c>
      <c r="G1578" s="2" t="inlineStr">
        <is>
          <t>TI-NZT-54943 - Otago Overhead</t>
        </is>
      </c>
      <c r="M1578" s="2" t="inlineStr">
        <is>
          <t>Otago</t>
        </is>
      </c>
      <c r="N1578" s="2" t="inlineStr">
        <is>
          <t>New Zealand</t>
        </is>
      </c>
      <c r="P1578" s="2" t="inlineStr">
        <is>
          <t>Operational Control</t>
        </is>
      </c>
      <c r="Q1578" s="2" t="inlineStr">
        <is>
          <t>Operational Control</t>
        </is>
      </c>
      <c r="R1578" s="2" t="inlineStr">
        <is>
          <t>Transport &amp; Infrastructure (T&amp;I)</t>
        </is>
      </c>
      <c r="S1578" s="2" t="inlineStr">
        <is>
          <t>Downer</t>
        </is>
      </c>
      <c r="T1578" s="2" t="n">
        <v>100</v>
      </c>
      <c r="W1578" s="2" t="inlineStr">
        <is>
          <t>Classification</t>
        </is>
      </c>
    </row>
    <row r="1579">
      <c r="A1579" s="2" t="inlineStr">
        <is>
          <t>Downer</t>
        </is>
      </c>
      <c r="B1579" s="2" t="inlineStr">
        <is>
          <t>Otago Telco Ops</t>
        </is>
      </c>
      <c r="C1579" s="2" t="inlineStr">
        <is>
          <t>Other</t>
        </is>
      </c>
      <c r="D1579" s="2" t="inlineStr">
        <is>
          <t>L9.DNZ.810.10.185</t>
        </is>
      </c>
      <c r="E1579" s="2" t="n">
        <v>10185</v>
      </c>
      <c r="G1579" s="2" t="n">
        <v>10.185</v>
      </c>
      <c r="H1579" s="2" t="inlineStr">
        <is>
          <t>130 Kerrs Road</t>
        </is>
      </c>
      <c r="I1579" s="2" t="inlineStr">
        <is>
          <t>Wiri</t>
        </is>
      </c>
      <c r="J1579" s="2" t="inlineStr">
        <is>
          <t>Auckland</t>
        </is>
      </c>
      <c r="K1579" s="2" t="n">
        <v>2104</v>
      </c>
      <c r="L1579" s="2" t="inlineStr">
        <is>
          <t>New Zealand</t>
        </is>
      </c>
      <c r="M1579" s="2" t="inlineStr">
        <is>
          <t>Manurewa</t>
        </is>
      </c>
      <c r="N1579" s="2" t="inlineStr">
        <is>
          <t>New Zealand</t>
        </is>
      </c>
      <c r="P1579" s="2" t="inlineStr">
        <is>
          <t>Operational Control</t>
        </is>
      </c>
      <c r="Q1579" s="2" t="inlineStr">
        <is>
          <t>Operational Control</t>
        </is>
      </c>
      <c r="R1579" s="2" t="inlineStr">
        <is>
          <t>Energy and Utilities (EU)</t>
        </is>
      </c>
      <c r="S1579" s="2" t="inlineStr">
        <is>
          <t>Downer</t>
        </is>
      </c>
      <c r="T1579" s="2" t="n">
        <v>100</v>
      </c>
      <c r="W1579" s="2" t="inlineStr">
        <is>
          <t>Classification</t>
        </is>
      </c>
      <c r="X1579" s="2" t="n">
        <v>-37.0083</v>
      </c>
      <c r="Y1579" s="2" t="n">
        <v>174.8705</v>
      </c>
    </row>
    <row r="1580">
      <c r="A1580" s="2" t="inlineStr">
        <is>
          <t>Downer</t>
        </is>
      </c>
      <c r="B1580" s="2" t="inlineStr">
        <is>
          <t>Otaki (91 Riverbank Rd)</t>
        </is>
      </c>
      <c r="C1580" s="2" t="inlineStr">
        <is>
          <t>Office</t>
        </is>
      </c>
      <c r="D1580" s="2" t="inlineStr">
        <is>
          <t>L9.DNZJ.91401</t>
        </is>
      </c>
      <c r="E1580" s="2" t="n">
        <v>91401</v>
      </c>
      <c r="G1580" s="2" t="inlineStr">
        <is>
          <t>COR-NZHO-91401 - Otaki (91 Riverbank Rd)
91 RIVERBANK ROAD  OTAKI 0</t>
        </is>
      </c>
      <c r="M1580" s="2" t="inlineStr">
        <is>
          <t>Otaki</t>
        </is>
      </c>
      <c r="N1580" s="2" t="inlineStr">
        <is>
          <t>New Zealand</t>
        </is>
      </c>
      <c r="P1580" s="2" t="inlineStr">
        <is>
          <t>Operational Control</t>
        </is>
      </c>
      <c r="Q1580" s="2" t="inlineStr">
        <is>
          <t>Operational Control</t>
        </is>
      </c>
      <c r="R1580" s="2" t="inlineStr">
        <is>
          <t>Transport &amp; Infrastructure (T&amp;I)</t>
        </is>
      </c>
      <c r="S1580" s="2" t="inlineStr">
        <is>
          <t>Downer</t>
        </is>
      </c>
      <c r="T1580" s="2" t="n">
        <v>100</v>
      </c>
      <c r="W1580" s="2" t="inlineStr">
        <is>
          <t>Classification</t>
        </is>
      </c>
    </row>
    <row r="1581">
      <c r="A1581" s="2" t="inlineStr">
        <is>
          <t>Downer</t>
        </is>
      </c>
      <c r="B1581" s="2" t="inlineStr">
        <is>
          <t>Overheads EU Subcontractors</t>
        </is>
      </c>
      <c r="C1581" s="2" t="inlineStr">
        <is>
          <t>Other</t>
        </is>
      </c>
      <c r="D1581" s="2" t="inlineStr">
        <is>
          <t>L9.J.382037</t>
        </is>
      </c>
      <c r="E1581" s="2" t="inlineStr">
        <is>
          <t>L9.J.382037</t>
        </is>
      </c>
      <c r="M1581" s="2" t="inlineStr">
        <is>
          <t>North Ryde</t>
        </is>
      </c>
      <c r="N1581" s="2" t="inlineStr">
        <is>
          <t>Australia</t>
        </is>
      </c>
      <c r="P1581" s="2" t="inlineStr">
        <is>
          <t>Operational Control</t>
        </is>
      </c>
      <c r="Q1581" s="2" t="inlineStr">
        <is>
          <t>Operational Control</t>
        </is>
      </c>
      <c r="R1581" s="2" t="inlineStr">
        <is>
          <t>Energy and Utilities (EU)</t>
        </is>
      </c>
      <c r="S1581" s="2" t="inlineStr">
        <is>
          <t>Downer</t>
        </is>
      </c>
      <c r="T1581" s="2" t="n">
        <v>100</v>
      </c>
      <c r="W1581" s="2" t="inlineStr">
        <is>
          <t>Classification</t>
        </is>
      </c>
    </row>
    <row r="1582">
      <c r="A1582" s="2" t="inlineStr">
        <is>
          <t>Downer</t>
        </is>
      </c>
      <c r="B1582" s="2" t="inlineStr">
        <is>
          <t>Pacific Region Balance Sheet</t>
        </is>
      </c>
      <c r="C1582" s="2" t="inlineStr">
        <is>
          <t>Other</t>
        </is>
      </c>
      <c r="D1582" s="2" t="inlineStr">
        <is>
          <t>L9.DNZJ.8000</t>
        </is>
      </c>
      <c r="E1582" s="2" t="n">
        <v>8000</v>
      </c>
      <c r="M1582" s="2" t="inlineStr">
        <is>
          <t>Manurewa</t>
        </is>
      </c>
      <c r="N1582" s="2" t="inlineStr">
        <is>
          <t>New Zealand</t>
        </is>
      </c>
      <c r="P1582" s="2" t="inlineStr">
        <is>
          <t>Operational Control</t>
        </is>
      </c>
      <c r="Q1582" s="2" t="inlineStr">
        <is>
          <t>Operational Control</t>
        </is>
      </c>
      <c r="R1582" s="2" t="inlineStr">
        <is>
          <t>Transport &amp; Infrastructure (T&amp;I)</t>
        </is>
      </c>
      <c r="S1582" s="2" t="inlineStr">
        <is>
          <t>Downer</t>
        </is>
      </c>
      <c r="T1582" s="2" t="n">
        <v>100</v>
      </c>
      <c r="W1582" s="2" t="inlineStr">
        <is>
          <t>Classification</t>
        </is>
      </c>
    </row>
    <row r="1583">
      <c r="A1583" s="2" t="inlineStr">
        <is>
          <t>Downer</t>
        </is>
      </c>
      <c r="B1583" s="2" t="inlineStr">
        <is>
          <t>Paeroa - Faults 127</t>
        </is>
      </c>
      <c r="C1583" s="2" t="inlineStr">
        <is>
          <t>Other</t>
        </is>
      </c>
      <c r="D1583" s="2" t="inlineStr">
        <is>
          <t>L9.DUN.60127</t>
        </is>
      </c>
      <c r="E1583" s="2" t="inlineStr">
        <is>
          <t>PG60127</t>
        </is>
      </c>
      <c r="H1583" s="2" t="inlineStr">
        <is>
          <t>130 Kerrs Road</t>
        </is>
      </c>
      <c r="I1583" s="2" t="inlineStr">
        <is>
          <t>Wiri</t>
        </is>
      </c>
      <c r="J1583" s="2" t="inlineStr">
        <is>
          <t>Auckland</t>
        </is>
      </c>
      <c r="K1583" s="2" t="n">
        <v>2104</v>
      </c>
      <c r="L1583" s="2" t="inlineStr">
        <is>
          <t>New Zealand</t>
        </is>
      </c>
      <c r="M1583" s="2" t="inlineStr">
        <is>
          <t>Manurewa</t>
        </is>
      </c>
      <c r="N1583" s="2" t="inlineStr">
        <is>
          <t>New Zealand</t>
        </is>
      </c>
      <c r="P1583" s="2" t="inlineStr">
        <is>
          <t>Operational Control</t>
        </is>
      </c>
      <c r="Q1583" s="2" t="inlineStr">
        <is>
          <t>Operational Control</t>
        </is>
      </c>
      <c r="R1583" s="2" t="inlineStr">
        <is>
          <t>Energy and Utilities (EU)</t>
        </is>
      </c>
      <c r="S1583" s="2" t="inlineStr">
        <is>
          <t>Downer</t>
        </is>
      </c>
      <c r="T1583" s="2" t="n">
        <v>100</v>
      </c>
      <c r="W1583" s="2" t="inlineStr">
        <is>
          <t>Classification</t>
        </is>
      </c>
      <c r="X1583" s="2" t="n">
        <v>-37.0083</v>
      </c>
      <c r="Y1583" s="2" t="n">
        <v>174.8705</v>
      </c>
    </row>
    <row r="1584">
      <c r="A1584" s="2" t="inlineStr">
        <is>
          <t>Downer</t>
        </is>
      </c>
      <c r="B1584" s="2" t="inlineStr">
        <is>
          <t>Paeroa - WM 121</t>
        </is>
      </c>
      <c r="C1584" s="2" t="inlineStr">
        <is>
          <t>Other</t>
        </is>
      </c>
      <c r="D1584" s="2" t="inlineStr">
        <is>
          <t>L9.DUN.60121</t>
        </is>
      </c>
      <c r="E1584" s="2" t="inlineStr">
        <is>
          <t>PG60121</t>
        </is>
      </c>
      <c r="H1584" s="2" t="inlineStr">
        <is>
          <t>130 Kerrs Road</t>
        </is>
      </c>
      <c r="I1584" s="2" t="inlineStr">
        <is>
          <t>Wiri</t>
        </is>
      </c>
      <c r="J1584" s="2" t="inlineStr">
        <is>
          <t>Auckland</t>
        </is>
      </c>
      <c r="K1584" s="2" t="n">
        <v>2104</v>
      </c>
      <c r="L1584" s="2" t="inlineStr">
        <is>
          <t>New Zealand</t>
        </is>
      </c>
      <c r="M1584" s="2" t="inlineStr">
        <is>
          <t>Manurewa</t>
        </is>
      </c>
      <c r="N1584" s="2" t="inlineStr">
        <is>
          <t>New Zealand</t>
        </is>
      </c>
      <c r="P1584" s="2" t="inlineStr">
        <is>
          <t>Operational Control</t>
        </is>
      </c>
      <c r="Q1584" s="2" t="inlineStr">
        <is>
          <t>Operational Control</t>
        </is>
      </c>
      <c r="R1584" s="2" t="inlineStr">
        <is>
          <t>Energy and Utilities (EU)</t>
        </is>
      </c>
      <c r="S1584" s="2" t="inlineStr">
        <is>
          <t>Downer</t>
        </is>
      </c>
      <c r="T1584" s="2" t="n">
        <v>100</v>
      </c>
      <c r="W1584" s="2" t="inlineStr">
        <is>
          <t>Classification</t>
        </is>
      </c>
      <c r="X1584" s="2" t="n">
        <v>-37.0083</v>
      </c>
      <c r="Y1584" s="2" t="n">
        <v>174.8705</v>
      </c>
    </row>
    <row r="1585">
      <c r="A1585" s="2" t="inlineStr">
        <is>
          <t>Downer</t>
        </is>
      </c>
      <c r="B1585" s="2" t="inlineStr">
        <is>
          <t>Paeroa - WM 122</t>
        </is>
      </c>
      <c r="C1585" s="2" t="inlineStr">
        <is>
          <t>Other</t>
        </is>
      </c>
      <c r="D1585" s="2" t="inlineStr">
        <is>
          <t>L9.DUN.60122</t>
        </is>
      </c>
      <c r="E1585" s="2" t="inlineStr">
        <is>
          <t>PG60122</t>
        </is>
      </c>
      <c r="H1585" s="2" t="inlineStr">
        <is>
          <t>130 Kerrs Road</t>
        </is>
      </c>
      <c r="I1585" s="2" t="inlineStr">
        <is>
          <t>Wiri</t>
        </is>
      </c>
      <c r="J1585" s="2" t="inlineStr">
        <is>
          <t>Auckland</t>
        </is>
      </c>
      <c r="K1585" s="2" t="n">
        <v>2104</v>
      </c>
      <c r="L1585" s="2" t="inlineStr">
        <is>
          <t>New Zealand</t>
        </is>
      </c>
      <c r="M1585" s="2" t="inlineStr">
        <is>
          <t>Manurewa</t>
        </is>
      </c>
      <c r="N1585" s="2" t="inlineStr">
        <is>
          <t>New Zealand</t>
        </is>
      </c>
      <c r="P1585" s="2" t="inlineStr">
        <is>
          <t>Operational Control</t>
        </is>
      </c>
      <c r="Q1585" s="2" t="inlineStr">
        <is>
          <t>Operational Control</t>
        </is>
      </c>
      <c r="R1585" s="2" t="inlineStr">
        <is>
          <t>Energy and Utilities (EU)</t>
        </is>
      </c>
      <c r="S1585" s="2" t="inlineStr">
        <is>
          <t>Downer</t>
        </is>
      </c>
      <c r="T1585" s="2" t="n">
        <v>100</v>
      </c>
      <c r="W1585" s="2" t="inlineStr">
        <is>
          <t>Classification</t>
        </is>
      </c>
      <c r="X1585" s="2" t="n">
        <v>-37.0083</v>
      </c>
      <c r="Y1585" s="2" t="n">
        <v>174.8705</v>
      </c>
    </row>
    <row r="1586">
      <c r="A1586" s="2" t="inlineStr">
        <is>
          <t>Downer</t>
        </is>
      </c>
      <c r="B1586" s="2" t="inlineStr">
        <is>
          <t>Paeroa Depot</t>
        </is>
      </c>
      <c r="C1586" s="2" t="inlineStr">
        <is>
          <t>Other</t>
        </is>
      </c>
      <c r="D1586" s="2" t="inlineStr">
        <is>
          <t>L9.DNZJ.55552</t>
        </is>
      </c>
      <c r="E1586" s="2" t="n">
        <v>55552</v>
      </c>
      <c r="H1586" s="2" t="inlineStr">
        <is>
          <t>1-11 Grey Street</t>
        </is>
      </c>
      <c r="I1586" s="2" t="inlineStr">
        <is>
          <t>Paeroa</t>
        </is>
      </c>
      <c r="J1586" s="2" t="inlineStr">
        <is>
          <t>Paeroa</t>
        </is>
      </c>
      <c r="K1586" s="2" t="n">
        <v>3600</v>
      </c>
      <c r="L1586" s="2" t="inlineStr">
        <is>
          <t>New Zealand</t>
        </is>
      </c>
      <c r="M1586" s="2" t="inlineStr">
        <is>
          <t>Paeroa</t>
        </is>
      </c>
      <c r="N1586" s="2" t="inlineStr">
        <is>
          <t>New Zealand</t>
        </is>
      </c>
      <c r="P1586" s="2" t="inlineStr">
        <is>
          <t>Operational Control</t>
        </is>
      </c>
      <c r="Q1586" s="2" t="inlineStr">
        <is>
          <t>Operational Control</t>
        </is>
      </c>
      <c r="R1586" s="2" t="inlineStr">
        <is>
          <t>Transport &amp; Infrastructure (T&amp;I)</t>
        </is>
      </c>
      <c r="S1586" s="2" t="inlineStr">
        <is>
          <t>Downer</t>
        </is>
      </c>
      <c r="T1586" s="2" t="n">
        <v>100</v>
      </c>
      <c r="W1586" s="2" t="inlineStr">
        <is>
          <t>Classification</t>
        </is>
      </c>
      <c r="X1586" s="2" t="n">
        <v>-37.3743</v>
      </c>
      <c r="Y1586" s="2" t="n">
        <v>175.6615</v>
      </c>
    </row>
    <row r="1587">
      <c r="A1587" s="2" t="inlineStr">
        <is>
          <t>Downer</t>
        </is>
      </c>
      <c r="B1587" s="2" t="inlineStr">
        <is>
          <t>Pahiatua - WM 232</t>
        </is>
      </c>
      <c r="C1587" s="2" t="inlineStr">
        <is>
          <t>Other</t>
        </is>
      </c>
      <c r="D1587" s="2" t="inlineStr">
        <is>
          <t>L9.DUN.60233</t>
        </is>
      </c>
      <c r="E1587" s="2" t="inlineStr">
        <is>
          <t>PG60233</t>
        </is>
      </c>
      <c r="H1587" s="2" t="inlineStr">
        <is>
          <t>15 Mangahao Road</t>
        </is>
      </c>
      <c r="I1587" s="2" t="inlineStr">
        <is>
          <t>Pahiatua</t>
        </is>
      </c>
      <c r="J1587" s="2" t="inlineStr">
        <is>
          <t>Pahiatua</t>
        </is>
      </c>
      <c r="K1587" s="2" t="n">
        <v>4910</v>
      </c>
      <c r="L1587" s="2" t="inlineStr">
        <is>
          <t>New Zealand</t>
        </is>
      </c>
      <c r="M1587" s="2" t="inlineStr">
        <is>
          <t>Palmerston North</t>
        </is>
      </c>
      <c r="N1587" s="2" t="inlineStr">
        <is>
          <t>New Zealand</t>
        </is>
      </c>
      <c r="P1587" s="2" t="inlineStr">
        <is>
          <t>Operational Control</t>
        </is>
      </c>
      <c r="Q1587" s="2" t="inlineStr">
        <is>
          <t>Operational Control</t>
        </is>
      </c>
      <c r="R1587" s="2" t="inlineStr">
        <is>
          <t>Energy and Utilities (EU)</t>
        </is>
      </c>
      <c r="S1587" s="2" t="inlineStr">
        <is>
          <t>Downer</t>
        </is>
      </c>
      <c r="T1587" s="2" t="n">
        <v>100</v>
      </c>
      <c r="W1587" s="2" t="inlineStr">
        <is>
          <t>Classification</t>
        </is>
      </c>
      <c r="X1587" s="2" t="n">
        <v>-40.4527</v>
      </c>
      <c r="Y1587" s="2" t="n">
        <v>175.8393</v>
      </c>
    </row>
    <row r="1588">
      <c r="A1588" s="2" t="inlineStr">
        <is>
          <t>Downer</t>
        </is>
      </c>
      <c r="B1588" s="2" t="inlineStr">
        <is>
          <t>Palm North (315 Albert St)</t>
        </is>
      </c>
      <c r="C1588" s="2" t="inlineStr">
        <is>
          <t>Other</t>
        </is>
      </c>
      <c r="D1588" s="2" t="inlineStr">
        <is>
          <t>L9.DNZJ.91261</t>
        </is>
      </c>
      <c r="E1588" s="2" t="n">
        <v>91261</v>
      </c>
      <c r="H1588" s="2" t="inlineStr">
        <is>
          <t>315 Albert Street</t>
        </is>
      </c>
      <c r="I1588" s="2" t="inlineStr">
        <is>
          <t>Hokowhitu</t>
        </is>
      </c>
      <c r="J1588" s="2" t="inlineStr">
        <is>
          <t>Palmerston North</t>
        </is>
      </c>
      <c r="K1588" s="2" t="n">
        <v>4410</v>
      </c>
      <c r="L1588" s="2" t="inlineStr">
        <is>
          <t>New Zealand</t>
        </is>
      </c>
      <c r="M1588" s="2" t="inlineStr">
        <is>
          <t>Palmerston North</t>
        </is>
      </c>
      <c r="N1588" s="2" t="inlineStr">
        <is>
          <t>New Zealand</t>
        </is>
      </c>
      <c r="P1588" s="2" t="inlineStr">
        <is>
          <t>Operational Control</t>
        </is>
      </c>
      <c r="Q1588" s="2" t="inlineStr">
        <is>
          <t>Operational Control</t>
        </is>
      </c>
      <c r="R1588" s="2" t="inlineStr">
        <is>
          <t>Corporate</t>
        </is>
      </c>
      <c r="S1588" s="2" t="inlineStr">
        <is>
          <t>Downer</t>
        </is>
      </c>
      <c r="T1588" s="2" t="n">
        <v>100</v>
      </c>
      <c r="W1588" s="2" t="inlineStr">
        <is>
          <t>Classification</t>
        </is>
      </c>
      <c r="X1588" s="2" t="n">
        <v>-40.3607</v>
      </c>
      <c r="Y1588" s="2" t="n">
        <v>175.6326</v>
      </c>
      <c r="AB1588" s="11" t="n">
        <v>45473</v>
      </c>
    </row>
    <row r="1589">
      <c r="A1589" s="2" t="inlineStr">
        <is>
          <t>Downer</t>
        </is>
      </c>
      <c r="B1589" s="2" t="inlineStr">
        <is>
          <t>Palm North (Tennant Dr Massey)</t>
        </is>
      </c>
      <c r="C1589" s="2" t="inlineStr">
        <is>
          <t>Other</t>
        </is>
      </c>
      <c r="D1589" s="2" t="inlineStr">
        <is>
          <t>L9.DNZJ.91190</t>
        </is>
      </c>
      <c r="E1589" s="2" t="n">
        <v>91190</v>
      </c>
      <c r="H1589" s="2" t="inlineStr">
        <is>
          <t>Tennent Drive</t>
        </is>
      </c>
      <c r="I1589" s="2" t="inlineStr">
        <is>
          <t>Massey University</t>
        </is>
      </c>
      <c r="J1589" s="2" t="inlineStr">
        <is>
          <t>Palmerston North</t>
        </is>
      </c>
      <c r="K1589" s="2" t="n">
        <v>4474</v>
      </c>
      <c r="L1589" s="2" t="inlineStr">
        <is>
          <t>New Zealand</t>
        </is>
      </c>
      <c r="M1589" s="2" t="inlineStr">
        <is>
          <t>Palmerston North</t>
        </is>
      </c>
      <c r="N1589" s="2" t="inlineStr">
        <is>
          <t>New Zealand</t>
        </is>
      </c>
      <c r="P1589" s="2" t="inlineStr">
        <is>
          <t>Operational Control</t>
        </is>
      </c>
      <c r="Q1589" s="2" t="inlineStr">
        <is>
          <t>Operational Control</t>
        </is>
      </c>
      <c r="R1589" s="2" t="inlineStr">
        <is>
          <t>Corporate</t>
        </is>
      </c>
      <c r="S1589" s="2" t="inlineStr">
        <is>
          <t>Downer</t>
        </is>
      </c>
      <c r="T1589" s="2" t="n">
        <v>100</v>
      </c>
      <c r="W1589" s="2" t="inlineStr">
        <is>
          <t>Classification</t>
        </is>
      </c>
      <c r="X1589" s="2" t="n">
        <v>-40.3834</v>
      </c>
      <c r="Y1589" s="2" t="n">
        <v>175.6146</v>
      </c>
      <c r="AB1589" s="11" t="n">
        <v>45473</v>
      </c>
    </row>
    <row r="1590">
      <c r="A1590" s="2" t="inlineStr">
        <is>
          <t>Downer</t>
        </is>
      </c>
      <c r="B1590" s="2" t="inlineStr">
        <is>
          <t>Palmerston Depot</t>
        </is>
      </c>
      <c r="C1590" s="2" t="inlineStr">
        <is>
          <t>Other</t>
        </is>
      </c>
      <c r="D1590" s="2" t="inlineStr">
        <is>
          <t>L9.DNZJ.55550</t>
        </is>
      </c>
      <c r="E1590" s="2" t="n">
        <v>55550</v>
      </c>
      <c r="H1590" s="2" t="inlineStr">
        <is>
          <t>1192 Goodwood Road</t>
        </is>
      </c>
      <c r="I1590" s="2" t="inlineStr">
        <is>
          <t>Palmerston</t>
        </is>
      </c>
      <c r="J1590" s="2" t="inlineStr">
        <is>
          <t>Palmerston</t>
        </is>
      </c>
      <c r="K1590" s="2" t="n">
        <v>9430</v>
      </c>
      <c r="L1590" s="2" t="inlineStr">
        <is>
          <t>New Zealand</t>
        </is>
      </c>
      <c r="M1590" s="2" t="inlineStr">
        <is>
          <t>Karitane</t>
        </is>
      </c>
      <c r="N1590" s="2" t="inlineStr">
        <is>
          <t>New Zealand</t>
        </is>
      </c>
      <c r="P1590" s="2" t="inlineStr">
        <is>
          <t>Operational Control</t>
        </is>
      </c>
      <c r="Q1590" s="2" t="inlineStr">
        <is>
          <t>Operational Control</t>
        </is>
      </c>
      <c r="R1590" s="2" t="inlineStr">
        <is>
          <t>Transport &amp; Infrastructure (T&amp;I)</t>
        </is>
      </c>
      <c r="S1590" s="2" t="inlineStr">
        <is>
          <t>Downer</t>
        </is>
      </c>
      <c r="T1590" s="2" t="n">
        <v>100</v>
      </c>
      <c r="W1590" s="2" t="inlineStr">
        <is>
          <t>Classification</t>
        </is>
      </c>
      <c r="X1590" s="2" t="n">
        <v>-45.489</v>
      </c>
      <c r="Y1590" s="2" t="n">
        <v>170.7156</v>
      </c>
    </row>
    <row r="1591">
      <c r="A1591" s="2" t="inlineStr">
        <is>
          <t>Downer</t>
        </is>
      </c>
      <c r="B1591" s="2" t="inlineStr">
        <is>
          <t>Palmerston Lines (TL2)</t>
        </is>
      </c>
      <c r="C1591" s="2" t="inlineStr">
        <is>
          <t>Other</t>
        </is>
      </c>
      <c r="D1591" s="2" t="inlineStr">
        <is>
          <t>L9.DUN.80121</t>
        </is>
      </c>
      <c r="E1591" s="2" t="inlineStr">
        <is>
          <t>PG80121</t>
        </is>
      </c>
      <c r="M1591" s="2" t="inlineStr">
        <is>
          <t>Manurewa</t>
        </is>
      </c>
      <c r="N1591" s="2" t="inlineStr">
        <is>
          <t>New Zealand</t>
        </is>
      </c>
      <c r="P1591" s="2" t="inlineStr">
        <is>
          <t>Operational Control</t>
        </is>
      </c>
      <c r="Q1591" s="2" t="inlineStr">
        <is>
          <t>Operational Control</t>
        </is>
      </c>
      <c r="R1591" s="2" t="inlineStr">
        <is>
          <t>Energy and Utilities (EU)</t>
        </is>
      </c>
      <c r="S1591" s="2" t="inlineStr">
        <is>
          <t>Downer</t>
        </is>
      </c>
      <c r="T1591" s="2" t="n">
        <v>100</v>
      </c>
      <c r="W1591" s="2" t="inlineStr">
        <is>
          <t>Classification</t>
        </is>
      </c>
    </row>
    <row r="1592">
      <c r="A1592" s="2" t="inlineStr">
        <is>
          <t>Downer</t>
        </is>
      </c>
      <c r="B1592" s="2" t="inlineStr">
        <is>
          <t>Palmerston North - WM 231</t>
        </is>
      </c>
      <c r="C1592" s="2" t="inlineStr">
        <is>
          <t>Other</t>
        </is>
      </c>
      <c r="D1592" s="2" t="inlineStr">
        <is>
          <t>L9.DUN.60231</t>
        </is>
      </c>
      <c r="E1592" s="2" t="inlineStr">
        <is>
          <t>PG60231</t>
        </is>
      </c>
      <c r="H1592" s="2" t="inlineStr">
        <is>
          <t>130 Kerrs Road</t>
        </is>
      </c>
      <c r="I1592" s="2" t="inlineStr">
        <is>
          <t>Wiri</t>
        </is>
      </c>
      <c r="J1592" s="2" t="inlineStr">
        <is>
          <t>Auckland</t>
        </is>
      </c>
      <c r="K1592" s="2" t="n">
        <v>2104</v>
      </c>
      <c r="L1592" s="2" t="inlineStr">
        <is>
          <t>New Zealand</t>
        </is>
      </c>
      <c r="M1592" s="2" t="inlineStr">
        <is>
          <t>Manurewa</t>
        </is>
      </c>
      <c r="N1592" s="2" t="inlineStr">
        <is>
          <t>New Zealand</t>
        </is>
      </c>
      <c r="P1592" s="2" t="inlineStr">
        <is>
          <t>Operational Control</t>
        </is>
      </c>
      <c r="Q1592" s="2" t="inlineStr">
        <is>
          <t>Operational Control</t>
        </is>
      </c>
      <c r="R1592" s="2" t="inlineStr">
        <is>
          <t>Energy and Utilities (EU)</t>
        </is>
      </c>
      <c r="S1592" s="2" t="inlineStr">
        <is>
          <t>Downer</t>
        </is>
      </c>
      <c r="T1592" s="2" t="n">
        <v>100</v>
      </c>
      <c r="W1592" s="2" t="inlineStr">
        <is>
          <t>Classification</t>
        </is>
      </c>
      <c r="X1592" s="2" t="n">
        <v>-37.0083</v>
      </c>
      <c r="Y1592" s="2" t="n">
        <v>174.8705</v>
      </c>
    </row>
    <row r="1593">
      <c r="A1593" s="2" t="inlineStr">
        <is>
          <t>Downer</t>
        </is>
      </c>
      <c r="B1593" s="2" t="inlineStr">
        <is>
          <t>Palmerston North - WM 232</t>
        </is>
      </c>
      <c r="C1593" s="2" t="inlineStr">
        <is>
          <t>Other</t>
        </is>
      </c>
      <c r="D1593" s="2" t="inlineStr">
        <is>
          <t>L9.DUN.60232</t>
        </is>
      </c>
      <c r="E1593" s="2" t="inlineStr">
        <is>
          <t>PG60232</t>
        </is>
      </c>
      <c r="H1593" s="2" t="inlineStr">
        <is>
          <t>130 Kerrs Road</t>
        </is>
      </c>
      <c r="I1593" s="2" t="inlineStr">
        <is>
          <t>Wiri</t>
        </is>
      </c>
      <c r="J1593" s="2" t="inlineStr">
        <is>
          <t>Auckland</t>
        </is>
      </c>
      <c r="K1593" s="2" t="n">
        <v>2104</v>
      </c>
      <c r="L1593" s="2" t="inlineStr">
        <is>
          <t>New Zealand</t>
        </is>
      </c>
      <c r="M1593" s="2" t="inlineStr">
        <is>
          <t>Manurewa</t>
        </is>
      </c>
      <c r="N1593" s="2" t="inlineStr">
        <is>
          <t>New Zealand</t>
        </is>
      </c>
      <c r="P1593" s="2" t="inlineStr">
        <is>
          <t>Operational Control</t>
        </is>
      </c>
      <c r="Q1593" s="2" t="inlineStr">
        <is>
          <t>Operational Control</t>
        </is>
      </c>
      <c r="R1593" s="2" t="inlineStr">
        <is>
          <t>Energy and Utilities (EU)</t>
        </is>
      </c>
      <c r="S1593" s="2" t="inlineStr">
        <is>
          <t>Downer</t>
        </is>
      </c>
      <c r="T1593" s="2" t="n">
        <v>100</v>
      </c>
      <c r="W1593" s="2" t="inlineStr">
        <is>
          <t>Classification</t>
        </is>
      </c>
      <c r="X1593" s="2" t="n">
        <v>-37.0083</v>
      </c>
      <c r="Y1593" s="2" t="n">
        <v>174.8705</v>
      </c>
    </row>
    <row r="1594">
      <c r="A1594" s="2" t="inlineStr">
        <is>
          <t>Downer</t>
        </is>
      </c>
      <c r="B1594" s="2" t="inlineStr">
        <is>
          <t>Palmerston North (24 Ashford A</t>
        </is>
      </c>
      <c r="C1594" s="2" t="inlineStr">
        <is>
          <t>Other</t>
        </is>
      </c>
      <c r="D1594" s="2" t="inlineStr">
        <is>
          <t>L9.DNZJ.91742</t>
        </is>
      </c>
      <c r="E1594" s="2" t="n">
        <v>91742</v>
      </c>
      <c r="H1594" s="2" t="inlineStr">
        <is>
          <t>24 Ashford Avenue</t>
        </is>
      </c>
      <c r="I1594" s="2" t="inlineStr">
        <is>
          <t>Hokowhitu</t>
        </is>
      </c>
      <c r="J1594" s="2" t="inlineStr">
        <is>
          <t>Palmerston North</t>
        </is>
      </c>
      <c r="K1594" s="2" t="n">
        <v>4410</v>
      </c>
      <c r="L1594" s="2" t="inlineStr">
        <is>
          <t>New Zealand</t>
        </is>
      </c>
      <c r="M1594" s="2" t="inlineStr">
        <is>
          <t>Palmerston North</t>
        </is>
      </c>
      <c r="N1594" s="2" t="inlineStr">
        <is>
          <t>New Zealand</t>
        </is>
      </c>
      <c r="P1594" s="2" t="inlineStr">
        <is>
          <t>Operational Control</t>
        </is>
      </c>
      <c r="Q1594" s="2" t="inlineStr">
        <is>
          <t>Operational Control</t>
        </is>
      </c>
      <c r="R1594" s="2" t="inlineStr">
        <is>
          <t>Corporate</t>
        </is>
      </c>
      <c r="S1594" s="2" t="inlineStr">
        <is>
          <t>Downer</t>
        </is>
      </c>
      <c r="T1594" s="2" t="n">
        <v>100</v>
      </c>
      <c r="W1594" s="2" t="inlineStr">
        <is>
          <t>Classification</t>
        </is>
      </c>
      <c r="X1594" s="2" t="n">
        <v>-40.3655</v>
      </c>
      <c r="Y1594" s="2" t="n">
        <v>175.6375</v>
      </c>
      <c r="AB1594" s="11" t="n">
        <v>45473</v>
      </c>
    </row>
    <row r="1595">
      <c r="A1595" s="2" t="inlineStr">
        <is>
          <t>Downer</t>
        </is>
      </c>
      <c r="B1595" s="2" t="inlineStr">
        <is>
          <t>Palmerston North (3a Miles Pl)</t>
        </is>
      </c>
      <c r="C1595" s="2" t="inlineStr">
        <is>
          <t>Other</t>
        </is>
      </c>
      <c r="D1595" s="2" t="inlineStr">
        <is>
          <t>L9.DNZJ.91269</t>
        </is>
      </c>
      <c r="E1595" s="2" t="n">
        <v>91269</v>
      </c>
      <c r="H1595" s="2" t="inlineStr">
        <is>
          <t>3A Miles Place</t>
        </is>
      </c>
      <c r="I1595" s="2" t="inlineStr">
        <is>
          <t>Awapuni</t>
        </is>
      </c>
      <c r="J1595" s="2" t="inlineStr">
        <is>
          <t>Palmerston North</t>
        </is>
      </c>
      <c r="K1595" s="2" t="n">
        <v>4412</v>
      </c>
      <c r="L1595" s="2" t="inlineStr">
        <is>
          <t>New Zealand</t>
        </is>
      </c>
      <c r="M1595" s="2" t="inlineStr">
        <is>
          <t>Palmerston North</t>
        </is>
      </c>
      <c r="N1595" s="2" t="inlineStr">
        <is>
          <t>New Zealand</t>
        </is>
      </c>
      <c r="P1595" s="2" t="inlineStr">
        <is>
          <t>Operational Control</t>
        </is>
      </c>
      <c r="Q1595" s="2" t="inlineStr">
        <is>
          <t>Operational Control</t>
        </is>
      </c>
      <c r="R1595" s="2" t="inlineStr">
        <is>
          <t>Corporate</t>
        </is>
      </c>
      <c r="S1595" s="2" t="inlineStr">
        <is>
          <t>Downer</t>
        </is>
      </c>
      <c r="T1595" s="2" t="n">
        <v>100</v>
      </c>
      <c r="W1595" s="2" t="inlineStr">
        <is>
          <t>Classification</t>
        </is>
      </c>
      <c r="X1595" s="2" t="n">
        <v>-40.3737</v>
      </c>
      <c r="Y1595" s="2" t="n">
        <v>175.5911</v>
      </c>
      <c r="AB1595" s="11" t="n">
        <v>45473</v>
      </c>
    </row>
    <row r="1596">
      <c r="A1596" s="2" t="inlineStr">
        <is>
          <t>Downer</t>
        </is>
      </c>
      <c r="B1596" s="2" t="inlineStr">
        <is>
          <t>Palmerston North (572 Church S</t>
        </is>
      </c>
      <c r="C1596" s="2" t="inlineStr">
        <is>
          <t>Other</t>
        </is>
      </c>
      <c r="D1596" s="2" t="inlineStr">
        <is>
          <t>L9.DNZJ.91640</t>
        </is>
      </c>
      <c r="E1596" s="2" t="n">
        <v>91640</v>
      </c>
      <c r="H1596" s="2" t="inlineStr">
        <is>
          <t>572 Church Street</t>
        </is>
      </c>
      <c r="I1596" s="2" t="inlineStr">
        <is>
          <t>Terrace End</t>
        </is>
      </c>
      <c r="J1596" s="2" t="inlineStr">
        <is>
          <t>Palmerston North</t>
        </is>
      </c>
      <c r="K1596" s="2" t="n">
        <v>4410</v>
      </c>
      <c r="L1596" s="2" t="inlineStr">
        <is>
          <t>New Zealand</t>
        </is>
      </c>
      <c r="M1596" s="2" t="inlineStr">
        <is>
          <t>Palmerston North</t>
        </is>
      </c>
      <c r="N1596" s="2" t="inlineStr">
        <is>
          <t>New Zealand</t>
        </is>
      </c>
      <c r="P1596" s="2" t="inlineStr">
        <is>
          <t>Operational Control</t>
        </is>
      </c>
      <c r="Q1596" s="2" t="inlineStr">
        <is>
          <t>Operational Control</t>
        </is>
      </c>
      <c r="R1596" s="2" t="inlineStr">
        <is>
          <t>Corporate</t>
        </is>
      </c>
      <c r="S1596" s="2" t="inlineStr">
        <is>
          <t>Downer</t>
        </is>
      </c>
      <c r="T1596" s="2" t="n">
        <v>100</v>
      </c>
      <c r="W1596" s="2" t="inlineStr">
        <is>
          <t>Classification</t>
        </is>
      </c>
      <c r="X1596" s="2" t="n">
        <v>-40.3502</v>
      </c>
      <c r="Y1596" s="2" t="n">
        <v>175.6283</v>
      </c>
      <c r="AB1596" s="11" t="n">
        <v>45473</v>
      </c>
    </row>
    <row r="1597">
      <c r="A1597" s="2" t="inlineStr">
        <is>
          <t>Downer</t>
        </is>
      </c>
      <c r="B1597" s="2" t="inlineStr">
        <is>
          <t>Palmerston North (62 West Stre</t>
        </is>
      </c>
      <c r="C1597" s="2" t="inlineStr">
        <is>
          <t>Other</t>
        </is>
      </c>
      <c r="D1597" s="2" t="inlineStr">
        <is>
          <t>L9.DNZJ.91642</t>
        </is>
      </c>
      <c r="E1597" s="2" t="n">
        <v>91642</v>
      </c>
      <c r="H1597" s="2" t="inlineStr">
        <is>
          <t>62 West Street</t>
        </is>
      </c>
      <c r="I1597" s="2" t="inlineStr">
        <is>
          <t>West End</t>
        </is>
      </c>
      <c r="J1597" s="2" t="inlineStr">
        <is>
          <t>Palmerston North</t>
        </is>
      </c>
      <c r="K1597" s="2" t="n">
        <v>4412</v>
      </c>
      <c r="L1597" s="2" t="inlineStr">
        <is>
          <t>New Zealand</t>
        </is>
      </c>
      <c r="M1597" s="2" t="inlineStr">
        <is>
          <t>Palmerston North</t>
        </is>
      </c>
      <c r="N1597" s="2" t="inlineStr">
        <is>
          <t>New Zealand</t>
        </is>
      </c>
      <c r="P1597" s="2" t="inlineStr">
        <is>
          <t>Operational Control</t>
        </is>
      </c>
      <c r="Q1597" s="2" t="inlineStr">
        <is>
          <t>Operational Control</t>
        </is>
      </c>
      <c r="R1597" s="2" t="inlineStr">
        <is>
          <t>Corporate</t>
        </is>
      </c>
      <c r="S1597" s="2" t="inlineStr">
        <is>
          <t>Downer</t>
        </is>
      </c>
      <c r="T1597" s="2" t="n">
        <v>100</v>
      </c>
      <c r="W1597" s="2" t="inlineStr">
        <is>
          <t>Classification</t>
        </is>
      </c>
      <c r="X1597" s="2" t="n">
        <v>-40.3649</v>
      </c>
      <c r="Y1597" s="2" t="n">
        <v>175.601</v>
      </c>
      <c r="AB1597" s="11" t="n">
        <v>45473</v>
      </c>
    </row>
    <row r="1598">
      <c r="A1598" s="2" t="inlineStr">
        <is>
          <t>Downer</t>
        </is>
      </c>
      <c r="B1598" s="2" t="inlineStr">
        <is>
          <t>Palmerston North Area Manager</t>
        </is>
      </c>
      <c r="C1598" s="2" t="inlineStr">
        <is>
          <t>Other</t>
        </is>
      </c>
      <c r="D1598" s="2" t="inlineStr">
        <is>
          <t>L9.DUN.60230</t>
        </is>
      </c>
      <c r="E1598" s="2" t="inlineStr">
        <is>
          <t>PG60230</t>
        </is>
      </c>
      <c r="H1598" s="2" t="inlineStr">
        <is>
          <t>50 Mihaere Drive</t>
        </is>
      </c>
      <c r="I1598" s="2" t="inlineStr">
        <is>
          <t>Kelvin Grove</t>
        </is>
      </c>
      <c r="J1598" s="2" t="inlineStr">
        <is>
          <t>Palmerston North</t>
        </is>
      </c>
      <c r="K1598" s="2" t="n">
        <v>4414</v>
      </c>
      <c r="L1598" s="2" t="inlineStr">
        <is>
          <t>New Zealand</t>
        </is>
      </c>
      <c r="M1598" s="2" t="inlineStr">
        <is>
          <t>Palmerston North</t>
        </is>
      </c>
      <c r="N1598" s="2" t="inlineStr">
        <is>
          <t>New Zealand</t>
        </is>
      </c>
      <c r="P1598" s="2" t="inlineStr">
        <is>
          <t>Operational Control</t>
        </is>
      </c>
      <c r="Q1598" s="2" t="inlineStr">
        <is>
          <t>Operational Control</t>
        </is>
      </c>
      <c r="R1598" s="2" t="inlineStr">
        <is>
          <t>Energy and Utilities (EU)</t>
        </is>
      </c>
      <c r="S1598" s="2" t="inlineStr">
        <is>
          <t>Downer</t>
        </is>
      </c>
      <c r="T1598" s="2" t="n">
        <v>100</v>
      </c>
      <c r="W1598" s="2" t="inlineStr">
        <is>
          <t>Classification</t>
        </is>
      </c>
      <c r="X1598" s="2" t="n">
        <v>-40.3354</v>
      </c>
      <c r="Y1598" s="2" t="n">
        <v>175.6448</v>
      </c>
    </row>
    <row r="1599">
      <c r="A1599" s="2" t="inlineStr">
        <is>
          <t>Downer</t>
        </is>
      </c>
      <c r="B1599" s="2" t="inlineStr">
        <is>
          <t>Palmerston North Depot</t>
        </is>
      </c>
      <c r="C1599" s="2" t="inlineStr">
        <is>
          <t>Other</t>
        </is>
      </c>
      <c r="D1599" s="2" t="inlineStr">
        <is>
          <t>L9.DNZJ.55590</t>
        </is>
      </c>
      <c r="E1599" s="2" t="n">
        <v>55590</v>
      </c>
      <c r="H1599" s="2" t="inlineStr">
        <is>
          <t>5 Valor Drive</t>
        </is>
      </c>
      <c r="I1599" s="2" t="inlineStr">
        <is>
          <t>Milson</t>
        </is>
      </c>
      <c r="J1599" s="2" t="inlineStr">
        <is>
          <t>Palmerston North</t>
        </is>
      </c>
      <c r="K1599" s="2" t="n">
        <v>4478</v>
      </c>
      <c r="L1599" s="2" t="inlineStr">
        <is>
          <t>New Zealand</t>
        </is>
      </c>
      <c r="M1599" s="2" t="inlineStr">
        <is>
          <t>Palmerston North</t>
        </is>
      </c>
      <c r="N1599" s="2" t="inlineStr">
        <is>
          <t>New Zealand</t>
        </is>
      </c>
      <c r="P1599" s="2" t="inlineStr">
        <is>
          <t>Operational Control</t>
        </is>
      </c>
      <c r="Q1599" s="2" t="inlineStr">
        <is>
          <t>Operational Control</t>
        </is>
      </c>
      <c r="R1599" s="2" t="inlineStr">
        <is>
          <t>Transport &amp; Infrastructure (T&amp;I)</t>
        </is>
      </c>
      <c r="S1599" s="2" t="inlineStr">
        <is>
          <t>Downer</t>
        </is>
      </c>
      <c r="T1599" s="2" t="n">
        <v>100</v>
      </c>
      <c r="W1599" s="2" t="inlineStr">
        <is>
          <t>Classification</t>
        </is>
      </c>
      <c r="X1599" s="2" t="n">
        <v>-40.3148</v>
      </c>
      <c r="Y1599" s="2" t="n">
        <v>175.6233</v>
      </c>
    </row>
    <row r="1600">
      <c r="A1600" s="2" t="inlineStr">
        <is>
          <t>Downer</t>
        </is>
      </c>
      <c r="B1600" s="2" t="inlineStr">
        <is>
          <t>Palmerston North NGA</t>
        </is>
      </c>
      <c r="C1600" s="2" t="inlineStr">
        <is>
          <t>Other</t>
        </is>
      </c>
      <c r="D1600" s="2" t="inlineStr">
        <is>
          <t>L9.DNZ.810.10.113</t>
        </is>
      </c>
      <c r="E1600" s="2" t="n">
        <v>10113</v>
      </c>
      <c r="G1600" s="2" t="n">
        <v>10.113</v>
      </c>
      <c r="H1600" s="2" t="inlineStr">
        <is>
          <t>130 Kerrs Road</t>
        </is>
      </c>
      <c r="I1600" s="2" t="inlineStr">
        <is>
          <t>Wiri</t>
        </is>
      </c>
      <c r="J1600" s="2" t="inlineStr">
        <is>
          <t>Auckland</t>
        </is>
      </c>
      <c r="K1600" s="2" t="n">
        <v>2104</v>
      </c>
      <c r="L1600" s="2" t="inlineStr">
        <is>
          <t>New Zealand</t>
        </is>
      </c>
      <c r="M1600" s="2" t="inlineStr">
        <is>
          <t>Manurewa</t>
        </is>
      </c>
      <c r="N1600" s="2" t="inlineStr">
        <is>
          <t>New Zealand</t>
        </is>
      </c>
      <c r="P1600" s="2" t="inlineStr">
        <is>
          <t>Operational Control</t>
        </is>
      </c>
      <c r="Q1600" s="2" t="inlineStr">
        <is>
          <t>Operational Control</t>
        </is>
      </c>
      <c r="R1600" s="2" t="inlineStr">
        <is>
          <t>Energy and Utilities (EU)</t>
        </is>
      </c>
      <c r="S1600" s="2" t="inlineStr">
        <is>
          <t>Downer</t>
        </is>
      </c>
      <c r="T1600" s="2" t="n">
        <v>100</v>
      </c>
      <c r="W1600" s="2" t="inlineStr">
        <is>
          <t>Classification</t>
        </is>
      </c>
      <c r="X1600" s="2" t="n">
        <v>-37.0083</v>
      </c>
      <c r="Y1600" s="2" t="n">
        <v>174.8705</v>
      </c>
    </row>
    <row r="1601">
      <c r="A1601" s="2" t="inlineStr">
        <is>
          <t>Downer</t>
        </is>
      </c>
      <c r="B1601" s="2" t="inlineStr">
        <is>
          <t>Palmerston North Telco Ops</t>
        </is>
      </c>
      <c r="C1601" s="2" t="inlineStr">
        <is>
          <t>Other</t>
        </is>
      </c>
      <c r="D1601" s="2" t="inlineStr">
        <is>
          <t>L9.DNZ.810.10.161</t>
        </is>
      </c>
      <c r="E1601" s="2" t="n">
        <v>10161</v>
      </c>
      <c r="G1601" s="2" t="n">
        <v>10.161</v>
      </c>
      <c r="H1601" s="2" t="inlineStr">
        <is>
          <t>130 Kerrs Road</t>
        </is>
      </c>
      <c r="I1601" s="2" t="inlineStr">
        <is>
          <t>Wiri</t>
        </is>
      </c>
      <c r="J1601" s="2" t="inlineStr">
        <is>
          <t>Auckland</t>
        </is>
      </c>
      <c r="K1601" s="2" t="n">
        <v>2104</v>
      </c>
      <c r="L1601" s="2" t="inlineStr">
        <is>
          <t>New Zealand</t>
        </is>
      </c>
      <c r="M1601" s="2" t="inlineStr">
        <is>
          <t>Manurewa</t>
        </is>
      </c>
      <c r="N1601" s="2" t="inlineStr">
        <is>
          <t>New Zealand</t>
        </is>
      </c>
      <c r="P1601" s="2" t="inlineStr">
        <is>
          <t>Operational Control</t>
        </is>
      </c>
      <c r="Q1601" s="2" t="inlineStr">
        <is>
          <t>Operational Control</t>
        </is>
      </c>
      <c r="R1601" s="2" t="inlineStr">
        <is>
          <t>Energy and Utilities (EU)</t>
        </is>
      </c>
      <c r="S1601" s="2" t="inlineStr">
        <is>
          <t>Downer</t>
        </is>
      </c>
      <c r="T1601" s="2" t="n">
        <v>100</v>
      </c>
      <c r="W1601" s="2" t="inlineStr">
        <is>
          <t>Classification</t>
        </is>
      </c>
      <c r="X1601" s="2" t="n">
        <v>-37.0083</v>
      </c>
      <c r="Y1601" s="2" t="n">
        <v>174.8705</v>
      </c>
    </row>
    <row r="1602">
      <c r="A1602" s="2" t="inlineStr">
        <is>
          <t>Downer</t>
        </is>
      </c>
      <c r="B1602" s="2" t="inlineStr">
        <is>
          <t>Paving - Waikato</t>
        </is>
      </c>
      <c r="C1602" s="2" t="inlineStr">
        <is>
          <t>Other</t>
        </is>
      </c>
      <c r="D1602" s="2" t="inlineStr">
        <is>
          <t>L9.DNZJ.55403</t>
        </is>
      </c>
      <c r="E1602" s="2" t="n">
        <v>55403</v>
      </c>
      <c r="G1602" s="2" t="inlineStr">
        <is>
          <t>TI-NZT-55403 - Paving - Waikato</t>
        </is>
      </c>
      <c r="M1602" s="2" t="inlineStr">
        <is>
          <t>Waikato</t>
        </is>
      </c>
      <c r="N1602" s="2" t="inlineStr">
        <is>
          <t>New Zealand</t>
        </is>
      </c>
      <c r="P1602" s="2" t="inlineStr">
        <is>
          <t>Operational Control</t>
        </is>
      </c>
      <c r="Q1602" s="2" t="inlineStr">
        <is>
          <t>Operational Control</t>
        </is>
      </c>
      <c r="R1602" s="2" t="inlineStr">
        <is>
          <t>Transport &amp; Infrastructure (T&amp;I)</t>
        </is>
      </c>
      <c r="S1602" s="2" t="inlineStr">
        <is>
          <t>Downer</t>
        </is>
      </c>
      <c r="T1602" s="2" t="n">
        <v>100</v>
      </c>
      <c r="W1602" s="2" t="inlineStr">
        <is>
          <t>Classification</t>
        </is>
      </c>
    </row>
    <row r="1603">
      <c r="A1603" s="2" t="inlineStr">
        <is>
          <t>Downer</t>
        </is>
      </c>
      <c r="B1603" s="2" t="inlineStr">
        <is>
          <t>PB0202 - Cleaning NZ Ctrl Auckland</t>
        </is>
      </c>
      <c r="C1603" s="2" t="inlineStr">
        <is>
          <t>Other</t>
        </is>
      </c>
      <c r="D1603" s="2" t="inlineStr">
        <is>
          <t>L9.S.26007390</t>
        </is>
      </c>
      <c r="E1603" s="2" t="n">
        <v>2000000470</v>
      </c>
      <c r="H1603" s="2" t="inlineStr">
        <is>
          <t>130 Kerrs Road</t>
        </is>
      </c>
      <c r="I1603" s="2" t="inlineStr">
        <is>
          <t>Wiri</t>
        </is>
      </c>
      <c r="J1603" s="2" t="inlineStr">
        <is>
          <t>Auckland</t>
        </is>
      </c>
      <c r="K1603" s="2" t="n">
        <v>2104</v>
      </c>
      <c r="L1603" s="2" t="inlineStr">
        <is>
          <t>New Zealand</t>
        </is>
      </c>
      <c r="M1603" s="2" t="inlineStr">
        <is>
          <t>Manurewa</t>
        </is>
      </c>
      <c r="N1603" s="2" t="inlineStr">
        <is>
          <t>New Zealand</t>
        </is>
      </c>
      <c r="P1603" s="2" t="inlineStr">
        <is>
          <t>Operational Control</t>
        </is>
      </c>
      <c r="Q1603" s="2" t="inlineStr">
        <is>
          <t>Operational Control</t>
        </is>
      </c>
      <c r="R1603" s="2" t="inlineStr">
        <is>
          <t>Social Infra &amp; Citizen Serv (SICS)</t>
        </is>
      </c>
      <c r="S1603" s="2" t="inlineStr">
        <is>
          <t>Downer</t>
        </is>
      </c>
      <c r="T1603" s="2" t="n">
        <v>100</v>
      </c>
      <c r="W1603" s="2" t="inlineStr">
        <is>
          <t>Classification</t>
        </is>
      </c>
      <c r="X1603" s="2" t="n">
        <v>-37.0083</v>
      </c>
      <c r="Y1603" s="2" t="n">
        <v>174.8705</v>
      </c>
    </row>
    <row r="1604">
      <c r="A1604" s="2" t="inlineStr">
        <is>
          <t>Downer</t>
        </is>
      </c>
      <c r="B1604" s="2" t="inlineStr">
        <is>
          <t>PC0201 - Cleaning NZ Central Otago</t>
        </is>
      </c>
      <c r="C1604" s="2" t="inlineStr">
        <is>
          <t>Other</t>
        </is>
      </c>
      <c r="D1604" s="2" t="inlineStr">
        <is>
          <t>L9.S.23000180</t>
        </is>
      </c>
      <c r="E1604" s="2" t="n">
        <v>2000000220</v>
      </c>
      <c r="H1604" s="2" t="inlineStr">
        <is>
          <t>130 Kerrs Road</t>
        </is>
      </c>
      <c r="I1604" s="2" t="inlineStr">
        <is>
          <t>Wiri</t>
        </is>
      </c>
      <c r="J1604" s="2" t="inlineStr">
        <is>
          <t>Auckland</t>
        </is>
      </c>
      <c r="K1604" s="2" t="n">
        <v>2104</v>
      </c>
      <c r="L1604" s="2" t="inlineStr">
        <is>
          <t>New Zealand</t>
        </is>
      </c>
      <c r="M1604" s="2" t="inlineStr">
        <is>
          <t>Manurewa</t>
        </is>
      </c>
      <c r="N1604" s="2" t="inlineStr">
        <is>
          <t>New Zealand</t>
        </is>
      </c>
      <c r="P1604" s="2" t="inlineStr">
        <is>
          <t>Operational Control</t>
        </is>
      </c>
      <c r="Q1604" s="2" t="inlineStr">
        <is>
          <t>Operational Control</t>
        </is>
      </c>
      <c r="R1604" s="2" t="inlineStr">
        <is>
          <t>Social Infra &amp; Citizen Serv (SICS)</t>
        </is>
      </c>
      <c r="S1604" s="2" t="inlineStr">
        <is>
          <t>Downer</t>
        </is>
      </c>
      <c r="T1604" s="2" t="n">
        <v>100</v>
      </c>
      <c r="W1604" s="2" t="inlineStr">
        <is>
          <t>Classification</t>
        </is>
      </c>
      <c r="X1604" s="2" t="n">
        <v>-37.0083</v>
      </c>
      <c r="Y1604" s="2" t="n">
        <v>174.8705</v>
      </c>
    </row>
    <row r="1605">
      <c r="A1605" s="2" t="inlineStr">
        <is>
          <t>Downer</t>
        </is>
      </c>
      <c r="B1605" s="2" t="inlineStr">
        <is>
          <t>PC0201 - Cleaning NZ Christchurch1</t>
        </is>
      </c>
      <c r="C1605" s="2" t="inlineStr">
        <is>
          <t>Other</t>
        </is>
      </c>
      <c r="D1605" s="2" t="inlineStr">
        <is>
          <t>L9.S.26001700</t>
        </is>
      </c>
      <c r="E1605" s="2" t="n">
        <v>2000000100</v>
      </c>
      <c r="H1605" s="2" t="inlineStr">
        <is>
          <t>130 Kerrs Road</t>
        </is>
      </c>
      <c r="I1605" s="2" t="inlineStr">
        <is>
          <t>Wiri</t>
        </is>
      </c>
      <c r="J1605" s="2" t="inlineStr">
        <is>
          <t>Auckland</t>
        </is>
      </c>
      <c r="K1605" s="2" t="n">
        <v>2104</v>
      </c>
      <c r="L1605" s="2" t="inlineStr">
        <is>
          <t>New Zealand</t>
        </is>
      </c>
      <c r="M1605" s="2" t="inlineStr">
        <is>
          <t>Manurewa</t>
        </is>
      </c>
      <c r="N1605" s="2" t="inlineStr">
        <is>
          <t>New Zealand</t>
        </is>
      </c>
      <c r="P1605" s="2" t="inlineStr">
        <is>
          <t>Operational Control</t>
        </is>
      </c>
      <c r="Q1605" s="2" t="inlineStr">
        <is>
          <t>Operational Control</t>
        </is>
      </c>
      <c r="R1605" s="2" t="inlineStr">
        <is>
          <t>Social Infra &amp; Citizen Serv (SICS)</t>
        </is>
      </c>
      <c r="S1605" s="2" t="inlineStr">
        <is>
          <t>Downer</t>
        </is>
      </c>
      <c r="T1605" s="2" t="n">
        <v>100</v>
      </c>
      <c r="W1605" s="2" t="inlineStr">
        <is>
          <t>Classification</t>
        </is>
      </c>
      <c r="X1605" s="2" t="n">
        <v>-37.0083</v>
      </c>
      <c r="Y1605" s="2" t="n">
        <v>174.8705</v>
      </c>
    </row>
    <row r="1606">
      <c r="A1606" s="2" t="inlineStr">
        <is>
          <t>Downer</t>
        </is>
      </c>
      <c r="B1606" s="2" t="inlineStr">
        <is>
          <t>PC0201 - Cleaning NZ Dunedin Management</t>
        </is>
      </c>
      <c r="C1606" s="2" t="inlineStr">
        <is>
          <t>Other</t>
        </is>
      </c>
      <c r="D1606" s="2" t="inlineStr">
        <is>
          <t>L9.S.23000270</t>
        </is>
      </c>
      <c r="E1606" s="2" t="n">
        <v>2000000300</v>
      </c>
      <c r="H1606" s="2" t="inlineStr">
        <is>
          <t>130 Kerrs Road</t>
        </is>
      </c>
      <c r="I1606" s="2" t="inlineStr">
        <is>
          <t>Wiri</t>
        </is>
      </c>
      <c r="J1606" s="2" t="inlineStr">
        <is>
          <t>Auckland</t>
        </is>
      </c>
      <c r="K1606" s="2" t="n">
        <v>2104</v>
      </c>
      <c r="L1606" s="2" t="inlineStr">
        <is>
          <t>New Zealand</t>
        </is>
      </c>
      <c r="M1606" s="2" t="inlineStr">
        <is>
          <t>Manurewa</t>
        </is>
      </c>
      <c r="N1606" s="2" t="inlineStr">
        <is>
          <t>New Zealand</t>
        </is>
      </c>
      <c r="P1606" s="2" t="inlineStr">
        <is>
          <t>Operational Control</t>
        </is>
      </c>
      <c r="Q1606" s="2" t="inlineStr">
        <is>
          <t>Operational Control</t>
        </is>
      </c>
      <c r="R1606" s="2" t="inlineStr">
        <is>
          <t>Social Infra &amp; Citizen Serv (SICS)</t>
        </is>
      </c>
      <c r="S1606" s="2" t="inlineStr">
        <is>
          <t>Downer</t>
        </is>
      </c>
      <c r="T1606" s="2" t="n">
        <v>100</v>
      </c>
      <c r="W1606" s="2" t="inlineStr">
        <is>
          <t>Classification</t>
        </is>
      </c>
      <c r="X1606" s="2" t="n">
        <v>-37.0083</v>
      </c>
      <c r="Y1606" s="2" t="n">
        <v>174.8705</v>
      </c>
    </row>
    <row r="1607">
      <c r="A1607" s="2" t="inlineStr">
        <is>
          <t>Downer</t>
        </is>
      </c>
      <c r="B1607" s="2" t="inlineStr">
        <is>
          <t>PC0201 - Cleaning NZ Dunedin4</t>
        </is>
      </c>
      <c r="C1607" s="2" t="inlineStr">
        <is>
          <t>Other</t>
        </is>
      </c>
      <c r="D1607" s="2" t="inlineStr">
        <is>
          <t>L9.S.23000250</t>
        </is>
      </c>
      <c r="E1607" s="2" t="n">
        <v>2000000280</v>
      </c>
      <c r="F1607" s="2" t="n">
        <v>2000000280</v>
      </c>
      <c r="M1607" s="2" t="inlineStr">
        <is>
          <t>Manurewa</t>
        </is>
      </c>
      <c r="N1607" s="2" t="inlineStr">
        <is>
          <t>New Zealand</t>
        </is>
      </c>
      <c r="P1607" s="2" t="inlineStr">
        <is>
          <t>Operational Control</t>
        </is>
      </c>
      <c r="Q1607" s="2" t="inlineStr">
        <is>
          <t>Operational Control</t>
        </is>
      </c>
      <c r="R1607" s="2" t="inlineStr">
        <is>
          <t>Social Infra &amp; Citizen Serv (SICS)</t>
        </is>
      </c>
      <c r="S1607" s="2" t="inlineStr">
        <is>
          <t>Downer</t>
        </is>
      </c>
      <c r="T1607" s="2" t="n">
        <v>100</v>
      </c>
      <c r="W1607" s="2" t="inlineStr">
        <is>
          <t>Classification</t>
        </is>
      </c>
    </row>
    <row r="1608">
      <c r="A1608" s="2" t="inlineStr">
        <is>
          <t>Downer</t>
        </is>
      </c>
      <c r="B1608" s="2" t="inlineStr">
        <is>
          <t>PC0201 - Cleaning NZ Invcargll Managemen</t>
        </is>
      </c>
      <c r="C1608" s="2" t="inlineStr">
        <is>
          <t>Other</t>
        </is>
      </c>
      <c r="D1608" s="2" t="inlineStr">
        <is>
          <t>L9.S.26019486</t>
        </is>
      </c>
      <c r="E1608" s="2" t="n">
        <v>2000000350</v>
      </c>
      <c r="H1608" s="2" t="inlineStr">
        <is>
          <t>130 Kerrs Road</t>
        </is>
      </c>
      <c r="I1608" s="2" t="inlineStr">
        <is>
          <t>Wiri</t>
        </is>
      </c>
      <c r="J1608" s="2" t="inlineStr">
        <is>
          <t>Auckland</t>
        </is>
      </c>
      <c r="K1608" s="2" t="n">
        <v>2104</v>
      </c>
      <c r="L1608" s="2" t="inlineStr">
        <is>
          <t>New Zealand</t>
        </is>
      </c>
      <c r="M1608" s="2" t="inlineStr">
        <is>
          <t>Manurewa</t>
        </is>
      </c>
      <c r="N1608" s="2" t="inlineStr">
        <is>
          <t>New Zealand</t>
        </is>
      </c>
      <c r="P1608" s="2" t="inlineStr">
        <is>
          <t>Operational Control</t>
        </is>
      </c>
      <c r="Q1608" s="2" t="inlineStr">
        <is>
          <t>Operational Control</t>
        </is>
      </c>
      <c r="R1608" s="2" t="inlineStr">
        <is>
          <t>Social Infra &amp; Citizen Serv (SICS)</t>
        </is>
      </c>
      <c r="S1608" s="2" t="inlineStr">
        <is>
          <t>Downer</t>
        </is>
      </c>
      <c r="T1608" s="2" t="n">
        <v>100</v>
      </c>
      <c r="W1608" s="2" t="inlineStr">
        <is>
          <t>Classification</t>
        </is>
      </c>
      <c r="X1608" s="2" t="n">
        <v>-37.0083</v>
      </c>
      <c r="Y1608" s="2" t="n">
        <v>174.8705</v>
      </c>
    </row>
    <row r="1609">
      <c r="A1609" s="2" t="inlineStr">
        <is>
          <t>Downer</t>
        </is>
      </c>
      <c r="B1609" s="2" t="inlineStr">
        <is>
          <t>PC0201 - Cleaning NZ Nelson2</t>
        </is>
      </c>
      <c r="C1609" s="2" t="inlineStr">
        <is>
          <t>Other</t>
        </is>
      </c>
      <c r="D1609" s="2" t="inlineStr">
        <is>
          <t>L9.S.26000740</t>
        </is>
      </c>
      <c r="E1609" s="2" t="n">
        <v>2000000020</v>
      </c>
      <c r="H1609" s="2" t="inlineStr">
        <is>
          <t>130 Kerrs Road</t>
        </is>
      </c>
      <c r="I1609" s="2" t="inlineStr">
        <is>
          <t>Wiri</t>
        </is>
      </c>
      <c r="J1609" s="2" t="inlineStr">
        <is>
          <t>Auckland</t>
        </is>
      </c>
      <c r="K1609" s="2" t="n">
        <v>2104</v>
      </c>
      <c r="L1609" s="2" t="inlineStr">
        <is>
          <t>New Zealand</t>
        </is>
      </c>
      <c r="M1609" s="2" t="inlineStr">
        <is>
          <t>Manurewa</t>
        </is>
      </c>
      <c r="N1609" s="2" t="inlineStr">
        <is>
          <t>New Zealand</t>
        </is>
      </c>
      <c r="P1609" s="2" t="inlineStr">
        <is>
          <t>Operational Control</t>
        </is>
      </c>
      <c r="Q1609" s="2" t="inlineStr">
        <is>
          <t>Operational Control</t>
        </is>
      </c>
      <c r="R1609" s="2" t="inlineStr">
        <is>
          <t>Social Infra &amp; Citizen Serv (SICS)</t>
        </is>
      </c>
      <c r="S1609" s="2" t="inlineStr">
        <is>
          <t>Downer</t>
        </is>
      </c>
      <c r="T1609" s="2" t="n">
        <v>100</v>
      </c>
      <c r="W1609" s="2" t="inlineStr">
        <is>
          <t>Classification</t>
        </is>
      </c>
      <c r="X1609" s="2" t="n">
        <v>-37.0083</v>
      </c>
      <c r="Y1609" s="2" t="n">
        <v>174.8705</v>
      </c>
    </row>
    <row r="1610">
      <c r="A1610" s="2" t="inlineStr">
        <is>
          <t>Downer</t>
        </is>
      </c>
      <c r="B1610" s="2" t="inlineStr">
        <is>
          <t>PC0201 - Cleaning NZ Timaru</t>
        </is>
      </c>
      <c r="C1610" s="2" t="inlineStr">
        <is>
          <t>Other</t>
        </is>
      </c>
      <c r="D1610" s="2" t="inlineStr">
        <is>
          <t>L9.S.26003470</t>
        </is>
      </c>
      <c r="E1610" s="2" t="n">
        <v>2000000200</v>
      </c>
      <c r="H1610" s="2" t="inlineStr">
        <is>
          <t>130 Kerrs Road</t>
        </is>
      </c>
      <c r="I1610" s="2" t="inlineStr">
        <is>
          <t>Wiri</t>
        </is>
      </c>
      <c r="J1610" s="2" t="inlineStr">
        <is>
          <t>Auckland</t>
        </is>
      </c>
      <c r="K1610" s="2" t="n">
        <v>2104</v>
      </c>
      <c r="L1610" s="2" t="inlineStr">
        <is>
          <t>New Zealand</t>
        </is>
      </c>
      <c r="M1610" s="2" t="inlineStr">
        <is>
          <t>Manurewa</t>
        </is>
      </c>
      <c r="N1610" s="2" t="inlineStr">
        <is>
          <t>New Zealand</t>
        </is>
      </c>
      <c r="P1610" s="2" t="inlineStr">
        <is>
          <t>Operational Control</t>
        </is>
      </c>
      <c r="Q1610" s="2" t="inlineStr">
        <is>
          <t>Operational Control</t>
        </is>
      </c>
      <c r="R1610" s="2" t="inlineStr">
        <is>
          <t>Social Infra &amp; Citizen Serv (SICS)</t>
        </is>
      </c>
      <c r="S1610" s="2" t="inlineStr">
        <is>
          <t>Downer</t>
        </is>
      </c>
      <c r="T1610" s="2" t="n">
        <v>100</v>
      </c>
      <c r="W1610" s="2" t="inlineStr">
        <is>
          <t>Classification</t>
        </is>
      </c>
      <c r="X1610" s="2" t="n">
        <v>-37.0083</v>
      </c>
      <c r="Y1610" s="2" t="n">
        <v>174.8705</v>
      </c>
    </row>
    <row r="1611">
      <c r="A1611" s="2" t="inlineStr">
        <is>
          <t>Downer</t>
        </is>
      </c>
      <c r="B1611" s="2" t="inlineStr">
        <is>
          <t>PC0201 - Cleaning NZ West Coast</t>
        </is>
      </c>
      <c r="C1611" s="2" t="inlineStr">
        <is>
          <t>Other</t>
        </is>
      </c>
      <c r="D1611" s="2" t="inlineStr">
        <is>
          <t>L9.S.26002660</t>
        </is>
      </c>
      <c r="E1611" s="2" t="n">
        <v>2000000180</v>
      </c>
      <c r="G1611" s="2" t="inlineStr">
        <is>
          <t>Confirmed from Krishna Patten, this project belongs to SI-NZF-26002660 - Downer West Coast.</t>
        </is>
      </c>
      <c r="M1611" s="2" t="inlineStr">
        <is>
          <t>West Coast</t>
        </is>
      </c>
      <c r="N1611" s="2" t="inlineStr">
        <is>
          <t>New Zealand</t>
        </is>
      </c>
      <c r="P1611" s="2" t="inlineStr">
        <is>
          <t>Operational Control</t>
        </is>
      </c>
      <c r="Q1611" s="2" t="inlineStr">
        <is>
          <t>Operational Control</t>
        </is>
      </c>
      <c r="R1611" s="2" t="inlineStr">
        <is>
          <t>Social Infra &amp; Citizen Serv (SICS)</t>
        </is>
      </c>
      <c r="S1611" s="2" t="inlineStr">
        <is>
          <t>Downer</t>
        </is>
      </c>
      <c r="T1611" s="2" t="n">
        <v>100</v>
      </c>
      <c r="W1611" s="2" t="inlineStr">
        <is>
          <t>Classification</t>
        </is>
      </c>
    </row>
    <row r="1612">
      <c r="A1612" s="2" t="inlineStr">
        <is>
          <t>Downer</t>
        </is>
      </c>
      <c r="B1612" s="2" t="inlineStr">
        <is>
          <t>PC0202 - Cleaning NZ Gisborne</t>
        </is>
      </c>
      <c r="C1612" s="2" t="inlineStr">
        <is>
          <t>Other</t>
        </is>
      </c>
      <c r="D1612" s="2" t="inlineStr">
        <is>
          <t>L9.S.26011910</t>
        </is>
      </c>
      <c r="E1612" s="2" t="n">
        <v>2000000680</v>
      </c>
      <c r="H1612" s="2" t="inlineStr">
        <is>
          <t>130 Kerrs Road</t>
        </is>
      </c>
      <c r="I1612" s="2" t="inlineStr">
        <is>
          <t>Wiri</t>
        </is>
      </c>
      <c r="J1612" s="2" t="inlineStr">
        <is>
          <t>Auckland</t>
        </is>
      </c>
      <c r="K1612" s="2" t="n">
        <v>2104</v>
      </c>
      <c r="L1612" s="2" t="inlineStr">
        <is>
          <t>New Zealand</t>
        </is>
      </c>
      <c r="M1612" s="2" t="inlineStr">
        <is>
          <t>Manurewa</t>
        </is>
      </c>
      <c r="N1612" s="2" t="inlineStr">
        <is>
          <t>New Zealand</t>
        </is>
      </c>
      <c r="P1612" s="2" t="inlineStr">
        <is>
          <t>Operational Control</t>
        </is>
      </c>
      <c r="Q1612" s="2" t="inlineStr">
        <is>
          <t>Operational Control</t>
        </is>
      </c>
      <c r="R1612" s="2" t="inlineStr">
        <is>
          <t>Social Infra &amp; Citizen Serv (SICS)</t>
        </is>
      </c>
      <c r="S1612" s="2" t="inlineStr">
        <is>
          <t>Downer</t>
        </is>
      </c>
      <c r="T1612" s="2" t="n">
        <v>100</v>
      </c>
      <c r="W1612" s="2" t="inlineStr">
        <is>
          <t>Classification</t>
        </is>
      </c>
      <c r="X1612" s="2" t="n">
        <v>-37.0083</v>
      </c>
      <c r="Y1612" s="2" t="n">
        <v>174.8705</v>
      </c>
    </row>
    <row r="1613">
      <c r="A1613" s="2" t="inlineStr">
        <is>
          <t>Downer</t>
        </is>
      </c>
      <c r="B1613" s="2" t="inlineStr">
        <is>
          <t>PC0202 - Cleaning NZ Hamilton1</t>
        </is>
      </c>
      <c r="C1613" s="2" t="inlineStr">
        <is>
          <t>Other</t>
        </is>
      </c>
      <c r="D1613" s="2" t="inlineStr">
        <is>
          <t>L9.S.26008880</t>
        </is>
      </c>
      <c r="E1613" s="2" t="n">
        <v>2000000550</v>
      </c>
      <c r="H1613" s="2" t="inlineStr">
        <is>
          <t>130 Kerrs Road</t>
        </is>
      </c>
      <c r="I1613" s="2" t="inlineStr">
        <is>
          <t>Wiri</t>
        </is>
      </c>
      <c r="J1613" s="2" t="inlineStr">
        <is>
          <t>Auckland</t>
        </is>
      </c>
      <c r="K1613" s="2" t="n">
        <v>2104</v>
      </c>
      <c r="L1613" s="2" t="inlineStr">
        <is>
          <t>New Zealand</t>
        </is>
      </c>
      <c r="M1613" s="2" t="inlineStr">
        <is>
          <t>Manurewa</t>
        </is>
      </c>
      <c r="N1613" s="2" t="inlineStr">
        <is>
          <t>New Zealand</t>
        </is>
      </c>
      <c r="P1613" s="2" t="inlineStr">
        <is>
          <t>Operational Control</t>
        </is>
      </c>
      <c r="Q1613" s="2" t="inlineStr">
        <is>
          <t>Operational Control</t>
        </is>
      </c>
      <c r="R1613" s="2" t="inlineStr">
        <is>
          <t>Social Infra &amp; Citizen Serv (SICS)</t>
        </is>
      </c>
      <c r="S1613" s="2" t="inlineStr">
        <is>
          <t>Downer</t>
        </is>
      </c>
      <c r="T1613" s="2" t="n">
        <v>100</v>
      </c>
      <c r="W1613" s="2" t="inlineStr">
        <is>
          <t>Classification</t>
        </is>
      </c>
      <c r="X1613" s="2" t="n">
        <v>-37.0083</v>
      </c>
      <c r="Y1613" s="2" t="n">
        <v>174.8705</v>
      </c>
    </row>
    <row r="1614">
      <c r="A1614" s="2" t="inlineStr">
        <is>
          <t>Downer</t>
        </is>
      </c>
      <c r="B1614" s="2" t="inlineStr">
        <is>
          <t>PC0202 - Cleaning NZ Hawkes Bay</t>
        </is>
      </c>
      <c r="C1614" s="2" t="inlineStr">
        <is>
          <t>Other</t>
        </is>
      </c>
      <c r="D1614" s="2" t="inlineStr">
        <is>
          <t>L9.S.26012560</t>
        </is>
      </c>
      <c r="E1614" s="2" t="n">
        <v>2000000690</v>
      </c>
      <c r="H1614" s="2" t="inlineStr">
        <is>
          <t>130 Kerrs Road</t>
        </is>
      </c>
      <c r="I1614" s="2" t="inlineStr">
        <is>
          <t>Wiri</t>
        </is>
      </c>
      <c r="J1614" s="2" t="inlineStr">
        <is>
          <t>Auckland</t>
        </is>
      </c>
      <c r="K1614" s="2" t="n">
        <v>2104</v>
      </c>
      <c r="L1614" s="2" t="inlineStr">
        <is>
          <t>New Zealand</t>
        </is>
      </c>
      <c r="M1614" s="2" t="inlineStr">
        <is>
          <t>Manurewa</t>
        </is>
      </c>
      <c r="N1614" s="2" t="inlineStr">
        <is>
          <t>New Zealand</t>
        </is>
      </c>
      <c r="P1614" s="2" t="inlineStr">
        <is>
          <t>Operational Control</t>
        </is>
      </c>
      <c r="Q1614" s="2" t="inlineStr">
        <is>
          <t>Operational Control</t>
        </is>
      </c>
      <c r="R1614" s="2" t="inlineStr">
        <is>
          <t>Social Infra &amp; Citizen Serv (SICS)</t>
        </is>
      </c>
      <c r="S1614" s="2" t="inlineStr">
        <is>
          <t>Downer</t>
        </is>
      </c>
      <c r="T1614" s="2" t="n">
        <v>100</v>
      </c>
      <c r="W1614" s="2" t="inlineStr">
        <is>
          <t>Classification</t>
        </is>
      </c>
      <c r="X1614" s="2" t="n">
        <v>-37.0083</v>
      </c>
      <c r="Y1614" s="2" t="n">
        <v>174.8705</v>
      </c>
    </row>
    <row r="1615">
      <c r="A1615" s="2" t="inlineStr">
        <is>
          <t>Downer</t>
        </is>
      </c>
      <c r="B1615" s="2" t="inlineStr">
        <is>
          <t>PC0202 - Cleaning NZ Palmerston</t>
        </is>
      </c>
      <c r="C1615" s="2" t="inlineStr">
        <is>
          <t>Other</t>
        </is>
      </c>
      <c r="D1615" s="2" t="inlineStr">
        <is>
          <t>L9.S.26013450</t>
        </is>
      </c>
      <c r="E1615" s="2" t="n">
        <v>2000000720</v>
      </c>
      <c r="H1615" s="2" t="inlineStr">
        <is>
          <t>130 Kerrs Road</t>
        </is>
      </c>
      <c r="I1615" s="2" t="inlineStr">
        <is>
          <t>Wiri</t>
        </is>
      </c>
      <c r="J1615" s="2" t="inlineStr">
        <is>
          <t>Auckland</t>
        </is>
      </c>
      <c r="K1615" s="2" t="n">
        <v>2104</v>
      </c>
      <c r="L1615" s="2" t="inlineStr">
        <is>
          <t>New Zealand</t>
        </is>
      </c>
      <c r="M1615" s="2" t="inlineStr">
        <is>
          <t>Manurewa</t>
        </is>
      </c>
      <c r="N1615" s="2" t="inlineStr">
        <is>
          <t>New Zealand</t>
        </is>
      </c>
      <c r="P1615" s="2" t="inlineStr">
        <is>
          <t>Operational Control</t>
        </is>
      </c>
      <c r="Q1615" s="2" t="inlineStr">
        <is>
          <t>Operational Control</t>
        </is>
      </c>
      <c r="R1615" s="2" t="inlineStr">
        <is>
          <t>Social Infra &amp; Citizen Serv (SICS)</t>
        </is>
      </c>
      <c r="S1615" s="2" t="inlineStr">
        <is>
          <t>Downer</t>
        </is>
      </c>
      <c r="T1615" s="2" t="n">
        <v>100</v>
      </c>
      <c r="W1615" s="2" t="inlineStr">
        <is>
          <t>Classification</t>
        </is>
      </c>
      <c r="X1615" s="2" t="n">
        <v>-37.0083</v>
      </c>
      <c r="Y1615" s="2" t="n">
        <v>174.8705</v>
      </c>
    </row>
    <row r="1616">
      <c r="A1616" s="2" t="inlineStr">
        <is>
          <t>Downer</t>
        </is>
      </c>
      <c r="B1616" s="2" t="inlineStr">
        <is>
          <t>PC0202 - Cleaning NZ Taranaki</t>
        </is>
      </c>
      <c r="C1616" s="2" t="inlineStr">
        <is>
          <t>Other</t>
        </is>
      </c>
      <c r="D1616" s="2" t="inlineStr">
        <is>
          <t>L9.S.26018535</t>
        </is>
      </c>
      <c r="E1616" s="2" t="inlineStr">
        <is>
          <t>L9.S.26018535</t>
        </is>
      </c>
      <c r="M1616" s="2" t="inlineStr">
        <is>
          <t>Taranaki</t>
        </is>
      </c>
      <c r="N1616" s="2" t="inlineStr">
        <is>
          <t>New Zealand</t>
        </is>
      </c>
      <c r="P1616" s="2" t="inlineStr">
        <is>
          <t>Operational Control</t>
        </is>
      </c>
      <c r="Q1616" s="2" t="inlineStr">
        <is>
          <t>Operational Control</t>
        </is>
      </c>
      <c r="R1616" s="2" t="inlineStr">
        <is>
          <t>Social Infra &amp; Citizen Serv (SICS)</t>
        </is>
      </c>
      <c r="S1616" s="2" t="inlineStr">
        <is>
          <t>Downer</t>
        </is>
      </c>
      <c r="T1616" s="2" t="n">
        <v>100</v>
      </c>
      <c r="W1616" s="2" t="inlineStr">
        <is>
          <t>Classification</t>
        </is>
      </c>
    </row>
    <row r="1617">
      <c r="A1617" s="2" t="inlineStr">
        <is>
          <t>Downer</t>
        </is>
      </c>
      <c r="B1617" s="2" t="inlineStr">
        <is>
          <t>PC0202 - Cleaning NZ Tauranga</t>
        </is>
      </c>
      <c r="C1617" s="2" t="inlineStr">
        <is>
          <t>Other</t>
        </is>
      </c>
      <c r="D1617" s="2" t="inlineStr">
        <is>
          <t>L9.S.26010610</t>
        </is>
      </c>
      <c r="E1617" s="2" t="n">
        <v>2000000650</v>
      </c>
      <c r="H1617" s="2" t="inlineStr">
        <is>
          <t>130 Kerrs Road</t>
        </is>
      </c>
      <c r="I1617" s="2" t="inlineStr">
        <is>
          <t>Wiri</t>
        </is>
      </c>
      <c r="J1617" s="2" t="inlineStr">
        <is>
          <t>Auckland</t>
        </is>
      </c>
      <c r="K1617" s="2" t="n">
        <v>2104</v>
      </c>
      <c r="L1617" s="2" t="inlineStr">
        <is>
          <t>New Zealand</t>
        </is>
      </c>
      <c r="M1617" s="2" t="inlineStr">
        <is>
          <t>Manurewa</t>
        </is>
      </c>
      <c r="N1617" s="2" t="inlineStr">
        <is>
          <t>New Zealand</t>
        </is>
      </c>
      <c r="P1617" s="2" t="inlineStr">
        <is>
          <t>Operational Control</t>
        </is>
      </c>
      <c r="Q1617" s="2" t="inlineStr">
        <is>
          <t>Operational Control</t>
        </is>
      </c>
      <c r="R1617" s="2" t="inlineStr">
        <is>
          <t>Social Infra &amp; Citizen Serv (SICS)</t>
        </is>
      </c>
      <c r="S1617" s="2" t="inlineStr">
        <is>
          <t>Downer</t>
        </is>
      </c>
      <c r="T1617" s="2" t="n">
        <v>100</v>
      </c>
      <c r="W1617" s="2" t="inlineStr">
        <is>
          <t>Classification</t>
        </is>
      </c>
      <c r="X1617" s="2" t="n">
        <v>-37.0083</v>
      </c>
      <c r="Y1617" s="2" t="n">
        <v>174.8705</v>
      </c>
    </row>
    <row r="1618">
      <c r="A1618" s="2" t="inlineStr">
        <is>
          <t>Downer</t>
        </is>
      </c>
      <c r="B1618" s="2" t="inlineStr">
        <is>
          <t>PC0202 - Cleaning NZ Welington Managemen</t>
        </is>
      </c>
      <c r="C1618" s="2" t="inlineStr">
        <is>
          <t>Other</t>
        </is>
      </c>
      <c r="D1618" s="2" t="inlineStr">
        <is>
          <t>L9.S.26016560</t>
        </is>
      </c>
      <c r="E1618" s="2" t="n">
        <v>2000000860</v>
      </c>
      <c r="H1618" s="2" t="inlineStr">
        <is>
          <t>130 Kerrs Road</t>
        </is>
      </c>
      <c r="I1618" s="2" t="inlineStr">
        <is>
          <t>Wiri</t>
        </is>
      </c>
      <c r="J1618" s="2" t="inlineStr">
        <is>
          <t>Auckland</t>
        </is>
      </c>
      <c r="K1618" s="2" t="n">
        <v>2104</v>
      </c>
      <c r="L1618" s="2" t="inlineStr">
        <is>
          <t>New Zealand</t>
        </is>
      </c>
      <c r="M1618" s="2" t="inlineStr">
        <is>
          <t>Manurewa</t>
        </is>
      </c>
      <c r="N1618" s="2" t="inlineStr">
        <is>
          <t>New Zealand</t>
        </is>
      </c>
      <c r="P1618" s="2" t="inlineStr">
        <is>
          <t>Operational Control</t>
        </is>
      </c>
      <c r="Q1618" s="2" t="inlineStr">
        <is>
          <t>Operational Control</t>
        </is>
      </c>
      <c r="R1618" s="2" t="inlineStr">
        <is>
          <t>Social Infra &amp; Citizen Serv (SICS)</t>
        </is>
      </c>
      <c r="S1618" s="2" t="inlineStr">
        <is>
          <t>Downer</t>
        </is>
      </c>
      <c r="T1618" s="2" t="n">
        <v>100</v>
      </c>
      <c r="W1618" s="2" t="inlineStr">
        <is>
          <t>Classification</t>
        </is>
      </c>
      <c r="X1618" s="2" t="n">
        <v>-37.0083</v>
      </c>
      <c r="Y1618" s="2" t="n">
        <v>174.8705</v>
      </c>
    </row>
    <row r="1619">
      <c r="A1619" s="2" t="inlineStr">
        <is>
          <t>Downer</t>
        </is>
      </c>
      <c r="B1619" s="2" t="inlineStr">
        <is>
          <t>PC0202 - Cleaning NZ Whakatane</t>
        </is>
      </c>
      <c r="C1619" s="2" t="inlineStr">
        <is>
          <t>Other</t>
        </is>
      </c>
      <c r="D1619" s="2" t="inlineStr">
        <is>
          <t>L9.S.26010640</t>
        </is>
      </c>
      <c r="E1619" s="2" t="n">
        <v>2000000660</v>
      </c>
      <c r="H1619" s="2" t="inlineStr">
        <is>
          <t>130 Kerrs Road</t>
        </is>
      </c>
      <c r="I1619" s="2" t="inlineStr">
        <is>
          <t>Wiri</t>
        </is>
      </c>
      <c r="J1619" s="2" t="inlineStr">
        <is>
          <t>Auckland</t>
        </is>
      </c>
      <c r="K1619" s="2" t="n">
        <v>2104</v>
      </c>
      <c r="L1619" s="2" t="inlineStr">
        <is>
          <t>New Zealand</t>
        </is>
      </c>
      <c r="M1619" s="2" t="inlineStr">
        <is>
          <t>Manurewa</t>
        </is>
      </c>
      <c r="N1619" s="2" t="inlineStr">
        <is>
          <t>New Zealand</t>
        </is>
      </c>
      <c r="P1619" s="2" t="inlineStr">
        <is>
          <t>Operational Control</t>
        </is>
      </c>
      <c r="Q1619" s="2" t="inlineStr">
        <is>
          <t>Operational Control</t>
        </is>
      </c>
      <c r="R1619" s="2" t="inlineStr">
        <is>
          <t>Social Infra &amp; Citizen Serv (SICS)</t>
        </is>
      </c>
      <c r="S1619" s="2" t="inlineStr">
        <is>
          <t>Downer</t>
        </is>
      </c>
      <c r="T1619" s="2" t="n">
        <v>100</v>
      </c>
      <c r="W1619" s="2" t="inlineStr">
        <is>
          <t>Classification</t>
        </is>
      </c>
      <c r="X1619" s="2" t="n">
        <v>-37.0083</v>
      </c>
      <c r="Y1619" s="2" t="n">
        <v>174.8705</v>
      </c>
    </row>
    <row r="1620">
      <c r="A1620" s="2" t="inlineStr">
        <is>
          <t>Downer</t>
        </is>
      </c>
      <c r="B1620" s="2" t="inlineStr">
        <is>
          <t>PC0202 - Cleaning NZ Whangarei</t>
        </is>
      </c>
      <c r="C1620" s="2" t="inlineStr">
        <is>
          <t>Other</t>
        </is>
      </c>
      <c r="D1620" s="2" t="inlineStr">
        <is>
          <t>L9.S.26006860</t>
        </is>
      </c>
      <c r="E1620" s="2" t="n">
        <v>2000000390</v>
      </c>
      <c r="H1620" s="2" t="inlineStr">
        <is>
          <t>130 Kerrs Road</t>
        </is>
      </c>
      <c r="I1620" s="2" t="inlineStr">
        <is>
          <t>Wiri</t>
        </is>
      </c>
      <c r="J1620" s="2" t="inlineStr">
        <is>
          <t>Auckland</t>
        </is>
      </c>
      <c r="K1620" s="2" t="n">
        <v>2104</v>
      </c>
      <c r="L1620" s="2" t="inlineStr">
        <is>
          <t>New Zealand</t>
        </is>
      </c>
      <c r="M1620" s="2" t="inlineStr">
        <is>
          <t>Manurewa</t>
        </is>
      </c>
      <c r="N1620" s="2" t="inlineStr">
        <is>
          <t>New Zealand</t>
        </is>
      </c>
      <c r="P1620" s="2" t="inlineStr">
        <is>
          <t>Operational Control</t>
        </is>
      </c>
      <c r="Q1620" s="2" t="inlineStr">
        <is>
          <t>Operational Control</t>
        </is>
      </c>
      <c r="R1620" s="2" t="inlineStr">
        <is>
          <t>Social Infra &amp; Citizen Serv (SICS)</t>
        </is>
      </c>
      <c r="S1620" s="2" t="inlineStr">
        <is>
          <t>Downer</t>
        </is>
      </c>
      <c r="T1620" s="2" t="n">
        <v>100</v>
      </c>
      <c r="W1620" s="2" t="inlineStr">
        <is>
          <t>Classification</t>
        </is>
      </c>
      <c r="X1620" s="2" t="n">
        <v>-37.0083</v>
      </c>
      <c r="Y1620" s="2" t="n">
        <v>174.8705</v>
      </c>
    </row>
    <row r="1621">
      <c r="A1621" s="2" t="inlineStr">
        <is>
          <t>Downer</t>
        </is>
      </c>
      <c r="B1621" s="2" t="inlineStr">
        <is>
          <t>PCONW Whanganui Lines - Direct</t>
        </is>
      </c>
      <c r="C1621" s="2" t="inlineStr">
        <is>
          <t>Other</t>
        </is>
      </c>
      <c r="D1621" s="2" t="inlineStr">
        <is>
          <t>L9.DUN.85413</t>
        </is>
      </c>
      <c r="E1621" s="2" t="inlineStr">
        <is>
          <t>PG40222</t>
        </is>
      </c>
      <c r="M1621" s="2" t="inlineStr">
        <is>
          <t>Manurewa</t>
        </is>
      </c>
      <c r="N1621" s="2" t="inlineStr">
        <is>
          <t>New Zealand</t>
        </is>
      </c>
      <c r="P1621" s="2" t="inlineStr">
        <is>
          <t>Operational Control</t>
        </is>
      </c>
      <c r="Q1621" s="2" t="inlineStr">
        <is>
          <t>Operational Control</t>
        </is>
      </c>
      <c r="R1621" s="2" t="inlineStr">
        <is>
          <t>Energy and Utilities (EU)</t>
        </is>
      </c>
      <c r="S1621" s="2" t="inlineStr">
        <is>
          <t>Downer</t>
        </is>
      </c>
      <c r="T1621" s="2" t="n">
        <v>100</v>
      </c>
      <c r="W1621" s="2" t="inlineStr">
        <is>
          <t>Classification</t>
        </is>
      </c>
    </row>
    <row r="1622">
      <c r="A1622" s="2" t="inlineStr">
        <is>
          <t>Downer</t>
        </is>
      </c>
      <c r="B1622" s="2" t="inlineStr">
        <is>
          <t>Peacockes Project</t>
        </is>
      </c>
      <c r="C1622" s="2" t="inlineStr">
        <is>
          <t>Other</t>
        </is>
      </c>
      <c r="D1622" s="2" t="inlineStr">
        <is>
          <t>L9.DNZJ.352405</t>
        </is>
      </c>
      <c r="E1622" s="2" t="n">
        <v>352405</v>
      </c>
      <c r="F1622" s="2" t="n">
        <v>352405</v>
      </c>
      <c r="M1622" s="2" t="inlineStr">
        <is>
          <t>Auckland</t>
        </is>
      </c>
      <c r="N1622" s="2" t="inlineStr">
        <is>
          <t>New Zealand</t>
        </is>
      </c>
      <c r="P1622" s="2" t="inlineStr">
        <is>
          <t>Operational Control</t>
        </is>
      </c>
      <c r="Q1622" s="2" t="inlineStr">
        <is>
          <t>Operational Control</t>
        </is>
      </c>
      <c r="R1622" s="2" t="inlineStr">
        <is>
          <t>Transport &amp; Infrastructure (T&amp;I)</t>
        </is>
      </c>
      <c r="S1622" s="2" t="inlineStr">
        <is>
          <t>Downer</t>
        </is>
      </c>
      <c r="T1622" s="2" t="n">
        <v>100</v>
      </c>
      <c r="W1622" s="2" t="inlineStr">
        <is>
          <t>Classification</t>
        </is>
      </c>
    </row>
    <row r="1623">
      <c r="A1623" s="2" t="inlineStr">
        <is>
          <t>Downer</t>
        </is>
      </c>
      <c r="B1623" s="2" t="inlineStr">
        <is>
          <t>Penrose Depot</t>
        </is>
      </c>
      <c r="C1623" s="2" t="inlineStr">
        <is>
          <t>Other</t>
        </is>
      </c>
      <c r="D1623" s="2" t="inlineStr">
        <is>
          <t>L9.DNZJ.55530</t>
        </is>
      </c>
      <c r="E1623" s="2" t="n">
        <v>55530</v>
      </c>
      <c r="H1623" s="2" t="inlineStr">
        <is>
          <t>645 Great South Road</t>
        </is>
      </c>
      <c r="I1623" s="2" t="inlineStr">
        <is>
          <t>Penrose</t>
        </is>
      </c>
      <c r="J1623" s="2" t="inlineStr">
        <is>
          <t>Auckland</t>
        </is>
      </c>
      <c r="K1623" s="2" t="n">
        <v>1061</v>
      </c>
      <c r="L1623" s="2" t="inlineStr">
        <is>
          <t>New Zealand</t>
        </is>
      </c>
      <c r="M1623" s="2" t="inlineStr">
        <is>
          <t>Panmure</t>
        </is>
      </c>
      <c r="N1623" s="2" t="inlineStr">
        <is>
          <t>New Zealand</t>
        </is>
      </c>
      <c r="P1623" s="2" t="inlineStr">
        <is>
          <t>Operational Control</t>
        </is>
      </c>
      <c r="Q1623" s="2" t="inlineStr">
        <is>
          <t>Operational Control</t>
        </is>
      </c>
      <c r="R1623" s="2" t="inlineStr">
        <is>
          <t>Transport &amp; Infrastructure (T&amp;I)</t>
        </is>
      </c>
      <c r="S1623" s="2" t="inlineStr">
        <is>
          <t>Downer</t>
        </is>
      </c>
      <c r="T1623" s="2" t="n">
        <v>100</v>
      </c>
      <c r="W1623" s="2" t="inlineStr">
        <is>
          <t>Classification</t>
        </is>
      </c>
      <c r="X1623" s="2" t="n">
        <v>-36.9149</v>
      </c>
      <c r="Y1623" s="2" t="n">
        <v>174.8212</v>
      </c>
    </row>
    <row r="1624">
      <c r="A1624" s="2" t="inlineStr">
        <is>
          <t>Downer</t>
        </is>
      </c>
      <c r="B1624" s="2" t="inlineStr">
        <is>
          <t>People - AC Stormwater North</t>
        </is>
      </c>
      <c r="C1624" s="2" t="inlineStr">
        <is>
          <t>Other</t>
        </is>
      </c>
      <c r="D1624" s="2" t="inlineStr">
        <is>
          <t>L9.DNZJ.56703</t>
        </is>
      </c>
      <c r="E1624" s="2" t="n">
        <v>56703</v>
      </c>
      <c r="H1624" s="2" t="inlineStr">
        <is>
          <t>130 Kerrs Road</t>
        </is>
      </c>
      <c r="I1624" s="2" t="inlineStr">
        <is>
          <t>Wiri</t>
        </is>
      </c>
      <c r="J1624" s="2" t="inlineStr">
        <is>
          <t>Auckland</t>
        </is>
      </c>
      <c r="K1624" s="2" t="n">
        <v>2104</v>
      </c>
      <c r="L1624" s="2" t="inlineStr">
        <is>
          <t>New Zealand</t>
        </is>
      </c>
      <c r="M1624" s="2" t="inlineStr">
        <is>
          <t>Manurewa</t>
        </is>
      </c>
      <c r="N1624" s="2" t="inlineStr">
        <is>
          <t>New Zealand</t>
        </is>
      </c>
      <c r="P1624" s="2" t="inlineStr">
        <is>
          <t>Operational Control</t>
        </is>
      </c>
      <c r="Q1624" s="2" t="inlineStr">
        <is>
          <t>Operational Control</t>
        </is>
      </c>
      <c r="R1624" s="2" t="inlineStr">
        <is>
          <t>Energy and Utilities (EU)</t>
        </is>
      </c>
      <c r="S1624" s="2" t="inlineStr">
        <is>
          <t>Downer</t>
        </is>
      </c>
      <c r="T1624" s="2" t="n">
        <v>100</v>
      </c>
      <c r="W1624" s="2" t="inlineStr">
        <is>
          <t>Classification</t>
        </is>
      </c>
      <c r="X1624" s="2" t="n">
        <v>-37.0083</v>
      </c>
      <c r="Y1624" s="2" t="n">
        <v>174.8705</v>
      </c>
    </row>
    <row r="1625">
      <c r="A1625" s="2" t="inlineStr">
        <is>
          <t>Downer</t>
        </is>
      </c>
      <c r="B1625" s="2" t="inlineStr">
        <is>
          <t>People - Automation Nth Is.</t>
        </is>
      </c>
      <c r="C1625" s="2" t="inlineStr">
        <is>
          <t>Other</t>
        </is>
      </c>
      <c r="D1625" s="2" t="inlineStr">
        <is>
          <t>L9.DNZJ.56719</t>
        </is>
      </c>
      <c r="E1625" s="2" t="n">
        <v>56719</v>
      </c>
      <c r="H1625" s="2" t="inlineStr">
        <is>
          <t>130 Kerrs Road</t>
        </is>
      </c>
      <c r="I1625" s="2" t="inlineStr">
        <is>
          <t>Wiri</t>
        </is>
      </c>
      <c r="J1625" s="2" t="inlineStr">
        <is>
          <t>Auckland</t>
        </is>
      </c>
      <c r="K1625" s="2" t="n">
        <v>2104</v>
      </c>
      <c r="L1625" s="2" t="inlineStr">
        <is>
          <t>New Zealand</t>
        </is>
      </c>
      <c r="M1625" s="2" t="inlineStr">
        <is>
          <t>Manurewa</t>
        </is>
      </c>
      <c r="N1625" s="2" t="inlineStr">
        <is>
          <t>New Zealand</t>
        </is>
      </c>
      <c r="P1625" s="2" t="inlineStr">
        <is>
          <t>Operational Control</t>
        </is>
      </c>
      <c r="Q1625" s="2" t="inlineStr">
        <is>
          <t>Operational Control</t>
        </is>
      </c>
      <c r="R1625" s="2" t="inlineStr">
        <is>
          <t>Energy and Utilities (EU)</t>
        </is>
      </c>
      <c r="S1625" s="2" t="inlineStr">
        <is>
          <t>Downer</t>
        </is>
      </c>
      <c r="T1625" s="2" t="n">
        <v>100</v>
      </c>
      <c r="W1625" s="2" t="inlineStr">
        <is>
          <t>Classification</t>
        </is>
      </c>
      <c r="X1625" s="2" t="n">
        <v>-37.0083</v>
      </c>
      <c r="Y1625" s="2" t="n">
        <v>174.8705</v>
      </c>
    </row>
    <row r="1626">
      <c r="A1626" s="2" t="inlineStr">
        <is>
          <t>Downer</t>
        </is>
      </c>
      <c r="B1626" s="2" t="inlineStr">
        <is>
          <t>People - Automation Sth Is.</t>
        </is>
      </c>
      <c r="C1626" s="2" t="inlineStr">
        <is>
          <t>Other</t>
        </is>
      </c>
      <c r="D1626" s="2" t="inlineStr">
        <is>
          <t>L9.DNZJ.56720</t>
        </is>
      </c>
      <c r="E1626" s="2" t="n">
        <v>56720</v>
      </c>
      <c r="H1626" s="2" t="inlineStr">
        <is>
          <t>130 Kerrs Road</t>
        </is>
      </c>
      <c r="I1626" s="2" t="inlineStr">
        <is>
          <t>Wiri</t>
        </is>
      </c>
      <c r="J1626" s="2" t="inlineStr">
        <is>
          <t>Auckland</t>
        </is>
      </c>
      <c r="K1626" s="2" t="n">
        <v>2104</v>
      </c>
      <c r="L1626" s="2" t="inlineStr">
        <is>
          <t>New Zealand</t>
        </is>
      </c>
      <c r="M1626" s="2" t="inlineStr">
        <is>
          <t>Manurewa</t>
        </is>
      </c>
      <c r="N1626" s="2" t="inlineStr">
        <is>
          <t>New Zealand</t>
        </is>
      </c>
      <c r="P1626" s="2" t="inlineStr">
        <is>
          <t>Operational Control</t>
        </is>
      </c>
      <c r="Q1626" s="2" t="inlineStr">
        <is>
          <t>Operational Control</t>
        </is>
      </c>
      <c r="R1626" s="2" t="inlineStr">
        <is>
          <t>Energy and Utilities (EU)</t>
        </is>
      </c>
      <c r="S1626" s="2" t="inlineStr">
        <is>
          <t>Downer</t>
        </is>
      </c>
      <c r="T1626" s="2" t="n">
        <v>100</v>
      </c>
      <c r="W1626" s="2" t="inlineStr">
        <is>
          <t>Classification</t>
        </is>
      </c>
      <c r="X1626" s="2" t="n">
        <v>-37.0083</v>
      </c>
      <c r="Y1626" s="2" t="n">
        <v>174.8705</v>
      </c>
    </row>
    <row r="1627">
      <c r="A1627" s="2" t="inlineStr">
        <is>
          <t>Downer</t>
        </is>
      </c>
      <c r="B1627" s="2" t="inlineStr">
        <is>
          <t>People - Const. Canterbury/WTC</t>
        </is>
      </c>
      <c r="C1627" s="2" t="inlineStr">
        <is>
          <t>Other</t>
        </is>
      </c>
      <c r="D1627" s="2" t="inlineStr">
        <is>
          <t>L9.DNZJ.56747</t>
        </is>
      </c>
      <c r="E1627" s="2" t="n">
        <v>56747</v>
      </c>
      <c r="H1627" s="2" t="inlineStr">
        <is>
          <t>130 Kerrs Road</t>
        </is>
      </c>
      <c r="I1627" s="2" t="inlineStr">
        <is>
          <t>Wiri</t>
        </is>
      </c>
      <c r="J1627" s="2" t="inlineStr">
        <is>
          <t>Auckland</t>
        </is>
      </c>
      <c r="K1627" s="2" t="n">
        <v>2104</v>
      </c>
      <c r="L1627" s="2" t="inlineStr">
        <is>
          <t>New Zealand</t>
        </is>
      </c>
      <c r="M1627" s="2" t="inlineStr">
        <is>
          <t>Manurewa</t>
        </is>
      </c>
      <c r="N1627" s="2" t="inlineStr">
        <is>
          <t>New Zealand</t>
        </is>
      </c>
      <c r="P1627" s="2" t="inlineStr">
        <is>
          <t>Operational Control</t>
        </is>
      </c>
      <c r="Q1627" s="2" t="inlineStr">
        <is>
          <t>Operational Control</t>
        </is>
      </c>
      <c r="R1627" s="2" t="inlineStr">
        <is>
          <t>Energy and Utilities (EU)</t>
        </is>
      </c>
      <c r="S1627" s="2" t="inlineStr">
        <is>
          <t>Downer</t>
        </is>
      </c>
      <c r="T1627" s="2" t="n">
        <v>100</v>
      </c>
      <c r="W1627" s="2" t="inlineStr">
        <is>
          <t>Classification</t>
        </is>
      </c>
      <c r="X1627" s="2" t="n">
        <v>-37.0083</v>
      </c>
      <c r="Y1627" s="2" t="n">
        <v>174.8705</v>
      </c>
    </row>
    <row r="1628">
      <c r="A1628" s="2" t="inlineStr">
        <is>
          <t>Downer</t>
        </is>
      </c>
      <c r="B1628" s="2" t="inlineStr">
        <is>
          <t>People - Const. Otago/Southlnd</t>
        </is>
      </c>
      <c r="C1628" s="2" t="inlineStr">
        <is>
          <t>Other</t>
        </is>
      </c>
      <c r="D1628" s="2" t="inlineStr">
        <is>
          <t>L9.DNZJ.56746</t>
        </is>
      </c>
      <c r="E1628" s="2" t="n">
        <v>56746</v>
      </c>
      <c r="H1628" s="2" t="inlineStr">
        <is>
          <t>130 Kerrs Road</t>
        </is>
      </c>
      <c r="I1628" s="2" t="inlineStr">
        <is>
          <t>Wiri</t>
        </is>
      </c>
      <c r="J1628" s="2" t="inlineStr">
        <is>
          <t>Auckland</t>
        </is>
      </c>
      <c r="K1628" s="2" t="n">
        <v>2104</v>
      </c>
      <c r="L1628" s="2" t="inlineStr">
        <is>
          <t>New Zealand</t>
        </is>
      </c>
      <c r="M1628" s="2" t="inlineStr">
        <is>
          <t>Manurewa</t>
        </is>
      </c>
      <c r="N1628" s="2" t="inlineStr">
        <is>
          <t>New Zealand</t>
        </is>
      </c>
      <c r="P1628" s="2" t="inlineStr">
        <is>
          <t>Operational Control</t>
        </is>
      </c>
      <c r="Q1628" s="2" t="inlineStr">
        <is>
          <t>Operational Control</t>
        </is>
      </c>
      <c r="R1628" s="2" t="inlineStr">
        <is>
          <t>Energy and Utilities (EU)</t>
        </is>
      </c>
      <c r="S1628" s="2" t="inlineStr">
        <is>
          <t>Downer</t>
        </is>
      </c>
      <c r="T1628" s="2" t="n">
        <v>100</v>
      </c>
      <c r="W1628" s="2" t="inlineStr">
        <is>
          <t>Classification</t>
        </is>
      </c>
      <c r="X1628" s="2" t="n">
        <v>-37.0083</v>
      </c>
      <c r="Y1628" s="2" t="n">
        <v>174.8705</v>
      </c>
    </row>
    <row r="1629">
      <c r="A1629" s="2" t="inlineStr">
        <is>
          <t>Downer</t>
        </is>
      </c>
      <c r="B1629" s="2" t="inlineStr">
        <is>
          <t>People - Const. Otago/Southlnd EU Subcontractors</t>
        </is>
      </c>
      <c r="C1629" s="2" t="inlineStr">
        <is>
          <t>Other</t>
        </is>
      </c>
      <c r="D1629" s="2" t="inlineStr">
        <is>
          <t>L9.DNZJ.56746</t>
        </is>
      </c>
      <c r="E1629" s="2" t="inlineStr">
        <is>
          <t>L9.DNZJ.56746</t>
        </is>
      </c>
      <c r="M1629" s="2" t="inlineStr">
        <is>
          <t>Auckland City</t>
        </is>
      </c>
      <c r="N1629" s="2" t="inlineStr">
        <is>
          <t>New Zealand</t>
        </is>
      </c>
      <c r="P1629" s="2" t="inlineStr">
        <is>
          <t>Operational Control</t>
        </is>
      </c>
      <c r="Q1629" s="2" t="inlineStr">
        <is>
          <t>Operational Control</t>
        </is>
      </c>
      <c r="R1629" s="2" t="inlineStr">
        <is>
          <t>Energy and Utilities (EU)</t>
        </is>
      </c>
      <c r="S1629" s="2" t="inlineStr">
        <is>
          <t>Downer</t>
        </is>
      </c>
      <c r="T1629" s="2" t="n">
        <v>100</v>
      </c>
      <c r="W1629" s="2" t="inlineStr">
        <is>
          <t>Classification</t>
        </is>
      </c>
    </row>
    <row r="1630">
      <c r="A1630" s="2" t="inlineStr">
        <is>
          <t>Downer</t>
        </is>
      </c>
      <c r="B1630" s="2" t="inlineStr">
        <is>
          <t>People - Cranes Auckland</t>
        </is>
      </c>
      <c r="C1630" s="2" t="inlineStr">
        <is>
          <t>Other</t>
        </is>
      </c>
      <c r="D1630" s="2" t="inlineStr">
        <is>
          <t>L9.DNZJ.54745</t>
        </is>
      </c>
      <c r="E1630" s="2" t="n">
        <v>54745</v>
      </c>
      <c r="G1630" s="2" t="inlineStr">
        <is>
          <t>TI-NZT-54745 - People - Cranes Auckland</t>
        </is>
      </c>
      <c r="M1630" s="2" t="inlineStr">
        <is>
          <t>Auckland City</t>
        </is>
      </c>
      <c r="N1630" s="2" t="inlineStr">
        <is>
          <t>New Zealand</t>
        </is>
      </c>
      <c r="P1630" s="2" t="inlineStr">
        <is>
          <t>Operational Control</t>
        </is>
      </c>
      <c r="Q1630" s="2" t="inlineStr">
        <is>
          <t>Operational Control</t>
        </is>
      </c>
      <c r="R1630" s="2" t="inlineStr">
        <is>
          <t>Transport &amp; Infrastructure (T&amp;I)</t>
        </is>
      </c>
      <c r="S1630" s="2" t="inlineStr">
        <is>
          <t>Downer</t>
        </is>
      </c>
      <c r="T1630" s="2" t="n">
        <v>100</v>
      </c>
      <c r="W1630" s="2" t="inlineStr">
        <is>
          <t>Classification</t>
        </is>
      </c>
    </row>
    <row r="1631">
      <c r="A1631" s="2" t="inlineStr">
        <is>
          <t>Downer</t>
        </is>
      </c>
      <c r="B1631" s="2" t="inlineStr">
        <is>
          <t>People - Engineering Services</t>
        </is>
      </c>
      <c r="C1631" s="2" t="inlineStr">
        <is>
          <t>Other</t>
        </is>
      </c>
      <c r="D1631" s="2" t="inlineStr">
        <is>
          <t>L9.DNZJ.56751</t>
        </is>
      </c>
      <c r="E1631" s="2" t="n">
        <v>56751</v>
      </c>
      <c r="H1631" s="2" t="inlineStr">
        <is>
          <t>130 Kerrs Road</t>
        </is>
      </c>
      <c r="I1631" s="2" t="inlineStr">
        <is>
          <t>Wiri</t>
        </is>
      </c>
      <c r="J1631" s="2" t="inlineStr">
        <is>
          <t>Auckland</t>
        </is>
      </c>
      <c r="K1631" s="2" t="n">
        <v>2104</v>
      </c>
      <c r="L1631" s="2" t="inlineStr">
        <is>
          <t>New Zealand</t>
        </is>
      </c>
      <c r="M1631" s="2" t="inlineStr">
        <is>
          <t>Manurewa</t>
        </is>
      </c>
      <c r="N1631" s="2" t="inlineStr">
        <is>
          <t>New Zealand</t>
        </is>
      </c>
      <c r="P1631" s="2" t="inlineStr">
        <is>
          <t>Operational Control</t>
        </is>
      </c>
      <c r="Q1631" s="2" t="inlineStr">
        <is>
          <t>Operational Control</t>
        </is>
      </c>
      <c r="R1631" s="2" t="inlineStr">
        <is>
          <t>Energy and Utilities (EU)</t>
        </is>
      </c>
      <c r="S1631" s="2" t="inlineStr">
        <is>
          <t>Downer</t>
        </is>
      </c>
      <c r="T1631" s="2" t="n">
        <v>100</v>
      </c>
      <c r="W1631" s="2" t="inlineStr">
        <is>
          <t>Classification</t>
        </is>
      </c>
      <c r="X1631" s="2" t="n">
        <v>-37.0083</v>
      </c>
      <c r="Y1631" s="2" t="n">
        <v>174.8705</v>
      </c>
    </row>
    <row r="1632">
      <c r="A1632" s="2" t="inlineStr">
        <is>
          <t>Downer</t>
        </is>
      </c>
      <c r="B1632" s="2" t="inlineStr">
        <is>
          <t>People - ICC Piped Network Mtn</t>
        </is>
      </c>
      <c r="C1632" s="2" t="inlineStr">
        <is>
          <t>Other</t>
        </is>
      </c>
      <c r="D1632" s="2" t="inlineStr">
        <is>
          <t>L9.DNZJ.56718</t>
        </is>
      </c>
      <c r="E1632" s="2" t="n">
        <v>56718</v>
      </c>
      <c r="H1632" s="2" t="inlineStr">
        <is>
          <t>130 Kerrs Road</t>
        </is>
      </c>
      <c r="I1632" s="2" t="inlineStr">
        <is>
          <t>Wiri</t>
        </is>
      </c>
      <c r="J1632" s="2" t="inlineStr">
        <is>
          <t>Auckland</t>
        </is>
      </c>
      <c r="K1632" s="2" t="n">
        <v>2104</v>
      </c>
      <c r="L1632" s="2" t="inlineStr">
        <is>
          <t>New Zealand</t>
        </is>
      </c>
      <c r="M1632" s="2" t="inlineStr">
        <is>
          <t>Manurewa</t>
        </is>
      </c>
      <c r="N1632" s="2" t="inlineStr">
        <is>
          <t>New Zealand</t>
        </is>
      </c>
      <c r="P1632" s="2" t="inlineStr">
        <is>
          <t>Operational Control</t>
        </is>
      </c>
      <c r="Q1632" s="2" t="inlineStr">
        <is>
          <t>Operational Control</t>
        </is>
      </c>
      <c r="R1632" s="2" t="inlineStr">
        <is>
          <t>Energy and Utilities (EU)</t>
        </is>
      </c>
      <c r="S1632" s="2" t="inlineStr">
        <is>
          <t>Downer</t>
        </is>
      </c>
      <c r="T1632" s="2" t="n">
        <v>100</v>
      </c>
      <c r="W1632" s="2" t="inlineStr">
        <is>
          <t>Classification</t>
        </is>
      </c>
      <c r="X1632" s="2" t="n">
        <v>-37.0083</v>
      </c>
      <c r="Y1632" s="2" t="n">
        <v>174.8705</v>
      </c>
    </row>
    <row r="1633">
      <c r="A1633" s="2" t="inlineStr">
        <is>
          <t>Downer</t>
        </is>
      </c>
      <c r="B1633" s="2" t="inlineStr">
        <is>
          <t>People - Kaipara</t>
        </is>
      </c>
      <c r="C1633" s="2" t="inlineStr">
        <is>
          <t>Other</t>
        </is>
      </c>
      <c r="D1633" s="2" t="inlineStr">
        <is>
          <t>L9.DNZJ.56702</t>
        </is>
      </c>
      <c r="E1633" s="2" t="n">
        <v>56702</v>
      </c>
      <c r="M1633" s="2" t="inlineStr">
        <is>
          <t>Manurewa</t>
        </is>
      </c>
      <c r="N1633" s="2" t="inlineStr">
        <is>
          <t>New Zealand</t>
        </is>
      </c>
      <c r="P1633" s="2" t="inlineStr">
        <is>
          <t>Operational Control</t>
        </is>
      </c>
      <c r="Q1633" s="2" t="inlineStr">
        <is>
          <t>Operational Control</t>
        </is>
      </c>
      <c r="R1633" s="2" t="inlineStr">
        <is>
          <t>Energy and Utilities (EU)</t>
        </is>
      </c>
      <c r="S1633" s="2" t="inlineStr">
        <is>
          <t>Downer</t>
        </is>
      </c>
      <c r="T1633" s="2" t="n">
        <v>100</v>
      </c>
      <c r="W1633" s="2" t="inlineStr">
        <is>
          <t>Classification</t>
        </is>
      </c>
    </row>
    <row r="1634">
      <c r="A1634" s="2" t="inlineStr">
        <is>
          <t>Downer</t>
        </is>
      </c>
      <c r="B1634" s="2" t="inlineStr">
        <is>
          <t>People - Kaipara DC</t>
        </is>
      </c>
      <c r="C1634" s="2" t="inlineStr">
        <is>
          <t>Other</t>
        </is>
      </c>
      <c r="D1634" s="2" t="inlineStr">
        <is>
          <t>L9.DNZJ.54786</t>
        </is>
      </c>
      <c r="E1634" s="2" t="n">
        <v>54786</v>
      </c>
      <c r="G1634" s="2" t="inlineStr">
        <is>
          <t>TI-NZT-54786 - People - Kaipara DC</t>
        </is>
      </c>
      <c r="M1634" s="2" t="inlineStr">
        <is>
          <t>Northland</t>
        </is>
      </c>
      <c r="N1634" s="2" t="inlineStr">
        <is>
          <t>New Zealand</t>
        </is>
      </c>
      <c r="P1634" s="2" t="inlineStr">
        <is>
          <t>Operational Control</t>
        </is>
      </c>
      <c r="Q1634" s="2" t="inlineStr">
        <is>
          <t>Operational Control</t>
        </is>
      </c>
      <c r="R1634" s="2" t="inlineStr">
        <is>
          <t>Transport &amp; Infrastructure (T&amp;I)</t>
        </is>
      </c>
      <c r="S1634" s="2" t="inlineStr">
        <is>
          <t>Downer</t>
        </is>
      </c>
      <c r="T1634" s="2" t="n">
        <v>100</v>
      </c>
      <c r="W1634" s="2" t="inlineStr">
        <is>
          <t>Classification</t>
        </is>
      </c>
    </row>
    <row r="1635">
      <c r="A1635" s="2" t="inlineStr">
        <is>
          <t>Downer</t>
        </is>
      </c>
      <c r="B1635" s="2" t="inlineStr">
        <is>
          <t>People - Levin</t>
        </is>
      </c>
      <c r="C1635" s="2" t="inlineStr">
        <is>
          <t>Other</t>
        </is>
      </c>
      <c r="D1635" s="2" t="inlineStr">
        <is>
          <t>L9.DNZJ.56708</t>
        </is>
      </c>
      <c r="E1635" s="2" t="n">
        <v>56708</v>
      </c>
      <c r="H1635" s="2" t="inlineStr">
        <is>
          <t>130 Kerrs Road</t>
        </is>
      </c>
      <c r="I1635" s="2" t="inlineStr">
        <is>
          <t>Wiri</t>
        </is>
      </c>
      <c r="J1635" s="2" t="inlineStr">
        <is>
          <t>Auckland</t>
        </is>
      </c>
      <c r="K1635" s="2" t="n">
        <v>2104</v>
      </c>
      <c r="L1635" s="2" t="inlineStr">
        <is>
          <t>New Zealand</t>
        </is>
      </c>
      <c r="M1635" s="2" t="inlineStr">
        <is>
          <t>Manurewa</t>
        </is>
      </c>
      <c r="N1635" s="2" t="inlineStr">
        <is>
          <t>New Zealand</t>
        </is>
      </c>
      <c r="P1635" s="2" t="inlineStr">
        <is>
          <t>Operational Control</t>
        </is>
      </c>
      <c r="Q1635" s="2" t="inlineStr">
        <is>
          <t>Operational Control</t>
        </is>
      </c>
      <c r="R1635" s="2" t="inlineStr">
        <is>
          <t>Energy and Utilities (EU)</t>
        </is>
      </c>
      <c r="S1635" s="2" t="inlineStr">
        <is>
          <t>Downer</t>
        </is>
      </c>
      <c r="T1635" s="2" t="n">
        <v>100</v>
      </c>
      <c r="W1635" s="2" t="inlineStr">
        <is>
          <t>Classification</t>
        </is>
      </c>
      <c r="X1635" s="2" t="n">
        <v>-37.0083</v>
      </c>
      <c r="Y1635" s="2" t="n">
        <v>174.8705</v>
      </c>
    </row>
    <row r="1636">
      <c r="A1636" s="2" t="inlineStr">
        <is>
          <t>Downer</t>
        </is>
      </c>
      <c r="B1636" s="2" t="inlineStr">
        <is>
          <t>People - Microsurfacing</t>
        </is>
      </c>
      <c r="C1636" s="2" t="inlineStr">
        <is>
          <t>Other</t>
        </is>
      </c>
      <c r="D1636" s="2" t="inlineStr">
        <is>
          <t>L9.DNZJ.54217</t>
        </is>
      </c>
      <c r="E1636" s="2" t="n">
        <v>54217</v>
      </c>
      <c r="M1636" s="2" t="inlineStr">
        <is>
          <t>Manurewa</t>
        </is>
      </c>
      <c r="N1636" s="2" t="inlineStr">
        <is>
          <t>New Zealand</t>
        </is>
      </c>
      <c r="P1636" s="2" t="inlineStr">
        <is>
          <t>Operational Control</t>
        </is>
      </c>
      <c r="Q1636" s="2" t="inlineStr">
        <is>
          <t>Operational Control</t>
        </is>
      </c>
      <c r="R1636" s="2" t="inlineStr">
        <is>
          <t>Transport &amp; Infrastructure (T&amp;I)</t>
        </is>
      </c>
      <c r="S1636" s="2" t="inlineStr">
        <is>
          <t>Downer</t>
        </is>
      </c>
      <c r="T1636" s="2" t="n">
        <v>100</v>
      </c>
      <c r="W1636" s="2" t="inlineStr">
        <is>
          <t>Classification</t>
        </is>
      </c>
    </row>
    <row r="1637">
      <c r="A1637" s="2" t="inlineStr">
        <is>
          <t>Downer</t>
        </is>
      </c>
      <c r="B1637" s="2" t="inlineStr">
        <is>
          <t>People - Products Cranes</t>
        </is>
      </c>
      <c r="C1637" s="2" t="inlineStr">
        <is>
          <t>Other</t>
        </is>
      </c>
      <c r="D1637" s="2" t="inlineStr">
        <is>
          <t>L9.DNZJ.54744</t>
        </is>
      </c>
      <c r="E1637" s="2" t="n">
        <v>54744</v>
      </c>
      <c r="G1637" s="2" t="inlineStr">
        <is>
          <t>TI-NZT-54744 - People - Products Cranes</t>
        </is>
      </c>
      <c r="M1637" s="2" t="inlineStr">
        <is>
          <t>Auckland City</t>
        </is>
      </c>
      <c r="N1637" s="2" t="inlineStr">
        <is>
          <t>New Zealand</t>
        </is>
      </c>
      <c r="P1637" s="2" t="inlineStr">
        <is>
          <t>Operational Control</t>
        </is>
      </c>
      <c r="Q1637" s="2" t="inlineStr">
        <is>
          <t>Operational Control</t>
        </is>
      </c>
      <c r="R1637" s="2" t="inlineStr">
        <is>
          <t>Transport &amp; Infrastructure (T&amp;I)</t>
        </is>
      </c>
      <c r="S1637" s="2" t="inlineStr">
        <is>
          <t>Downer</t>
        </is>
      </c>
      <c r="T1637" s="2" t="n">
        <v>100</v>
      </c>
      <c r="W1637" s="2" t="inlineStr">
        <is>
          <t>Classification</t>
        </is>
      </c>
    </row>
    <row r="1638">
      <c r="A1638" s="2" t="inlineStr">
        <is>
          <t>Downer</t>
        </is>
      </c>
      <c r="B1638" s="2" t="inlineStr">
        <is>
          <t>People - Projects O&amp;M</t>
        </is>
      </c>
      <c r="C1638" s="2" t="inlineStr">
        <is>
          <t>Other</t>
        </is>
      </c>
      <c r="D1638" s="2" t="inlineStr">
        <is>
          <t>L9.DNZJ.56712</t>
        </is>
      </c>
      <c r="E1638" s="2" t="n">
        <v>56712</v>
      </c>
      <c r="H1638" s="2" t="inlineStr">
        <is>
          <t>130 Kerrs Road</t>
        </is>
      </c>
      <c r="I1638" s="2" t="inlineStr">
        <is>
          <t>Wiri</t>
        </is>
      </c>
      <c r="J1638" s="2" t="inlineStr">
        <is>
          <t>Auckland</t>
        </is>
      </c>
      <c r="K1638" s="2" t="n">
        <v>2104</v>
      </c>
      <c r="L1638" s="2" t="inlineStr">
        <is>
          <t>New Zealand</t>
        </is>
      </c>
      <c r="M1638" s="2" t="inlineStr">
        <is>
          <t>Manurewa</t>
        </is>
      </c>
      <c r="N1638" s="2" t="inlineStr">
        <is>
          <t>New Zealand</t>
        </is>
      </c>
      <c r="P1638" s="2" t="inlineStr">
        <is>
          <t>Operational Control</t>
        </is>
      </c>
      <c r="Q1638" s="2" t="inlineStr">
        <is>
          <t>Operational Control</t>
        </is>
      </c>
      <c r="R1638" s="2" t="inlineStr">
        <is>
          <t>Energy and Utilities (EU)</t>
        </is>
      </c>
      <c r="S1638" s="2" t="inlineStr">
        <is>
          <t>Downer</t>
        </is>
      </c>
      <c r="T1638" s="2" t="n">
        <v>100</v>
      </c>
      <c r="W1638" s="2" t="inlineStr">
        <is>
          <t>Classification</t>
        </is>
      </c>
      <c r="X1638" s="2" t="n">
        <v>-37.0083</v>
      </c>
      <c r="Y1638" s="2" t="n">
        <v>174.8705</v>
      </c>
    </row>
    <row r="1639">
      <c r="A1639" s="2" t="inlineStr">
        <is>
          <t>Downer</t>
        </is>
      </c>
      <c r="B1639" s="2" t="inlineStr">
        <is>
          <t>People - Rejuv Surfacing</t>
        </is>
      </c>
      <c r="C1639" s="2" t="inlineStr">
        <is>
          <t>Other</t>
        </is>
      </c>
      <c r="D1639" s="2" t="inlineStr">
        <is>
          <t>L9.DNZJ.553439</t>
        </is>
      </c>
      <c r="E1639" s="2" t="n">
        <v>54747</v>
      </c>
      <c r="G1639" s="2" t="inlineStr">
        <is>
          <t>Allocate to INX prj: 
TI-NZT - NTH PRJ Microsurfacing
TI-NZT-553439 - Rejuvenation Establish Plan
Region TBC</t>
        </is>
      </c>
      <c r="M1639" s="2" t="inlineStr">
        <is>
          <t>Auckland</t>
        </is>
      </c>
      <c r="N1639" s="2" t="inlineStr">
        <is>
          <t>New Zealand</t>
        </is>
      </c>
      <c r="P1639" s="2" t="inlineStr">
        <is>
          <t>Operational Control</t>
        </is>
      </c>
      <c r="Q1639" s="2" t="inlineStr">
        <is>
          <t>Operational Control</t>
        </is>
      </c>
      <c r="R1639" s="2" t="inlineStr">
        <is>
          <t>Transport &amp; Infrastructure (T&amp;I)</t>
        </is>
      </c>
      <c r="S1639" s="2" t="inlineStr">
        <is>
          <t>Downer</t>
        </is>
      </c>
      <c r="T1639" s="2" t="n">
        <v>100</v>
      </c>
      <c r="W1639" s="2" t="inlineStr">
        <is>
          <t>Classification</t>
        </is>
      </c>
    </row>
    <row r="1640">
      <c r="A1640" s="2" t="inlineStr">
        <is>
          <t>Downer</t>
        </is>
      </c>
      <c r="B1640" s="2" t="inlineStr">
        <is>
          <t>People - Southland</t>
        </is>
      </c>
      <c r="C1640" s="2" t="inlineStr">
        <is>
          <t>Other</t>
        </is>
      </c>
      <c r="D1640" s="2" t="inlineStr">
        <is>
          <t>L9.DNZJ.56711</t>
        </is>
      </c>
      <c r="E1640" s="2" t="n">
        <v>56711</v>
      </c>
      <c r="H1640" s="2" t="inlineStr">
        <is>
          <t>130 Kerrs Road</t>
        </is>
      </c>
      <c r="I1640" s="2" t="inlineStr">
        <is>
          <t>Wiri</t>
        </is>
      </c>
      <c r="J1640" s="2" t="inlineStr">
        <is>
          <t>Auckland</t>
        </is>
      </c>
      <c r="K1640" s="2" t="n">
        <v>2104</v>
      </c>
      <c r="L1640" s="2" t="inlineStr">
        <is>
          <t>New Zealand</t>
        </is>
      </c>
      <c r="M1640" s="2" t="inlineStr">
        <is>
          <t>Manurewa</t>
        </is>
      </c>
      <c r="N1640" s="2" t="inlineStr">
        <is>
          <t>New Zealand</t>
        </is>
      </c>
      <c r="P1640" s="2" t="inlineStr">
        <is>
          <t>Operational Control</t>
        </is>
      </c>
      <c r="Q1640" s="2" t="inlineStr">
        <is>
          <t>Operational Control</t>
        </is>
      </c>
      <c r="R1640" s="2" t="inlineStr">
        <is>
          <t>Energy and Utilities (EU)</t>
        </is>
      </c>
      <c r="S1640" s="2" t="inlineStr">
        <is>
          <t>Downer</t>
        </is>
      </c>
      <c r="T1640" s="2" t="n">
        <v>100</v>
      </c>
      <c r="W1640" s="2" t="inlineStr">
        <is>
          <t>Classification</t>
        </is>
      </c>
      <c r="X1640" s="2" t="n">
        <v>-37.0083</v>
      </c>
      <c r="Y1640" s="2" t="n">
        <v>174.8705</v>
      </c>
    </row>
    <row r="1641">
      <c r="A1641" s="2" t="inlineStr">
        <is>
          <t>Downer</t>
        </is>
      </c>
      <c r="B1641" s="2" t="inlineStr">
        <is>
          <t>People - Specialist Civil Con.</t>
        </is>
      </c>
      <c r="C1641" s="2" t="inlineStr">
        <is>
          <t>Other</t>
        </is>
      </c>
      <c r="D1641" s="2" t="inlineStr">
        <is>
          <t>L9.DNZJ.56739</t>
        </is>
      </c>
      <c r="E1641" s="2" t="n">
        <v>56739</v>
      </c>
      <c r="H1641" s="2" t="inlineStr">
        <is>
          <t>130 Kerrs Road</t>
        </is>
      </c>
      <c r="I1641" s="2" t="inlineStr">
        <is>
          <t>Wiri</t>
        </is>
      </c>
      <c r="J1641" s="2" t="inlineStr">
        <is>
          <t>Auckland</t>
        </is>
      </c>
      <c r="K1641" s="2" t="n">
        <v>2104</v>
      </c>
      <c r="L1641" s="2" t="inlineStr">
        <is>
          <t>New Zealand</t>
        </is>
      </c>
      <c r="M1641" s="2" t="inlineStr">
        <is>
          <t>Manurewa</t>
        </is>
      </c>
      <c r="N1641" s="2" t="inlineStr">
        <is>
          <t>New Zealand</t>
        </is>
      </c>
      <c r="P1641" s="2" t="inlineStr">
        <is>
          <t>Operational Control</t>
        </is>
      </c>
      <c r="Q1641" s="2" t="inlineStr">
        <is>
          <t>Operational Control</t>
        </is>
      </c>
      <c r="R1641" s="2" t="inlineStr">
        <is>
          <t>Energy and Utilities (EU)</t>
        </is>
      </c>
      <c r="S1641" s="2" t="inlineStr">
        <is>
          <t>Downer</t>
        </is>
      </c>
      <c r="T1641" s="2" t="n">
        <v>100</v>
      </c>
      <c r="W1641" s="2" t="inlineStr">
        <is>
          <t>Classification</t>
        </is>
      </c>
      <c r="X1641" s="2" t="n">
        <v>-37.0083</v>
      </c>
      <c r="Y1641" s="2" t="n">
        <v>174.8705</v>
      </c>
    </row>
    <row r="1642">
      <c r="A1642" s="2" t="inlineStr">
        <is>
          <t>Downer</t>
        </is>
      </c>
      <c r="B1642" s="2" t="inlineStr">
        <is>
          <t>People - T2W Project</t>
        </is>
      </c>
      <c r="C1642" s="2" t="inlineStr">
        <is>
          <t>Infrastructure</t>
        </is>
      </c>
      <c r="D1642" s="2" t="inlineStr">
        <is>
          <t>L9.DNZJ.54751</t>
        </is>
      </c>
      <c r="E1642" s="2" t="n">
        <v>54751</v>
      </c>
      <c r="G1642" s="2" t="inlineStr">
        <is>
          <t>TI-NZT-54751 - Peopl</t>
        </is>
      </c>
      <c r="M1642" s="2" t="inlineStr">
        <is>
          <t>Waiouru</t>
        </is>
      </c>
      <c r="N1642" s="2" t="inlineStr">
        <is>
          <t>New Zealand</t>
        </is>
      </c>
      <c r="P1642" s="2" t="inlineStr">
        <is>
          <t>Operational Control</t>
        </is>
      </c>
      <c r="Q1642" s="2" t="inlineStr">
        <is>
          <t>Operational Control</t>
        </is>
      </c>
      <c r="R1642" s="2" t="inlineStr">
        <is>
          <t>Transport &amp; Infrastructure (T&amp;I)</t>
        </is>
      </c>
      <c r="S1642" s="2" t="inlineStr">
        <is>
          <t>Downer</t>
        </is>
      </c>
      <c r="T1642" s="2" t="n">
        <v>100</v>
      </c>
      <c r="W1642" s="2" t="inlineStr">
        <is>
          <t>Classification</t>
        </is>
      </c>
    </row>
    <row r="1643">
      <c r="A1643" s="2" t="inlineStr">
        <is>
          <t>Downer</t>
        </is>
      </c>
      <c r="B1643" s="2" t="inlineStr">
        <is>
          <t>People - Tasman</t>
        </is>
      </c>
      <c r="C1643" s="2" t="inlineStr">
        <is>
          <t>Other</t>
        </is>
      </c>
      <c r="D1643" s="2" t="inlineStr">
        <is>
          <t>L9.DNZJ.56710</t>
        </is>
      </c>
      <c r="E1643" s="2" t="n">
        <v>56710</v>
      </c>
      <c r="H1643" s="2" t="inlineStr">
        <is>
          <t>130 Kerrs Road</t>
        </is>
      </c>
      <c r="I1643" s="2" t="inlineStr">
        <is>
          <t>Wiri</t>
        </is>
      </c>
      <c r="J1643" s="2" t="inlineStr">
        <is>
          <t>Auckland</t>
        </is>
      </c>
      <c r="K1643" s="2" t="n">
        <v>2104</v>
      </c>
      <c r="L1643" s="2" t="inlineStr">
        <is>
          <t>New Zealand</t>
        </is>
      </c>
      <c r="M1643" s="2" t="inlineStr">
        <is>
          <t>Manurewa</t>
        </is>
      </c>
      <c r="N1643" s="2" t="inlineStr">
        <is>
          <t>New Zealand</t>
        </is>
      </c>
      <c r="P1643" s="2" t="inlineStr">
        <is>
          <t>Operational Control</t>
        </is>
      </c>
      <c r="Q1643" s="2" t="inlineStr">
        <is>
          <t>Operational Control</t>
        </is>
      </c>
      <c r="R1643" s="2" t="inlineStr">
        <is>
          <t>Energy and Utilities (EU)</t>
        </is>
      </c>
      <c r="S1643" s="2" t="inlineStr">
        <is>
          <t>Downer</t>
        </is>
      </c>
      <c r="T1643" s="2" t="n">
        <v>100</v>
      </c>
      <c r="W1643" s="2" t="inlineStr">
        <is>
          <t>Classification</t>
        </is>
      </c>
      <c r="X1643" s="2" t="n">
        <v>-37.0083</v>
      </c>
      <c r="Y1643" s="2" t="n">
        <v>174.8705</v>
      </c>
    </row>
    <row r="1644">
      <c r="A1644" s="2" t="inlineStr">
        <is>
          <t>Downer</t>
        </is>
      </c>
      <c r="B1644" s="2" t="inlineStr">
        <is>
          <t>People - Taupo 3 Waters</t>
        </is>
      </c>
      <c r="C1644" s="2" t="inlineStr">
        <is>
          <t>Other</t>
        </is>
      </c>
      <c r="D1644" s="2" t="inlineStr">
        <is>
          <t>L9.DNZJ.56714</t>
        </is>
      </c>
      <c r="E1644" s="2" t="n">
        <v>56714</v>
      </c>
      <c r="H1644" s="2" t="inlineStr">
        <is>
          <t>130 Kerrs Road</t>
        </is>
      </c>
      <c r="I1644" s="2" t="inlineStr">
        <is>
          <t>Wiri</t>
        </is>
      </c>
      <c r="J1644" s="2" t="inlineStr">
        <is>
          <t>Auckland</t>
        </is>
      </c>
      <c r="K1644" s="2" t="n">
        <v>2104</v>
      </c>
      <c r="L1644" s="2" t="inlineStr">
        <is>
          <t>New Zealand</t>
        </is>
      </c>
      <c r="M1644" s="2" t="inlineStr">
        <is>
          <t>Manurewa</t>
        </is>
      </c>
      <c r="N1644" s="2" t="inlineStr">
        <is>
          <t>New Zealand</t>
        </is>
      </c>
      <c r="P1644" s="2" t="inlineStr">
        <is>
          <t>Operational Control</t>
        </is>
      </c>
      <c r="Q1644" s="2" t="inlineStr">
        <is>
          <t>Operational Control</t>
        </is>
      </c>
      <c r="R1644" s="2" t="inlineStr">
        <is>
          <t>Energy and Utilities (EU)</t>
        </is>
      </c>
      <c r="S1644" s="2" t="inlineStr">
        <is>
          <t>Downer</t>
        </is>
      </c>
      <c r="T1644" s="2" t="n">
        <v>100</v>
      </c>
      <c r="W1644" s="2" t="inlineStr">
        <is>
          <t>Classification</t>
        </is>
      </c>
      <c r="X1644" s="2" t="n">
        <v>-37.0083</v>
      </c>
      <c r="Y1644" s="2" t="n">
        <v>174.8705</v>
      </c>
    </row>
    <row r="1645">
      <c r="A1645" s="2" t="inlineStr">
        <is>
          <t>Downer</t>
        </is>
      </c>
      <c r="B1645" s="2" t="inlineStr">
        <is>
          <t>People - Tauranga</t>
        </is>
      </c>
      <c r="C1645" s="2" t="inlineStr">
        <is>
          <t>Other</t>
        </is>
      </c>
      <c r="D1645" s="2" t="inlineStr">
        <is>
          <t>L9.DNZJ.56707</t>
        </is>
      </c>
      <c r="E1645" s="2" t="n">
        <v>56707</v>
      </c>
      <c r="H1645" s="2" t="inlineStr">
        <is>
          <t>326 Devonport Road</t>
        </is>
      </c>
      <c r="I1645" s="2" t="inlineStr">
        <is>
          <t>Tauranga</t>
        </is>
      </c>
      <c r="J1645" s="2" t="inlineStr">
        <is>
          <t>Tauranga</t>
        </is>
      </c>
      <c r="K1645" s="2" t="n">
        <v>3110</v>
      </c>
      <c r="L1645" s="2" t="inlineStr">
        <is>
          <t>New Zealand</t>
        </is>
      </c>
      <c r="M1645" s="2" t="inlineStr">
        <is>
          <t>Tauranga</t>
        </is>
      </c>
      <c r="N1645" s="2" t="inlineStr">
        <is>
          <t>New Zealand</t>
        </is>
      </c>
      <c r="P1645" s="2" t="inlineStr">
        <is>
          <t>Operational Control</t>
        </is>
      </c>
      <c r="Q1645" s="2" t="inlineStr">
        <is>
          <t>Operational Control</t>
        </is>
      </c>
      <c r="R1645" s="2" t="inlineStr">
        <is>
          <t>Energy and Utilities (EU)</t>
        </is>
      </c>
      <c r="S1645" s="2" t="inlineStr">
        <is>
          <t>Downer</t>
        </is>
      </c>
      <c r="T1645" s="2" t="n">
        <v>100</v>
      </c>
      <c r="W1645" s="2" t="inlineStr">
        <is>
          <t>Classification</t>
        </is>
      </c>
      <c r="X1645" s="2" t="n">
        <v>-37.6979</v>
      </c>
      <c r="Y1645" s="2" t="n">
        <v>176.1636</v>
      </c>
    </row>
    <row r="1646">
      <c r="A1646" s="2" t="inlineStr">
        <is>
          <t>Downer</t>
        </is>
      </c>
      <c r="B1646" s="2" t="inlineStr">
        <is>
          <t>People - Water Const Nth Is.</t>
        </is>
      </c>
      <c r="C1646" s="2" t="inlineStr">
        <is>
          <t>Other</t>
        </is>
      </c>
      <c r="D1646" s="2" t="inlineStr">
        <is>
          <t>L9.DNZJ.56749</t>
        </is>
      </c>
      <c r="E1646" s="2" t="n">
        <v>56749</v>
      </c>
      <c r="H1646" s="2" t="inlineStr">
        <is>
          <t>130 Kerrs Road</t>
        </is>
      </c>
      <c r="I1646" s="2" t="inlineStr">
        <is>
          <t>Wiri</t>
        </is>
      </c>
      <c r="J1646" s="2" t="inlineStr">
        <is>
          <t>Auckland</t>
        </is>
      </c>
      <c r="K1646" s="2" t="n">
        <v>2104</v>
      </c>
      <c r="L1646" s="2" t="inlineStr">
        <is>
          <t>New Zealand</t>
        </is>
      </c>
      <c r="M1646" s="2" t="inlineStr">
        <is>
          <t>Manurewa</t>
        </is>
      </c>
      <c r="N1646" s="2" t="inlineStr">
        <is>
          <t>New Zealand</t>
        </is>
      </c>
      <c r="P1646" s="2" t="inlineStr">
        <is>
          <t>Operational Control</t>
        </is>
      </c>
      <c r="Q1646" s="2" t="inlineStr">
        <is>
          <t>Operational Control</t>
        </is>
      </c>
      <c r="R1646" s="2" t="inlineStr">
        <is>
          <t>Energy and Utilities (EU)</t>
        </is>
      </c>
      <c r="S1646" s="2" t="inlineStr">
        <is>
          <t>Downer</t>
        </is>
      </c>
      <c r="T1646" s="2" t="n">
        <v>100</v>
      </c>
      <c r="W1646" s="2" t="inlineStr">
        <is>
          <t>Classification</t>
        </is>
      </c>
      <c r="X1646" s="2" t="n">
        <v>-37.0083</v>
      </c>
      <c r="Y1646" s="2" t="n">
        <v>174.8705</v>
      </c>
    </row>
    <row r="1647">
      <c r="A1647" s="2" t="inlineStr">
        <is>
          <t>Downer</t>
        </is>
      </c>
      <c r="B1647" s="2" t="inlineStr">
        <is>
          <t>People - Watercare</t>
        </is>
      </c>
      <c r="C1647" s="2" t="inlineStr">
        <is>
          <t>Other</t>
        </is>
      </c>
      <c r="D1647" s="2" t="inlineStr">
        <is>
          <t>L9.DNZJ.56705</t>
        </is>
      </c>
      <c r="E1647" s="2" t="n">
        <v>56705</v>
      </c>
      <c r="H1647" s="2" t="inlineStr">
        <is>
          <t>130 Kerrs Road</t>
        </is>
      </c>
      <c r="I1647" s="2" t="inlineStr">
        <is>
          <t>Wiri</t>
        </is>
      </c>
      <c r="J1647" s="2" t="inlineStr">
        <is>
          <t>Auckland</t>
        </is>
      </c>
      <c r="K1647" s="2" t="n">
        <v>2104</v>
      </c>
      <c r="L1647" s="2" t="inlineStr">
        <is>
          <t>New Zealand</t>
        </is>
      </c>
      <c r="M1647" s="2" t="inlineStr">
        <is>
          <t>Manurewa</t>
        </is>
      </c>
      <c r="N1647" s="2" t="inlineStr">
        <is>
          <t>New Zealand</t>
        </is>
      </c>
      <c r="P1647" s="2" t="inlineStr">
        <is>
          <t>Operational Control</t>
        </is>
      </c>
      <c r="Q1647" s="2" t="inlineStr">
        <is>
          <t>Operational Control</t>
        </is>
      </c>
      <c r="R1647" s="2" t="inlineStr">
        <is>
          <t>Energy and Utilities (EU)</t>
        </is>
      </c>
      <c r="S1647" s="2" t="inlineStr">
        <is>
          <t>Downer</t>
        </is>
      </c>
      <c r="T1647" s="2" t="n">
        <v>100</v>
      </c>
      <c r="W1647" s="2" t="inlineStr">
        <is>
          <t>Classification</t>
        </is>
      </c>
      <c r="X1647" s="2" t="n">
        <v>-37.0083</v>
      </c>
      <c r="Y1647" s="2" t="n">
        <v>174.8705</v>
      </c>
    </row>
    <row r="1648">
      <c r="A1648" s="2" t="inlineStr">
        <is>
          <t>Downer</t>
        </is>
      </c>
      <c r="B1648" s="2" t="inlineStr">
        <is>
          <t>People - Whangarei</t>
        </is>
      </c>
      <c r="C1648" s="2" t="inlineStr">
        <is>
          <t>Other</t>
        </is>
      </c>
      <c r="D1648" s="2" t="inlineStr">
        <is>
          <t>L9.DNZJ.56701</t>
        </is>
      </c>
      <c r="E1648" s="2" t="n">
        <v>56701</v>
      </c>
      <c r="H1648" s="2" t="inlineStr">
        <is>
          <t>130 Kerrs Road</t>
        </is>
      </c>
      <c r="I1648" s="2" t="inlineStr">
        <is>
          <t>Wiri</t>
        </is>
      </c>
      <c r="J1648" s="2" t="inlineStr">
        <is>
          <t>Auckland</t>
        </is>
      </c>
      <c r="K1648" s="2" t="n">
        <v>2104</v>
      </c>
      <c r="L1648" s="2" t="inlineStr">
        <is>
          <t>New Zealand</t>
        </is>
      </c>
      <c r="M1648" s="2" t="inlineStr">
        <is>
          <t>Manurewa</t>
        </is>
      </c>
      <c r="N1648" s="2" t="inlineStr">
        <is>
          <t>New Zealand</t>
        </is>
      </c>
      <c r="P1648" s="2" t="inlineStr">
        <is>
          <t>Operational Control</t>
        </is>
      </c>
      <c r="Q1648" s="2" t="inlineStr">
        <is>
          <t>Operational Control</t>
        </is>
      </c>
      <c r="R1648" s="2" t="inlineStr">
        <is>
          <t>Energy and Utilities (EU)</t>
        </is>
      </c>
      <c r="S1648" s="2" t="inlineStr">
        <is>
          <t>Downer</t>
        </is>
      </c>
      <c r="T1648" s="2" t="n">
        <v>100</v>
      </c>
      <c r="W1648" s="2" t="inlineStr">
        <is>
          <t>Classification</t>
        </is>
      </c>
      <c r="X1648" s="2" t="n">
        <v>-37.0083</v>
      </c>
      <c r="Y1648" s="2" t="n">
        <v>174.8705</v>
      </c>
    </row>
    <row r="1649">
      <c r="A1649" s="2" t="inlineStr">
        <is>
          <t>Downer</t>
        </is>
      </c>
      <c r="B1649" s="2" t="inlineStr">
        <is>
          <t>People (Auckland Roadmarking)</t>
        </is>
      </c>
      <c r="C1649" s="2" t="inlineStr">
        <is>
          <t>Other</t>
        </is>
      </c>
      <c r="D1649" s="2" t="inlineStr">
        <is>
          <t>L9.DNZJ.55744</t>
        </is>
      </c>
      <c r="E1649" s="2" t="n">
        <v>55744</v>
      </c>
      <c r="H1649" s="2" t="inlineStr">
        <is>
          <t>130 Kerrs Road</t>
        </is>
      </c>
      <c r="I1649" s="2" t="inlineStr">
        <is>
          <t>Wiri</t>
        </is>
      </c>
      <c r="J1649" s="2" t="inlineStr">
        <is>
          <t>Auckland</t>
        </is>
      </c>
      <c r="K1649" s="2" t="n">
        <v>2104</v>
      </c>
      <c r="L1649" s="2" t="inlineStr">
        <is>
          <t>New Zealand</t>
        </is>
      </c>
      <c r="M1649" s="2" t="inlineStr">
        <is>
          <t>Manurewa</t>
        </is>
      </c>
      <c r="N1649" s="2" t="inlineStr">
        <is>
          <t>New Zealand</t>
        </is>
      </c>
      <c r="P1649" s="2" t="inlineStr">
        <is>
          <t>Operational Control</t>
        </is>
      </c>
      <c r="Q1649" s="2" t="inlineStr">
        <is>
          <t>Operational Control</t>
        </is>
      </c>
      <c r="R1649" s="2" t="inlineStr">
        <is>
          <t>Transport &amp; Infrastructure (T&amp;I)</t>
        </is>
      </c>
      <c r="S1649" s="2" t="inlineStr">
        <is>
          <t>Downer</t>
        </is>
      </c>
      <c r="T1649" s="2" t="n">
        <v>100</v>
      </c>
      <c r="W1649" s="2" t="inlineStr">
        <is>
          <t>Classification</t>
        </is>
      </c>
      <c r="X1649" s="2" t="n">
        <v>-37.0083</v>
      </c>
      <c r="Y1649" s="2" t="n">
        <v>174.8705</v>
      </c>
    </row>
    <row r="1650">
      <c r="A1650" s="2" t="inlineStr">
        <is>
          <t>Downer</t>
        </is>
      </c>
      <c r="B1650" s="2" t="inlineStr">
        <is>
          <t>People (BOP Traffic Control)</t>
        </is>
      </c>
      <c r="C1650" s="2" t="inlineStr">
        <is>
          <t>Other</t>
        </is>
      </c>
      <c r="D1650" s="2" t="inlineStr">
        <is>
          <t>L9.DNZJ.55710</t>
        </is>
      </c>
      <c r="E1650" s="2" t="n">
        <v>55710</v>
      </c>
      <c r="H1650" s="2" t="inlineStr">
        <is>
          <t>130 Kerrs Road</t>
        </is>
      </c>
      <c r="I1650" s="2" t="inlineStr">
        <is>
          <t>Wiri</t>
        </is>
      </c>
      <c r="J1650" s="2" t="inlineStr">
        <is>
          <t>Auckland</t>
        </is>
      </c>
      <c r="K1650" s="2" t="n">
        <v>2104</v>
      </c>
      <c r="L1650" s="2" t="inlineStr">
        <is>
          <t>New Zealand</t>
        </is>
      </c>
      <c r="M1650" s="2" t="inlineStr">
        <is>
          <t>Manurewa</t>
        </is>
      </c>
      <c r="N1650" s="2" t="inlineStr">
        <is>
          <t>New Zealand</t>
        </is>
      </c>
      <c r="P1650" s="2" t="inlineStr">
        <is>
          <t>Operational Control</t>
        </is>
      </c>
      <c r="Q1650" s="2" t="inlineStr">
        <is>
          <t>Operational Control</t>
        </is>
      </c>
      <c r="R1650" s="2" t="inlineStr">
        <is>
          <t>Transport &amp; Infrastructure (T&amp;I)</t>
        </is>
      </c>
      <c r="S1650" s="2" t="inlineStr">
        <is>
          <t>Downer</t>
        </is>
      </c>
      <c r="T1650" s="2" t="n">
        <v>100</v>
      </c>
      <c r="W1650" s="2" t="inlineStr">
        <is>
          <t>Classification</t>
        </is>
      </c>
      <c r="X1650" s="2" t="n">
        <v>-37.0083</v>
      </c>
      <c r="Y1650" s="2" t="n">
        <v>174.8705</v>
      </c>
    </row>
    <row r="1651">
      <c r="A1651" s="2" t="inlineStr">
        <is>
          <t>Downer</t>
        </is>
      </c>
      <c r="B1651" s="2" t="inlineStr">
        <is>
          <t>People (Cen Hawkes Bay Maint)</t>
        </is>
      </c>
      <c r="C1651" s="2" t="inlineStr">
        <is>
          <t>Other</t>
        </is>
      </c>
      <c r="D1651" s="2" t="inlineStr">
        <is>
          <t>L9.DNZJ.54736</t>
        </is>
      </c>
      <c r="E1651" s="2" t="n">
        <v>54736</v>
      </c>
      <c r="M1651" s="2" t="inlineStr">
        <is>
          <t>Auckland</t>
        </is>
      </c>
      <c r="N1651" s="2" t="inlineStr">
        <is>
          <t>New Zealand</t>
        </is>
      </c>
      <c r="P1651" s="2" t="inlineStr">
        <is>
          <t>Operational Control</t>
        </is>
      </c>
      <c r="Q1651" s="2" t="inlineStr">
        <is>
          <t>Operational Control</t>
        </is>
      </c>
      <c r="R1651" s="2" t="inlineStr">
        <is>
          <t>Transport &amp; Infrastructure (T&amp;I)</t>
        </is>
      </c>
      <c r="S1651" s="2" t="inlineStr">
        <is>
          <t>Downer</t>
        </is>
      </c>
      <c r="T1651" s="2" t="n">
        <v>100</v>
      </c>
      <c r="W1651" s="2" t="inlineStr">
        <is>
          <t>Classification</t>
        </is>
      </c>
    </row>
    <row r="1652">
      <c r="A1652" s="2" t="inlineStr">
        <is>
          <t>Downer</t>
        </is>
      </c>
      <c r="B1652" s="2" t="inlineStr">
        <is>
          <t>People (CHCH Roadmarking)</t>
        </is>
      </c>
      <c r="C1652" s="2" t="inlineStr">
        <is>
          <t>Other</t>
        </is>
      </c>
      <c r="D1652" s="2" t="inlineStr">
        <is>
          <t>L9.DNZJ.55295</t>
        </is>
      </c>
      <c r="E1652" s="2" t="n">
        <v>55295</v>
      </c>
      <c r="H1652" s="2" t="inlineStr">
        <is>
          <t>130 Kerrs Road</t>
        </is>
      </c>
      <c r="I1652" s="2" t="inlineStr">
        <is>
          <t>Wiri</t>
        </is>
      </c>
      <c r="J1652" s="2" t="inlineStr">
        <is>
          <t>Auckland</t>
        </is>
      </c>
      <c r="K1652" s="2" t="n">
        <v>2104</v>
      </c>
      <c r="L1652" s="2" t="inlineStr">
        <is>
          <t>New Zealand</t>
        </is>
      </c>
      <c r="M1652" s="2" t="inlineStr">
        <is>
          <t>Manurewa</t>
        </is>
      </c>
      <c r="N1652" s="2" t="inlineStr">
        <is>
          <t>New Zealand</t>
        </is>
      </c>
      <c r="P1652" s="2" t="inlineStr">
        <is>
          <t>Operational Control</t>
        </is>
      </c>
      <c r="Q1652" s="2" t="inlineStr">
        <is>
          <t>Operational Control</t>
        </is>
      </c>
      <c r="R1652" s="2" t="inlineStr">
        <is>
          <t>Transport &amp; Infrastructure (T&amp;I)</t>
        </is>
      </c>
      <c r="S1652" s="2" t="inlineStr">
        <is>
          <t>Downer</t>
        </is>
      </c>
      <c r="T1652" s="2" t="n">
        <v>100</v>
      </c>
      <c r="W1652" s="2" t="inlineStr">
        <is>
          <t>Classification</t>
        </is>
      </c>
      <c r="X1652" s="2" t="n">
        <v>-37.0083</v>
      </c>
      <c r="Y1652" s="2" t="n">
        <v>174.8705</v>
      </c>
    </row>
    <row r="1653">
      <c r="A1653" s="2" t="inlineStr">
        <is>
          <t>Downer</t>
        </is>
      </c>
      <c r="B1653" s="2" t="inlineStr">
        <is>
          <t>People (CN Technical Services)</t>
        </is>
      </c>
      <c r="C1653" s="2" t="inlineStr">
        <is>
          <t>Other</t>
        </is>
      </c>
      <c r="D1653" s="2" t="inlineStr">
        <is>
          <t>L9.DNZJ.55274</t>
        </is>
      </c>
      <c r="E1653" s="2" t="n">
        <v>55274</v>
      </c>
      <c r="H1653" s="2" t="inlineStr">
        <is>
          <t>130 Kerrs Road</t>
        </is>
      </c>
      <c r="I1653" s="2" t="inlineStr">
        <is>
          <t>Wiri</t>
        </is>
      </c>
      <c r="J1653" s="2" t="inlineStr">
        <is>
          <t>Auckland</t>
        </is>
      </c>
      <c r="K1653" s="2" t="n">
        <v>2104</v>
      </c>
      <c r="L1653" s="2" t="inlineStr">
        <is>
          <t>New Zealand</t>
        </is>
      </c>
      <c r="M1653" s="2" t="inlineStr">
        <is>
          <t>Manurewa</t>
        </is>
      </c>
      <c r="N1653" s="2" t="inlineStr">
        <is>
          <t>New Zealand</t>
        </is>
      </c>
      <c r="P1653" s="2" t="inlineStr">
        <is>
          <t>Operational Control</t>
        </is>
      </c>
      <c r="Q1653" s="2" t="inlineStr">
        <is>
          <t>Operational Control</t>
        </is>
      </c>
      <c r="R1653" s="2" t="inlineStr">
        <is>
          <t>Transport &amp; Infrastructure (T&amp;I)</t>
        </is>
      </c>
      <c r="S1653" s="2" t="inlineStr">
        <is>
          <t>Downer</t>
        </is>
      </c>
      <c r="T1653" s="2" t="n">
        <v>100</v>
      </c>
      <c r="W1653" s="2" t="inlineStr">
        <is>
          <t>Classification</t>
        </is>
      </c>
      <c r="X1653" s="2" t="n">
        <v>-37.0083</v>
      </c>
      <c r="Y1653" s="2" t="n">
        <v>174.8705</v>
      </c>
    </row>
    <row r="1654">
      <c r="A1654" s="2" t="inlineStr">
        <is>
          <t>Downer</t>
        </is>
      </c>
      <c r="B1654" s="2" t="inlineStr">
        <is>
          <t>People (Construction BOP)</t>
        </is>
      </c>
      <c r="C1654" s="2" t="inlineStr">
        <is>
          <t>Other</t>
        </is>
      </c>
      <c r="D1654" s="2" t="inlineStr">
        <is>
          <t>L9.DNZJ.55273</t>
        </is>
      </c>
      <c r="E1654" s="2" t="n">
        <v>55273</v>
      </c>
      <c r="H1654" s="2" t="inlineStr">
        <is>
          <t>130 Kerrs Road</t>
        </is>
      </c>
      <c r="I1654" s="2" t="inlineStr">
        <is>
          <t>Wiri</t>
        </is>
      </c>
      <c r="J1654" s="2" t="inlineStr">
        <is>
          <t>Auckland</t>
        </is>
      </c>
      <c r="K1654" s="2" t="n">
        <v>2104</v>
      </c>
      <c r="L1654" s="2" t="inlineStr">
        <is>
          <t>New Zealand</t>
        </is>
      </c>
      <c r="M1654" s="2" t="inlineStr">
        <is>
          <t>Manurewa</t>
        </is>
      </c>
      <c r="N1654" s="2" t="inlineStr">
        <is>
          <t>New Zealand</t>
        </is>
      </c>
      <c r="P1654" s="2" t="inlineStr">
        <is>
          <t>Operational Control</t>
        </is>
      </c>
      <c r="Q1654" s="2" t="inlineStr">
        <is>
          <t>Operational Control</t>
        </is>
      </c>
      <c r="R1654" s="2" t="inlineStr">
        <is>
          <t>Transport &amp; Infrastructure (T&amp;I)</t>
        </is>
      </c>
      <c r="S1654" s="2" t="inlineStr">
        <is>
          <t>Downer</t>
        </is>
      </c>
      <c r="T1654" s="2" t="n">
        <v>100</v>
      </c>
      <c r="W1654" s="2" t="inlineStr">
        <is>
          <t>Classification</t>
        </is>
      </c>
      <c r="X1654" s="2" t="n">
        <v>-37.0083</v>
      </c>
      <c r="Y1654" s="2" t="n">
        <v>174.8705</v>
      </c>
    </row>
    <row r="1655">
      <c r="A1655" s="2" t="inlineStr">
        <is>
          <t>Downer</t>
        </is>
      </c>
      <c r="B1655" s="2" t="inlineStr">
        <is>
          <t>People (Construction CHCH)</t>
        </is>
      </c>
      <c r="C1655" s="2" t="inlineStr">
        <is>
          <t>Other</t>
        </is>
      </c>
      <c r="D1655" s="2" t="inlineStr">
        <is>
          <t>L9.DNZJ.55292</t>
        </is>
      </c>
      <c r="E1655" s="2" t="n">
        <v>55292</v>
      </c>
      <c r="H1655" s="2" t="inlineStr">
        <is>
          <t>130 Kerrs Road</t>
        </is>
      </c>
      <c r="I1655" s="2" t="inlineStr">
        <is>
          <t>Wiri</t>
        </is>
      </c>
      <c r="J1655" s="2" t="inlineStr">
        <is>
          <t>Auckland</t>
        </is>
      </c>
      <c r="K1655" s="2" t="n">
        <v>2104</v>
      </c>
      <c r="L1655" s="2" t="inlineStr">
        <is>
          <t>New Zealand</t>
        </is>
      </c>
      <c r="M1655" s="2" t="inlineStr">
        <is>
          <t>Manurewa</t>
        </is>
      </c>
      <c r="N1655" s="2" t="inlineStr">
        <is>
          <t>New Zealand</t>
        </is>
      </c>
      <c r="P1655" s="2" t="inlineStr">
        <is>
          <t>Operational Control</t>
        </is>
      </c>
      <c r="Q1655" s="2" t="inlineStr">
        <is>
          <t>Operational Control</t>
        </is>
      </c>
      <c r="R1655" s="2" t="inlineStr">
        <is>
          <t>Transport &amp; Infrastructure (T&amp;I)</t>
        </is>
      </c>
      <c r="S1655" s="2" t="inlineStr">
        <is>
          <t>Downer</t>
        </is>
      </c>
      <c r="T1655" s="2" t="n">
        <v>100</v>
      </c>
      <c r="W1655" s="2" t="inlineStr">
        <is>
          <t>Classification</t>
        </is>
      </c>
      <c r="X1655" s="2" t="n">
        <v>-37.0083</v>
      </c>
      <c r="Y1655" s="2" t="n">
        <v>174.8705</v>
      </c>
    </row>
    <row r="1656">
      <c r="A1656" s="2" t="inlineStr">
        <is>
          <t>Downer</t>
        </is>
      </c>
      <c r="B1656" s="2" t="inlineStr">
        <is>
          <t>People (Construction CNI)</t>
        </is>
      </c>
      <c r="C1656" s="2" t="inlineStr">
        <is>
          <t>Other</t>
        </is>
      </c>
      <c r="D1656" s="2" t="inlineStr">
        <is>
          <t>L9.DNZJ.55275</t>
        </is>
      </c>
      <c r="E1656" s="2" t="n">
        <v>55275</v>
      </c>
      <c r="H1656" s="2" t="inlineStr">
        <is>
          <t>130 Kerrs Road</t>
        </is>
      </c>
      <c r="I1656" s="2" t="inlineStr">
        <is>
          <t>Wiri</t>
        </is>
      </c>
      <c r="J1656" s="2" t="inlineStr">
        <is>
          <t>Auckland</t>
        </is>
      </c>
      <c r="K1656" s="2" t="n">
        <v>2104</v>
      </c>
      <c r="L1656" s="2" t="inlineStr">
        <is>
          <t>New Zealand</t>
        </is>
      </c>
      <c r="M1656" s="2" t="inlineStr">
        <is>
          <t>Manurewa</t>
        </is>
      </c>
      <c r="N1656" s="2" t="inlineStr">
        <is>
          <t>New Zealand</t>
        </is>
      </c>
      <c r="P1656" s="2" t="inlineStr">
        <is>
          <t>Operational Control</t>
        </is>
      </c>
      <c r="Q1656" s="2" t="inlineStr">
        <is>
          <t>Operational Control</t>
        </is>
      </c>
      <c r="R1656" s="2" t="inlineStr">
        <is>
          <t>Transport &amp; Infrastructure (T&amp;I)</t>
        </is>
      </c>
      <c r="S1656" s="2" t="inlineStr">
        <is>
          <t>Downer</t>
        </is>
      </c>
      <c r="T1656" s="2" t="n">
        <v>100</v>
      </c>
      <c r="W1656" s="2" t="inlineStr">
        <is>
          <t>Classification</t>
        </is>
      </c>
      <c r="X1656" s="2" t="n">
        <v>-37.0083</v>
      </c>
      <c r="Y1656" s="2" t="n">
        <v>174.8705</v>
      </c>
    </row>
    <row r="1657">
      <c r="A1657" s="2" t="inlineStr">
        <is>
          <t>Downer</t>
        </is>
      </c>
      <c r="B1657" s="2" t="inlineStr">
        <is>
          <t>People (Construction Gisborne)</t>
        </is>
      </c>
      <c r="C1657" s="2" t="inlineStr">
        <is>
          <t>Other</t>
        </is>
      </c>
      <c r="D1657" s="2" t="inlineStr">
        <is>
          <t>L9.DNZJ.55285</t>
        </is>
      </c>
      <c r="E1657" s="2" t="n">
        <v>55285</v>
      </c>
      <c r="M1657" s="2" t="inlineStr">
        <is>
          <t>Manurewa</t>
        </is>
      </c>
      <c r="N1657" s="2" t="inlineStr">
        <is>
          <t>New Zealand</t>
        </is>
      </c>
      <c r="P1657" s="2" t="inlineStr">
        <is>
          <t>Operational Control</t>
        </is>
      </c>
      <c r="Q1657" s="2" t="inlineStr">
        <is>
          <t>Operational Control</t>
        </is>
      </c>
      <c r="R1657" s="2" t="inlineStr">
        <is>
          <t>Transport &amp; Infrastructure (T&amp;I)</t>
        </is>
      </c>
      <c r="S1657" s="2" t="inlineStr">
        <is>
          <t>Downer</t>
        </is>
      </c>
      <c r="T1657" s="2" t="n">
        <v>100</v>
      </c>
      <c r="W1657" s="2" t="inlineStr">
        <is>
          <t>Classification</t>
        </is>
      </c>
    </row>
    <row r="1658">
      <c r="A1658" s="2" t="inlineStr">
        <is>
          <t>Downer</t>
        </is>
      </c>
      <c r="B1658" s="2" t="inlineStr">
        <is>
          <t>People (Construction HB)</t>
        </is>
      </c>
      <c r="C1658" s="2" t="inlineStr">
        <is>
          <t>Other</t>
        </is>
      </c>
      <c r="D1658" s="2" t="inlineStr">
        <is>
          <t>L9.DNZJ.55286</t>
        </is>
      </c>
      <c r="E1658" s="2" t="n">
        <v>55286</v>
      </c>
      <c r="H1658" s="2" t="inlineStr">
        <is>
          <t>130 Kerrs Road</t>
        </is>
      </c>
      <c r="I1658" s="2" t="inlineStr">
        <is>
          <t>Wiri</t>
        </is>
      </c>
      <c r="J1658" s="2" t="inlineStr">
        <is>
          <t>Auckland</t>
        </is>
      </c>
      <c r="K1658" s="2" t="n">
        <v>2104</v>
      </c>
      <c r="L1658" s="2" t="inlineStr">
        <is>
          <t>New Zealand</t>
        </is>
      </c>
      <c r="M1658" s="2" t="inlineStr">
        <is>
          <t>Manurewa</t>
        </is>
      </c>
      <c r="N1658" s="2" t="inlineStr">
        <is>
          <t>New Zealand</t>
        </is>
      </c>
      <c r="P1658" s="2" t="inlineStr">
        <is>
          <t>Operational Control</t>
        </is>
      </c>
      <c r="Q1658" s="2" t="inlineStr">
        <is>
          <t>Operational Control</t>
        </is>
      </c>
      <c r="R1658" s="2" t="inlineStr">
        <is>
          <t>Transport &amp; Infrastructure (T&amp;I)</t>
        </is>
      </c>
      <c r="S1658" s="2" t="inlineStr">
        <is>
          <t>Downer</t>
        </is>
      </c>
      <c r="T1658" s="2" t="n">
        <v>100</v>
      </c>
      <c r="W1658" s="2" t="inlineStr">
        <is>
          <t>Classification</t>
        </is>
      </c>
      <c r="X1658" s="2" t="n">
        <v>-37.0083</v>
      </c>
      <c r="Y1658" s="2" t="n">
        <v>174.8705</v>
      </c>
    </row>
    <row r="1659">
      <c r="A1659" s="2" t="inlineStr">
        <is>
          <t>Downer</t>
        </is>
      </c>
      <c r="B1659" s="2" t="inlineStr">
        <is>
          <t>People (Construction Otago)</t>
        </is>
      </c>
      <c r="C1659" s="2" t="inlineStr">
        <is>
          <t>Other</t>
        </is>
      </c>
      <c r="D1659" s="2" t="inlineStr">
        <is>
          <t>L9.DNZJ.55294</t>
        </is>
      </c>
      <c r="E1659" s="2" t="n">
        <v>55294</v>
      </c>
      <c r="H1659" s="2" t="inlineStr">
        <is>
          <t>130 Kerrs Road</t>
        </is>
      </c>
      <c r="I1659" s="2" t="inlineStr">
        <is>
          <t>Wiri</t>
        </is>
      </c>
      <c r="J1659" s="2" t="inlineStr">
        <is>
          <t>Auckland</t>
        </is>
      </c>
      <c r="K1659" s="2" t="n">
        <v>2104</v>
      </c>
      <c r="L1659" s="2" t="inlineStr">
        <is>
          <t>New Zealand</t>
        </is>
      </c>
      <c r="M1659" s="2" t="inlineStr">
        <is>
          <t>Manurewa</t>
        </is>
      </c>
      <c r="N1659" s="2" t="inlineStr">
        <is>
          <t>New Zealand</t>
        </is>
      </c>
      <c r="P1659" s="2" t="inlineStr">
        <is>
          <t>Operational Control</t>
        </is>
      </c>
      <c r="Q1659" s="2" t="inlineStr">
        <is>
          <t>Operational Control</t>
        </is>
      </c>
      <c r="R1659" s="2" t="inlineStr">
        <is>
          <t>Transport &amp; Infrastructure (T&amp;I)</t>
        </is>
      </c>
      <c r="S1659" s="2" t="inlineStr">
        <is>
          <t>Downer</t>
        </is>
      </c>
      <c r="T1659" s="2" t="n">
        <v>100</v>
      </c>
      <c r="W1659" s="2" t="inlineStr">
        <is>
          <t>Classification</t>
        </is>
      </c>
      <c r="X1659" s="2" t="n">
        <v>-37.0083</v>
      </c>
      <c r="Y1659" s="2" t="n">
        <v>174.8705</v>
      </c>
    </row>
    <row r="1660">
      <c r="A1660" s="2" t="inlineStr">
        <is>
          <t>Downer</t>
        </is>
      </c>
      <c r="B1660" s="2" t="inlineStr">
        <is>
          <t>People (Construction Taranaki)</t>
        </is>
      </c>
      <c r="C1660" s="2" t="inlineStr">
        <is>
          <t>Other</t>
        </is>
      </c>
      <c r="D1660" s="2" t="inlineStr">
        <is>
          <t>L9.DNZJ.55748</t>
        </is>
      </c>
      <c r="E1660" s="2" t="n">
        <v>55748</v>
      </c>
      <c r="H1660" s="2" t="inlineStr">
        <is>
          <t>130 Kerrs Road</t>
        </is>
      </c>
      <c r="I1660" s="2" t="inlineStr">
        <is>
          <t>Wiri</t>
        </is>
      </c>
      <c r="J1660" s="2" t="inlineStr">
        <is>
          <t>Auckland</t>
        </is>
      </c>
      <c r="K1660" s="2" t="n">
        <v>2104</v>
      </c>
      <c r="L1660" s="2" t="inlineStr">
        <is>
          <t>New Zealand</t>
        </is>
      </c>
      <c r="M1660" s="2" t="inlineStr">
        <is>
          <t>Manurewa</t>
        </is>
      </c>
      <c r="N1660" s="2" t="inlineStr">
        <is>
          <t>New Zealand</t>
        </is>
      </c>
      <c r="P1660" s="2" t="inlineStr">
        <is>
          <t>Operational Control</t>
        </is>
      </c>
      <c r="Q1660" s="2" t="inlineStr">
        <is>
          <t>Operational Control</t>
        </is>
      </c>
      <c r="R1660" s="2" t="inlineStr">
        <is>
          <t>Transport &amp; Infrastructure (T&amp;I)</t>
        </is>
      </c>
      <c r="S1660" s="2" t="inlineStr">
        <is>
          <t>Downer</t>
        </is>
      </c>
      <c r="T1660" s="2" t="n">
        <v>100</v>
      </c>
      <c r="W1660" s="2" t="inlineStr">
        <is>
          <t>Classification</t>
        </is>
      </c>
      <c r="X1660" s="2" t="n">
        <v>-37.0083</v>
      </c>
      <c r="Y1660" s="2" t="n">
        <v>174.8705</v>
      </c>
    </row>
    <row r="1661">
      <c r="A1661" s="2" t="inlineStr">
        <is>
          <t>Downer</t>
        </is>
      </c>
      <c r="B1661" s="2" t="inlineStr">
        <is>
          <t>People (Construction Waikato)</t>
        </is>
      </c>
      <c r="C1661" s="2" t="inlineStr">
        <is>
          <t>Other</t>
        </is>
      </c>
      <c r="D1661" s="2" t="inlineStr">
        <is>
          <t>L9.DNZJ.55272</t>
        </is>
      </c>
      <c r="E1661" s="2" t="n">
        <v>55272</v>
      </c>
      <c r="H1661" s="2" t="inlineStr">
        <is>
          <t>130 Kerrs Road</t>
        </is>
      </c>
      <c r="I1661" s="2" t="inlineStr">
        <is>
          <t>Wiri</t>
        </is>
      </c>
      <c r="J1661" s="2" t="inlineStr">
        <is>
          <t>Auckland</t>
        </is>
      </c>
      <c r="K1661" s="2" t="n">
        <v>2104</v>
      </c>
      <c r="L1661" s="2" t="inlineStr">
        <is>
          <t>New Zealand</t>
        </is>
      </c>
      <c r="M1661" s="2" t="inlineStr">
        <is>
          <t>Manurewa</t>
        </is>
      </c>
      <c r="N1661" s="2" t="inlineStr">
        <is>
          <t>New Zealand</t>
        </is>
      </c>
      <c r="P1661" s="2" t="inlineStr">
        <is>
          <t>Operational Control</t>
        </is>
      </c>
      <c r="Q1661" s="2" t="inlineStr">
        <is>
          <t>Operational Control</t>
        </is>
      </c>
      <c r="R1661" s="2" t="inlineStr">
        <is>
          <t>Transport &amp; Infrastructure (T&amp;I)</t>
        </is>
      </c>
      <c r="S1661" s="2" t="inlineStr">
        <is>
          <t>Downer</t>
        </is>
      </c>
      <c r="T1661" s="2" t="n">
        <v>100</v>
      </c>
      <c r="W1661" s="2" t="inlineStr">
        <is>
          <t>Classification</t>
        </is>
      </c>
      <c r="X1661" s="2" t="n">
        <v>-37.0083</v>
      </c>
      <c r="Y1661" s="2" t="n">
        <v>174.8705</v>
      </c>
    </row>
    <row r="1662">
      <c r="A1662" s="2" t="inlineStr">
        <is>
          <t>Downer</t>
        </is>
      </c>
      <c r="B1662" s="2" t="inlineStr">
        <is>
          <t>People (Construction Wgtn)</t>
        </is>
      </c>
      <c r="C1662" s="2" t="inlineStr">
        <is>
          <t>Other</t>
        </is>
      </c>
      <c r="D1662" s="2" t="inlineStr">
        <is>
          <t>L9.DNZJ.55715</t>
        </is>
      </c>
      <c r="E1662" s="2" t="n">
        <v>55715</v>
      </c>
      <c r="H1662" s="2" t="inlineStr">
        <is>
          <t>130 Kerrs Road</t>
        </is>
      </c>
      <c r="I1662" s="2" t="inlineStr">
        <is>
          <t>Wiri</t>
        </is>
      </c>
      <c r="J1662" s="2" t="inlineStr">
        <is>
          <t>Auckland</t>
        </is>
      </c>
      <c r="K1662" s="2" t="n">
        <v>2104</v>
      </c>
      <c r="L1662" s="2" t="inlineStr">
        <is>
          <t>New Zealand</t>
        </is>
      </c>
      <c r="M1662" s="2" t="inlineStr">
        <is>
          <t>Manurewa</t>
        </is>
      </c>
      <c r="N1662" s="2" t="inlineStr">
        <is>
          <t>New Zealand</t>
        </is>
      </c>
      <c r="P1662" s="2" t="inlineStr">
        <is>
          <t>Operational Control</t>
        </is>
      </c>
      <c r="Q1662" s="2" t="inlineStr">
        <is>
          <t>Operational Control</t>
        </is>
      </c>
      <c r="R1662" s="2" t="inlineStr">
        <is>
          <t>Transport &amp; Infrastructure (T&amp;I)</t>
        </is>
      </c>
      <c r="S1662" s="2" t="inlineStr">
        <is>
          <t>Downer</t>
        </is>
      </c>
      <c r="T1662" s="2" t="n">
        <v>100</v>
      </c>
      <c r="W1662" s="2" t="inlineStr">
        <is>
          <t>Classification</t>
        </is>
      </c>
      <c r="X1662" s="2" t="n">
        <v>-37.0083</v>
      </c>
      <c r="Y1662" s="2" t="n">
        <v>174.8705</v>
      </c>
    </row>
    <row r="1663">
      <c r="A1663" s="2" t="inlineStr">
        <is>
          <t>Downer</t>
        </is>
      </c>
      <c r="B1663" s="2" t="inlineStr">
        <is>
          <t>People (Gisborne LR)</t>
        </is>
      </c>
      <c r="C1663" s="2" t="inlineStr">
        <is>
          <t>Other</t>
        </is>
      </c>
      <c r="D1663" s="2" t="inlineStr">
        <is>
          <t>L9.DNZJ.55283</t>
        </is>
      </c>
      <c r="E1663" s="2" t="n">
        <v>55283</v>
      </c>
      <c r="M1663" s="2" t="inlineStr">
        <is>
          <t>Manurewa</t>
        </is>
      </c>
      <c r="N1663" s="2" t="inlineStr">
        <is>
          <t>New Zealand</t>
        </is>
      </c>
      <c r="P1663" s="2" t="inlineStr">
        <is>
          <t>Operational Control</t>
        </is>
      </c>
      <c r="Q1663" s="2" t="inlineStr">
        <is>
          <t>Operational Control</t>
        </is>
      </c>
      <c r="R1663" s="2" t="inlineStr">
        <is>
          <t>Transport &amp; Infrastructure (T&amp;I)</t>
        </is>
      </c>
      <c r="S1663" s="2" t="inlineStr">
        <is>
          <t>Downer</t>
        </is>
      </c>
      <c r="T1663" s="2" t="n">
        <v>100</v>
      </c>
      <c r="W1663" s="2" t="inlineStr">
        <is>
          <t>Classification</t>
        </is>
      </c>
    </row>
    <row r="1664">
      <c r="A1664" s="2" t="inlineStr">
        <is>
          <t>Downer</t>
        </is>
      </c>
      <c r="B1664" s="2" t="inlineStr">
        <is>
          <t>People (Gisborne NOC)</t>
        </is>
      </c>
      <c r="C1664" s="2" t="inlineStr">
        <is>
          <t>Other</t>
        </is>
      </c>
      <c r="D1664" s="2" t="inlineStr">
        <is>
          <t>L9.DNZJ.55284</t>
        </is>
      </c>
      <c r="E1664" s="2" t="n">
        <v>55284</v>
      </c>
      <c r="H1664" s="2" t="inlineStr">
        <is>
          <t>130 Kerrs Road</t>
        </is>
      </c>
      <c r="I1664" s="2" t="inlineStr">
        <is>
          <t>Wiri</t>
        </is>
      </c>
      <c r="J1664" s="2" t="inlineStr">
        <is>
          <t>Auckland</t>
        </is>
      </c>
      <c r="K1664" s="2" t="n">
        <v>2104</v>
      </c>
      <c r="L1664" s="2" t="inlineStr">
        <is>
          <t>New Zealand</t>
        </is>
      </c>
      <c r="M1664" s="2" t="inlineStr">
        <is>
          <t>Manurewa</t>
        </is>
      </c>
      <c r="N1664" s="2" t="inlineStr">
        <is>
          <t>New Zealand</t>
        </is>
      </c>
      <c r="P1664" s="2" t="inlineStr">
        <is>
          <t>Operational Control</t>
        </is>
      </c>
      <c r="Q1664" s="2" t="inlineStr">
        <is>
          <t>Operational Control</t>
        </is>
      </c>
      <c r="R1664" s="2" t="inlineStr">
        <is>
          <t>Transport &amp; Infrastructure (T&amp;I)</t>
        </is>
      </c>
      <c r="S1664" s="2" t="inlineStr">
        <is>
          <t>Downer</t>
        </is>
      </c>
      <c r="T1664" s="2" t="n">
        <v>100</v>
      </c>
      <c r="W1664" s="2" t="inlineStr">
        <is>
          <t>Classification</t>
        </is>
      </c>
      <c r="X1664" s="2" t="n">
        <v>-37.0083</v>
      </c>
      <c r="Y1664" s="2" t="n">
        <v>174.8705</v>
      </c>
    </row>
    <row r="1665">
      <c r="A1665" s="2" t="inlineStr">
        <is>
          <t>Downer</t>
        </is>
      </c>
      <c r="B1665" s="2" t="inlineStr">
        <is>
          <t>People (Gisborne Other)</t>
        </is>
      </c>
      <c r="C1665" s="2" t="inlineStr">
        <is>
          <t>Other</t>
        </is>
      </c>
      <c r="D1665" s="2" t="inlineStr">
        <is>
          <t>L9.DNZJ.55750</t>
        </is>
      </c>
      <c r="E1665" s="2" t="n">
        <v>55750</v>
      </c>
      <c r="H1665" s="2" t="inlineStr">
        <is>
          <t>445B Nelson Road</t>
        </is>
      </c>
      <c r="I1665" s="2" t="inlineStr">
        <is>
          <t>Riverdale</t>
        </is>
      </c>
      <c r="J1665" s="2" t="inlineStr">
        <is>
          <t>Gisborne</t>
        </is>
      </c>
      <c r="K1665" s="2" t="n">
        <v>4010</v>
      </c>
      <c r="L1665" s="2" t="inlineStr">
        <is>
          <t>New Zealand</t>
        </is>
      </c>
      <c r="M1665" s="2" t="inlineStr">
        <is>
          <t>Gisborne</t>
        </is>
      </c>
      <c r="N1665" s="2" t="inlineStr">
        <is>
          <t>New Zealand</t>
        </is>
      </c>
      <c r="P1665" s="2" t="inlineStr">
        <is>
          <t>Operational Control</t>
        </is>
      </c>
      <c r="Q1665" s="2" t="inlineStr">
        <is>
          <t>Operational Control</t>
        </is>
      </c>
      <c r="R1665" s="2" t="inlineStr">
        <is>
          <t>Transport &amp; Infrastructure (T&amp;I)</t>
        </is>
      </c>
      <c r="S1665" s="2" t="inlineStr">
        <is>
          <t>Downer</t>
        </is>
      </c>
      <c r="T1665" s="2" t="n">
        <v>100</v>
      </c>
      <c r="W1665" s="2" t="inlineStr">
        <is>
          <t>Classification</t>
        </is>
      </c>
      <c r="X1665" s="2" t="n">
        <v>-38.6444</v>
      </c>
      <c r="Y1665" s="2" t="n">
        <v>177.9926</v>
      </c>
    </row>
    <row r="1666">
      <c r="A1666" s="2" t="inlineStr">
        <is>
          <t>Downer</t>
        </is>
      </c>
      <c r="B1666" s="2" t="inlineStr">
        <is>
          <t>People (Hamilton Alliance)</t>
        </is>
      </c>
      <c r="C1666" s="2" t="inlineStr">
        <is>
          <t>Other</t>
        </is>
      </c>
      <c r="D1666" s="2" t="inlineStr">
        <is>
          <t>L9.DNZJ.55706</t>
        </is>
      </c>
      <c r="E1666" s="2" t="n">
        <v>55706</v>
      </c>
      <c r="H1666" s="2" t="inlineStr">
        <is>
          <t>130 Kerrs Road</t>
        </is>
      </c>
      <c r="I1666" s="2" t="inlineStr">
        <is>
          <t>Wiri</t>
        </is>
      </c>
      <c r="J1666" s="2" t="inlineStr">
        <is>
          <t>Auckland</t>
        </is>
      </c>
      <c r="K1666" s="2" t="n">
        <v>2104</v>
      </c>
      <c r="L1666" s="2" t="inlineStr">
        <is>
          <t>New Zealand</t>
        </is>
      </c>
      <c r="M1666" s="2" t="inlineStr">
        <is>
          <t>Manurewa</t>
        </is>
      </c>
      <c r="N1666" s="2" t="inlineStr">
        <is>
          <t>New Zealand</t>
        </is>
      </c>
      <c r="P1666" s="2" t="inlineStr">
        <is>
          <t>Operational Control</t>
        </is>
      </c>
      <c r="Q1666" s="2" t="inlineStr">
        <is>
          <t>Operational Control</t>
        </is>
      </c>
      <c r="R1666" s="2" t="inlineStr">
        <is>
          <t>Transport &amp; Infrastructure (T&amp;I)</t>
        </is>
      </c>
      <c r="S1666" s="2" t="inlineStr">
        <is>
          <t>Downer</t>
        </is>
      </c>
      <c r="T1666" s="2" t="n">
        <v>100</v>
      </c>
      <c r="W1666" s="2" t="inlineStr">
        <is>
          <t>Classification</t>
        </is>
      </c>
      <c r="X1666" s="2" t="n">
        <v>-37.0083</v>
      </c>
      <c r="Y1666" s="2" t="n">
        <v>174.8705</v>
      </c>
    </row>
    <row r="1667">
      <c r="A1667" s="2" t="inlineStr">
        <is>
          <t>Downer</t>
        </is>
      </c>
      <c r="B1667" s="2" t="inlineStr">
        <is>
          <t>People (Hastings DC Maint)</t>
        </is>
      </c>
      <c r="C1667" s="2" t="inlineStr">
        <is>
          <t>Other</t>
        </is>
      </c>
      <c r="D1667" s="2" t="inlineStr">
        <is>
          <t>L9.DNZJ.55281</t>
        </is>
      </c>
      <c r="E1667" s="2" t="n">
        <v>55281</v>
      </c>
      <c r="G1667" s="2" t="inlineStr">
        <is>
          <t>it was previously named 'People (Hawkes Bay Maint)'. As per EDW dashboard, this is allocated to People (Hastings DC Maint) with code 55281 (updated by 2024.07.08)</t>
        </is>
      </c>
      <c r="H1667" s="2" t="inlineStr">
        <is>
          <t>130 Kerrs Road</t>
        </is>
      </c>
      <c r="I1667" s="2" t="inlineStr">
        <is>
          <t>Wiri</t>
        </is>
      </c>
      <c r="J1667" s="2" t="inlineStr">
        <is>
          <t>Auckland</t>
        </is>
      </c>
      <c r="K1667" s="2" t="n">
        <v>2104</v>
      </c>
      <c r="L1667" s="2" t="inlineStr">
        <is>
          <t>New Zealand</t>
        </is>
      </c>
      <c r="M1667" s="2" t="inlineStr">
        <is>
          <t>Manurewa</t>
        </is>
      </c>
      <c r="N1667" s="2" t="inlineStr">
        <is>
          <t>New Zealand</t>
        </is>
      </c>
      <c r="P1667" s="2" t="inlineStr">
        <is>
          <t>Operational Control</t>
        </is>
      </c>
      <c r="Q1667" s="2" t="inlineStr">
        <is>
          <t>Operational Control</t>
        </is>
      </c>
      <c r="R1667" s="2" t="inlineStr">
        <is>
          <t>Transport &amp; Infrastructure (T&amp;I)</t>
        </is>
      </c>
      <c r="S1667" s="2" t="inlineStr">
        <is>
          <t>Downer</t>
        </is>
      </c>
      <c r="T1667" s="2" t="n">
        <v>100</v>
      </c>
      <c r="W1667" s="2" t="inlineStr">
        <is>
          <t>Classification</t>
        </is>
      </c>
      <c r="X1667" s="2" t="n">
        <v>-37.0083</v>
      </c>
      <c r="Y1667" s="2" t="n">
        <v>174.8705</v>
      </c>
    </row>
    <row r="1668">
      <c r="A1668" s="2" t="inlineStr">
        <is>
          <t>Downer</t>
        </is>
      </c>
      <c r="B1668" s="2" t="inlineStr">
        <is>
          <t>People (Hawkes Bay Other)</t>
        </is>
      </c>
      <c r="C1668" s="2" t="inlineStr">
        <is>
          <t>Other</t>
        </is>
      </c>
      <c r="D1668" s="2" t="inlineStr">
        <is>
          <t>L9.DNZJ.55751</t>
        </is>
      </c>
      <c r="E1668" s="2" t="n">
        <v>55751</v>
      </c>
      <c r="H1668" s="2" t="inlineStr">
        <is>
          <t>130 Kerrs Road</t>
        </is>
      </c>
      <c r="I1668" s="2" t="inlineStr">
        <is>
          <t>Wiri</t>
        </is>
      </c>
      <c r="J1668" s="2" t="inlineStr">
        <is>
          <t>Auckland</t>
        </is>
      </c>
      <c r="K1668" s="2" t="n">
        <v>2104</v>
      </c>
      <c r="L1668" s="2" t="inlineStr">
        <is>
          <t>New Zealand</t>
        </is>
      </c>
      <c r="M1668" s="2" t="inlineStr">
        <is>
          <t>Manurewa</t>
        </is>
      </c>
      <c r="N1668" s="2" t="inlineStr">
        <is>
          <t>New Zealand</t>
        </is>
      </c>
      <c r="P1668" s="2" t="inlineStr">
        <is>
          <t>Operational Control</t>
        </is>
      </c>
      <c r="Q1668" s="2" t="inlineStr">
        <is>
          <t>Operational Control</t>
        </is>
      </c>
      <c r="R1668" s="2" t="inlineStr">
        <is>
          <t>Transport &amp; Infrastructure (T&amp;I)</t>
        </is>
      </c>
      <c r="S1668" s="2" t="inlineStr">
        <is>
          <t>Downer</t>
        </is>
      </c>
      <c r="T1668" s="2" t="n">
        <v>100</v>
      </c>
      <c r="W1668" s="2" t="inlineStr">
        <is>
          <t>Classification</t>
        </is>
      </c>
      <c r="X1668" s="2" t="n">
        <v>-37.0083</v>
      </c>
      <c r="Y1668" s="2" t="n">
        <v>174.8705</v>
      </c>
    </row>
    <row r="1669">
      <c r="A1669" s="2" t="inlineStr">
        <is>
          <t>Downer</t>
        </is>
      </c>
      <c r="B1669" s="2" t="inlineStr">
        <is>
          <t>People (ITS - Rail)</t>
        </is>
      </c>
      <c r="C1669" s="2" t="inlineStr">
        <is>
          <t>Other</t>
        </is>
      </c>
      <c r="D1669" s="2" t="inlineStr">
        <is>
          <t>L9.DNZJ.54704</t>
        </is>
      </c>
      <c r="E1669" s="2" t="n">
        <v>54704</v>
      </c>
      <c r="M1669" s="2" t="inlineStr">
        <is>
          <t>Manurewa</t>
        </is>
      </c>
      <c r="N1669" s="2" t="inlineStr">
        <is>
          <t>New Zealand</t>
        </is>
      </c>
      <c r="P1669" s="2" t="inlineStr">
        <is>
          <t>Operational Control</t>
        </is>
      </c>
      <c r="Q1669" s="2" t="inlineStr">
        <is>
          <t>Operational Control</t>
        </is>
      </c>
      <c r="R1669" s="2" t="inlineStr">
        <is>
          <t>Transport &amp; Infrastructure (T&amp;I)</t>
        </is>
      </c>
      <c r="S1669" s="2" t="inlineStr">
        <is>
          <t>Downer</t>
        </is>
      </c>
      <c r="T1669" s="2" t="n">
        <v>100</v>
      </c>
      <c r="W1669" s="2" t="inlineStr">
        <is>
          <t>Classification</t>
        </is>
      </c>
    </row>
    <row r="1670">
      <c r="A1670" s="2" t="inlineStr">
        <is>
          <t>Downer</t>
        </is>
      </c>
      <c r="B1670" s="2" t="inlineStr">
        <is>
          <t>People (ITS)</t>
        </is>
      </c>
      <c r="C1670" s="2" t="inlineStr">
        <is>
          <t>Other</t>
        </is>
      </c>
      <c r="D1670" s="2" t="inlineStr">
        <is>
          <t>L9.DNZJ.54702</t>
        </is>
      </c>
      <c r="E1670" s="2" t="n">
        <v>54702</v>
      </c>
      <c r="H1670" s="2" t="inlineStr">
        <is>
          <t>130 Kerrs Road</t>
        </is>
      </c>
      <c r="I1670" s="2" t="inlineStr">
        <is>
          <t>Wiri</t>
        </is>
      </c>
      <c r="J1670" s="2" t="inlineStr">
        <is>
          <t>Auckland</t>
        </is>
      </c>
      <c r="K1670" s="2" t="n">
        <v>2104</v>
      </c>
      <c r="L1670" s="2" t="inlineStr">
        <is>
          <t>New Zealand</t>
        </is>
      </c>
      <c r="M1670" s="2" t="inlineStr">
        <is>
          <t>Manurewa</t>
        </is>
      </c>
      <c r="N1670" s="2" t="inlineStr">
        <is>
          <t>New Zealand</t>
        </is>
      </c>
      <c r="P1670" s="2" t="inlineStr">
        <is>
          <t>Operational Control</t>
        </is>
      </c>
      <c r="Q1670" s="2" t="inlineStr">
        <is>
          <t>Operational Control</t>
        </is>
      </c>
      <c r="R1670" s="2" t="inlineStr">
        <is>
          <t>Transport &amp; Infrastructure (T&amp;I)</t>
        </is>
      </c>
      <c r="S1670" s="2" t="inlineStr">
        <is>
          <t>Downer</t>
        </is>
      </c>
      <c r="T1670" s="2" t="n">
        <v>100</v>
      </c>
      <c r="W1670" s="2" t="inlineStr">
        <is>
          <t>Classification</t>
        </is>
      </c>
      <c r="X1670" s="2" t="n">
        <v>-37.0083</v>
      </c>
      <c r="Y1670" s="2" t="n">
        <v>174.8705</v>
      </c>
    </row>
    <row r="1671">
      <c r="A1671" s="2" t="inlineStr">
        <is>
          <t>Downer</t>
        </is>
      </c>
      <c r="B1671" s="2" t="inlineStr">
        <is>
          <t>People (Kaikoura)</t>
        </is>
      </c>
      <c r="C1671" s="2" t="inlineStr">
        <is>
          <t>Other</t>
        </is>
      </c>
      <c r="D1671" s="2" t="inlineStr">
        <is>
          <t>L9.DNZJ.55768</t>
        </is>
      </c>
      <c r="E1671" s="2" t="n">
        <v>55768</v>
      </c>
      <c r="H1671" s="2" t="inlineStr">
        <is>
          <t>130 Kerrs Road</t>
        </is>
      </c>
      <c r="I1671" s="2" t="inlineStr">
        <is>
          <t>Wiri</t>
        </is>
      </c>
      <c r="J1671" s="2" t="inlineStr">
        <is>
          <t>Auckland</t>
        </is>
      </c>
      <c r="K1671" s="2" t="n">
        <v>2104</v>
      </c>
      <c r="L1671" s="2" t="inlineStr">
        <is>
          <t>New Zealand</t>
        </is>
      </c>
      <c r="M1671" s="2" t="inlineStr">
        <is>
          <t>Manurewa</t>
        </is>
      </c>
      <c r="N1671" s="2" t="inlineStr">
        <is>
          <t>New Zealand</t>
        </is>
      </c>
      <c r="P1671" s="2" t="inlineStr">
        <is>
          <t>Operational Control</t>
        </is>
      </c>
      <c r="Q1671" s="2" t="inlineStr">
        <is>
          <t>Operational Control</t>
        </is>
      </c>
      <c r="R1671" s="2" t="inlineStr">
        <is>
          <t>Transport &amp; Infrastructure (T&amp;I)</t>
        </is>
      </c>
      <c r="S1671" s="2" t="inlineStr">
        <is>
          <t>Downer</t>
        </is>
      </c>
      <c r="T1671" s="2" t="n">
        <v>100</v>
      </c>
      <c r="W1671" s="2" t="inlineStr">
        <is>
          <t>Classification</t>
        </is>
      </c>
      <c r="X1671" s="2" t="n">
        <v>-37.0083</v>
      </c>
      <c r="Y1671" s="2" t="n">
        <v>174.8705</v>
      </c>
    </row>
    <row r="1672">
      <c r="A1672" s="2" t="inlineStr">
        <is>
          <t>Downer</t>
        </is>
      </c>
      <c r="B1672" s="2" t="inlineStr">
        <is>
          <t>People (LS Roadmarking)</t>
        </is>
      </c>
      <c r="C1672" s="2" t="inlineStr">
        <is>
          <t>Other</t>
        </is>
      </c>
      <c r="D1672" s="2" t="inlineStr">
        <is>
          <t>L9.DNZJ.55296</t>
        </is>
      </c>
      <c r="E1672" s="2" t="n">
        <v>55296</v>
      </c>
      <c r="M1672" s="2" t="inlineStr">
        <is>
          <t>Manurewa</t>
        </is>
      </c>
      <c r="N1672" s="2" t="inlineStr">
        <is>
          <t>New Zealand</t>
        </is>
      </c>
      <c r="P1672" s="2" t="inlineStr">
        <is>
          <t>Operational Control</t>
        </is>
      </c>
      <c r="Q1672" s="2" t="inlineStr">
        <is>
          <t>Operational Control</t>
        </is>
      </c>
      <c r="R1672" s="2" t="inlineStr">
        <is>
          <t>Transport &amp; Infrastructure (T&amp;I)</t>
        </is>
      </c>
      <c r="S1672" s="2" t="inlineStr">
        <is>
          <t>Downer</t>
        </is>
      </c>
      <c r="T1672" s="2" t="n">
        <v>100</v>
      </c>
      <c r="W1672" s="2" t="inlineStr">
        <is>
          <t>Classification</t>
        </is>
      </c>
    </row>
    <row r="1673">
      <c r="A1673" s="2" t="inlineStr">
        <is>
          <t>Downer</t>
        </is>
      </c>
      <c r="B1673" s="2" t="inlineStr">
        <is>
          <t>People (Maintenance CHCH)</t>
        </is>
      </c>
      <c r="C1673" s="2" t="inlineStr">
        <is>
          <t>Other</t>
        </is>
      </c>
      <c r="D1673" s="2" t="inlineStr">
        <is>
          <t>L9.DNZJ.55780</t>
        </is>
      </c>
      <c r="E1673" s="2" t="n">
        <v>55780</v>
      </c>
      <c r="H1673" s="2" t="inlineStr">
        <is>
          <t>130 Kerrs Road</t>
        </is>
      </c>
      <c r="I1673" s="2" t="inlineStr">
        <is>
          <t>Wiri</t>
        </is>
      </c>
      <c r="J1673" s="2" t="inlineStr">
        <is>
          <t>Auckland</t>
        </is>
      </c>
      <c r="K1673" s="2" t="n">
        <v>2104</v>
      </c>
      <c r="L1673" s="2" t="inlineStr">
        <is>
          <t>New Zealand</t>
        </is>
      </c>
      <c r="M1673" s="2" t="inlineStr">
        <is>
          <t>Manurewa</t>
        </is>
      </c>
      <c r="N1673" s="2" t="inlineStr">
        <is>
          <t>New Zealand</t>
        </is>
      </c>
      <c r="P1673" s="2" t="inlineStr">
        <is>
          <t>Operational Control</t>
        </is>
      </c>
      <c r="Q1673" s="2" t="inlineStr">
        <is>
          <t>Operational Control</t>
        </is>
      </c>
      <c r="R1673" s="2" t="inlineStr">
        <is>
          <t>Transport &amp; Infrastructure (T&amp;I)</t>
        </is>
      </c>
      <c r="S1673" s="2" t="inlineStr">
        <is>
          <t>Downer</t>
        </is>
      </c>
      <c r="T1673" s="2" t="n">
        <v>100</v>
      </c>
      <c r="W1673" s="2" t="inlineStr">
        <is>
          <t>Classification</t>
        </is>
      </c>
      <c r="X1673" s="2" t="n">
        <v>-37.0083</v>
      </c>
      <c r="Y1673" s="2" t="n">
        <v>174.8705</v>
      </c>
    </row>
    <row r="1674">
      <c r="A1674" s="2" t="inlineStr">
        <is>
          <t>Downer</t>
        </is>
      </c>
      <c r="B1674" s="2" t="inlineStr">
        <is>
          <t>People (Manawatu Construction)</t>
        </is>
      </c>
      <c r="C1674" s="2" t="inlineStr">
        <is>
          <t>Other</t>
        </is>
      </c>
      <c r="D1674" s="2" t="inlineStr">
        <is>
          <t>L9.DNZJ.55758</t>
        </is>
      </c>
      <c r="E1674" s="2" t="n">
        <v>55758</v>
      </c>
      <c r="H1674" s="2" t="inlineStr">
        <is>
          <t>130 Kerrs Road</t>
        </is>
      </c>
      <c r="I1674" s="2" t="inlineStr">
        <is>
          <t>Wiri</t>
        </is>
      </c>
      <c r="J1674" s="2" t="inlineStr">
        <is>
          <t>Auckland</t>
        </is>
      </c>
      <c r="K1674" s="2" t="n">
        <v>2104</v>
      </c>
      <c r="L1674" s="2" t="inlineStr">
        <is>
          <t>New Zealand</t>
        </is>
      </c>
      <c r="M1674" s="2" t="inlineStr">
        <is>
          <t>Manurewa</t>
        </is>
      </c>
      <c r="N1674" s="2" t="inlineStr">
        <is>
          <t>New Zealand</t>
        </is>
      </c>
      <c r="P1674" s="2" t="inlineStr">
        <is>
          <t>Operational Control</t>
        </is>
      </c>
      <c r="Q1674" s="2" t="inlineStr">
        <is>
          <t>Operational Control</t>
        </is>
      </c>
      <c r="R1674" s="2" t="inlineStr">
        <is>
          <t>Transport &amp; Infrastructure (T&amp;I)</t>
        </is>
      </c>
      <c r="S1674" s="2" t="inlineStr">
        <is>
          <t>Downer</t>
        </is>
      </c>
      <c r="T1674" s="2" t="n">
        <v>100</v>
      </c>
      <c r="W1674" s="2" t="inlineStr">
        <is>
          <t>Classification</t>
        </is>
      </c>
      <c r="X1674" s="2" t="n">
        <v>-37.0083</v>
      </c>
      <c r="Y1674" s="2" t="n">
        <v>174.8705</v>
      </c>
    </row>
    <row r="1675">
      <c r="A1675" s="2" t="inlineStr">
        <is>
          <t>Downer</t>
        </is>
      </c>
      <c r="B1675" s="2" t="inlineStr">
        <is>
          <t>People (Milford Road Alliance)</t>
        </is>
      </c>
      <c r="C1675" s="2" t="inlineStr">
        <is>
          <t>Other</t>
        </is>
      </c>
      <c r="D1675" s="2" t="inlineStr">
        <is>
          <t>L9.DNZJ.55793</t>
        </is>
      </c>
      <c r="E1675" s="2" t="n">
        <v>55793</v>
      </c>
      <c r="F1675" s="2" t="n">
        <v>55793</v>
      </c>
      <c r="M1675" s="2" t="inlineStr">
        <is>
          <t>Otago</t>
        </is>
      </c>
      <c r="N1675" s="2" t="inlineStr">
        <is>
          <t>New Zealand</t>
        </is>
      </c>
      <c r="P1675" s="2" t="inlineStr">
        <is>
          <t>Operational Control</t>
        </is>
      </c>
      <c r="Q1675" s="2" t="inlineStr">
        <is>
          <t>Operational Control</t>
        </is>
      </c>
      <c r="R1675" s="2" t="inlineStr">
        <is>
          <t>Transport &amp; Infrastructure (T&amp;I)</t>
        </is>
      </c>
      <c r="S1675" s="2" t="inlineStr">
        <is>
          <t>Downer</t>
        </is>
      </c>
      <c r="T1675" s="2" t="n">
        <v>100</v>
      </c>
      <c r="W1675" s="2" t="inlineStr">
        <is>
          <t>Classification</t>
        </is>
      </c>
    </row>
    <row r="1676">
      <c r="A1676" s="2" t="inlineStr">
        <is>
          <t>Downer</t>
        </is>
      </c>
      <c r="B1676" s="2" t="inlineStr">
        <is>
          <t>People (Napier CC Alliance)</t>
        </is>
      </c>
      <c r="C1676" s="2" t="inlineStr">
        <is>
          <t>Other</t>
        </is>
      </c>
      <c r="D1676" s="2" t="inlineStr">
        <is>
          <t>L9.DNZJ.54723</t>
        </is>
      </c>
      <c r="E1676" s="2" t="n">
        <v>54723</v>
      </c>
      <c r="M1676" s="2" t="inlineStr">
        <is>
          <t>Manurewa</t>
        </is>
      </c>
      <c r="N1676" s="2" t="inlineStr">
        <is>
          <t>New Zealand</t>
        </is>
      </c>
      <c r="P1676" s="2" t="inlineStr">
        <is>
          <t>Operational Control</t>
        </is>
      </c>
      <c r="Q1676" s="2" t="inlineStr">
        <is>
          <t>Operational Control</t>
        </is>
      </c>
      <c r="R1676" s="2" t="inlineStr">
        <is>
          <t>Transport &amp; Infrastructure (T&amp;I)</t>
        </is>
      </c>
      <c r="S1676" s="2" t="inlineStr">
        <is>
          <t>Downer</t>
        </is>
      </c>
      <c r="T1676" s="2" t="n">
        <v>100</v>
      </c>
      <c r="W1676" s="2" t="inlineStr">
        <is>
          <t>Classification</t>
        </is>
      </c>
    </row>
    <row r="1677">
      <c r="A1677" s="2" t="inlineStr">
        <is>
          <t>Downer</t>
        </is>
      </c>
      <c r="B1677" s="2" t="inlineStr">
        <is>
          <t>People (NP Other)</t>
        </is>
      </c>
      <c r="C1677" s="2" t="inlineStr">
        <is>
          <t>Other</t>
        </is>
      </c>
      <c r="D1677" s="2" t="inlineStr">
        <is>
          <t>L9.DNZJ.55746</t>
        </is>
      </c>
      <c r="E1677" s="2" t="n">
        <v>55746</v>
      </c>
      <c r="H1677" s="2" t="inlineStr">
        <is>
          <t>130 Kerrs Road</t>
        </is>
      </c>
      <c r="I1677" s="2" t="inlineStr">
        <is>
          <t>Wiri</t>
        </is>
      </c>
      <c r="J1677" s="2" t="inlineStr">
        <is>
          <t>Auckland</t>
        </is>
      </c>
      <c r="K1677" s="2" t="n">
        <v>2104</v>
      </c>
      <c r="L1677" s="2" t="inlineStr">
        <is>
          <t>New Zealand</t>
        </is>
      </c>
      <c r="M1677" s="2" t="inlineStr">
        <is>
          <t>Manurewa</t>
        </is>
      </c>
      <c r="N1677" s="2" t="inlineStr">
        <is>
          <t>New Zealand</t>
        </is>
      </c>
      <c r="P1677" s="2" t="inlineStr">
        <is>
          <t>Operational Control</t>
        </is>
      </c>
      <c r="Q1677" s="2" t="inlineStr">
        <is>
          <t>Operational Control</t>
        </is>
      </c>
      <c r="R1677" s="2" t="inlineStr">
        <is>
          <t>Transport &amp; Infrastructure (T&amp;I)</t>
        </is>
      </c>
      <c r="S1677" s="2" t="inlineStr">
        <is>
          <t>Downer</t>
        </is>
      </c>
      <c r="T1677" s="2" t="n">
        <v>100</v>
      </c>
      <c r="W1677" s="2" t="inlineStr">
        <is>
          <t>Classification</t>
        </is>
      </c>
      <c r="X1677" s="2" t="n">
        <v>-37.0083</v>
      </c>
      <c r="Y1677" s="2" t="n">
        <v>174.8705</v>
      </c>
    </row>
    <row r="1678">
      <c r="A1678" s="2" t="inlineStr">
        <is>
          <t>Downer</t>
        </is>
      </c>
      <c r="B1678" s="2" t="inlineStr">
        <is>
          <t>People (NPDC)</t>
        </is>
      </c>
      <c r="C1678" s="2" t="inlineStr">
        <is>
          <t>Other</t>
        </is>
      </c>
      <c r="D1678" s="2" t="inlineStr">
        <is>
          <t>L9.DNZJ.55278</t>
        </is>
      </c>
      <c r="E1678" s="2" t="n">
        <v>55278</v>
      </c>
      <c r="H1678" s="2" t="inlineStr">
        <is>
          <t>130 Kerrs Road</t>
        </is>
      </c>
      <c r="I1678" s="2" t="inlineStr">
        <is>
          <t>Wiri</t>
        </is>
      </c>
      <c r="J1678" s="2" t="inlineStr">
        <is>
          <t>Auckland</t>
        </is>
      </c>
      <c r="K1678" s="2" t="n">
        <v>2104</v>
      </c>
      <c r="L1678" s="2" t="inlineStr">
        <is>
          <t>New Zealand</t>
        </is>
      </c>
      <c r="M1678" s="2" t="inlineStr">
        <is>
          <t>Manurewa</t>
        </is>
      </c>
      <c r="N1678" s="2" t="inlineStr">
        <is>
          <t>New Zealand</t>
        </is>
      </c>
      <c r="P1678" s="2" t="inlineStr">
        <is>
          <t>Operational Control</t>
        </is>
      </c>
      <c r="Q1678" s="2" t="inlineStr">
        <is>
          <t>Operational Control</t>
        </is>
      </c>
      <c r="R1678" s="2" t="inlineStr">
        <is>
          <t>Transport &amp; Infrastructure (T&amp;I)</t>
        </is>
      </c>
      <c r="S1678" s="2" t="inlineStr">
        <is>
          <t>Downer</t>
        </is>
      </c>
      <c r="T1678" s="2" t="n">
        <v>100</v>
      </c>
      <c r="W1678" s="2" t="inlineStr">
        <is>
          <t>Classification</t>
        </is>
      </c>
      <c r="X1678" s="2" t="n">
        <v>-37.0083</v>
      </c>
      <c r="Y1678" s="2" t="n">
        <v>174.8705</v>
      </c>
    </row>
    <row r="1679">
      <c r="A1679" s="2" t="inlineStr">
        <is>
          <t>Downer</t>
        </is>
      </c>
      <c r="B1679" s="2" t="inlineStr">
        <is>
          <t>People (Nthn Young Professns)</t>
        </is>
      </c>
      <c r="C1679" s="2" t="inlineStr">
        <is>
          <t>Other</t>
        </is>
      </c>
      <c r="D1679" s="2" t="inlineStr">
        <is>
          <t>L9.DNZJ.55270</t>
        </is>
      </c>
      <c r="E1679" s="2" t="n">
        <v>55270</v>
      </c>
      <c r="M1679" s="2" t="inlineStr">
        <is>
          <t>Manurewa</t>
        </is>
      </c>
      <c r="N1679" s="2" t="inlineStr">
        <is>
          <t>New Zealand</t>
        </is>
      </c>
      <c r="P1679" s="2" t="inlineStr">
        <is>
          <t>Operational Control</t>
        </is>
      </c>
      <c r="Q1679" s="2" t="inlineStr">
        <is>
          <t>Operational Control</t>
        </is>
      </c>
      <c r="R1679" s="2" t="inlineStr">
        <is>
          <t>Transport &amp; Infrastructure (T&amp;I)</t>
        </is>
      </c>
      <c r="S1679" s="2" t="inlineStr">
        <is>
          <t>Downer</t>
        </is>
      </c>
      <c r="T1679" s="2" t="n">
        <v>100</v>
      </c>
      <c r="W1679" s="2" t="inlineStr">
        <is>
          <t>Classification</t>
        </is>
      </c>
    </row>
    <row r="1680">
      <c r="A1680" s="2" t="inlineStr">
        <is>
          <t>Downer</t>
        </is>
      </c>
      <c r="B1680" s="2" t="inlineStr">
        <is>
          <t>People (NZTA Taranaki NOC)</t>
        </is>
      </c>
      <c r="C1680" s="2" t="inlineStr">
        <is>
          <t>Other</t>
        </is>
      </c>
      <c r="D1680" s="2" t="inlineStr">
        <is>
          <t>L9.DNZJ.55277</t>
        </is>
      </c>
      <c r="E1680" s="2" t="n">
        <v>55277</v>
      </c>
      <c r="M1680" s="2" t="inlineStr">
        <is>
          <t>Manurewa</t>
        </is>
      </c>
      <c r="N1680" s="2" t="inlineStr">
        <is>
          <t>New Zealand</t>
        </is>
      </c>
      <c r="P1680" s="2" t="inlineStr">
        <is>
          <t>Operational Control</t>
        </is>
      </c>
      <c r="Q1680" s="2" t="inlineStr">
        <is>
          <t>Operational Control</t>
        </is>
      </c>
      <c r="R1680" s="2" t="inlineStr">
        <is>
          <t>Transport &amp; Infrastructure (T&amp;I)</t>
        </is>
      </c>
      <c r="S1680" s="2" t="inlineStr">
        <is>
          <t>Downer</t>
        </is>
      </c>
      <c r="T1680" s="2" t="n">
        <v>100</v>
      </c>
      <c r="W1680" s="2" t="inlineStr">
        <is>
          <t>Classification</t>
        </is>
      </c>
    </row>
    <row r="1681">
      <c r="A1681" s="2" t="inlineStr">
        <is>
          <t>Downer</t>
        </is>
      </c>
      <c r="B1681" s="2" t="inlineStr">
        <is>
          <t>People (Otago Maintenance)</t>
        </is>
      </c>
      <c r="C1681" s="2" t="inlineStr">
        <is>
          <t>Other</t>
        </is>
      </c>
      <c r="D1681" s="2" t="inlineStr">
        <is>
          <t>L9.DNZJ.55787</t>
        </is>
      </c>
      <c r="E1681" s="2" t="n">
        <v>55787</v>
      </c>
      <c r="H1681" s="2" t="inlineStr">
        <is>
          <t>130 Kerrs Road</t>
        </is>
      </c>
      <c r="I1681" s="2" t="inlineStr">
        <is>
          <t>Wiri</t>
        </is>
      </c>
      <c r="J1681" s="2" t="inlineStr">
        <is>
          <t>Auckland</t>
        </is>
      </c>
      <c r="K1681" s="2" t="n">
        <v>2104</v>
      </c>
      <c r="L1681" s="2" t="inlineStr">
        <is>
          <t>New Zealand</t>
        </is>
      </c>
      <c r="M1681" s="2" t="inlineStr">
        <is>
          <t>Manurewa</t>
        </is>
      </c>
      <c r="N1681" s="2" t="inlineStr">
        <is>
          <t>New Zealand</t>
        </is>
      </c>
      <c r="P1681" s="2" t="inlineStr">
        <is>
          <t>Operational Control</t>
        </is>
      </c>
      <c r="Q1681" s="2" t="inlineStr">
        <is>
          <t>Operational Control</t>
        </is>
      </c>
      <c r="R1681" s="2" t="inlineStr">
        <is>
          <t>Transport &amp; Infrastructure (T&amp;I)</t>
        </is>
      </c>
      <c r="S1681" s="2" t="inlineStr">
        <is>
          <t>Downer</t>
        </is>
      </c>
      <c r="T1681" s="2" t="n">
        <v>100</v>
      </c>
      <c r="W1681" s="2" t="inlineStr">
        <is>
          <t>Classification</t>
        </is>
      </c>
      <c r="X1681" s="2" t="n">
        <v>-37.0083</v>
      </c>
      <c r="Y1681" s="2" t="n">
        <v>174.8705</v>
      </c>
    </row>
    <row r="1682">
      <c r="A1682" s="2" t="inlineStr">
        <is>
          <t>Downer</t>
        </is>
      </c>
      <c r="B1682" s="2" t="inlineStr">
        <is>
          <t>People (Paeroa)</t>
        </is>
      </c>
      <c r="C1682" s="2" t="inlineStr">
        <is>
          <t>Other</t>
        </is>
      </c>
      <c r="D1682" s="2" t="inlineStr">
        <is>
          <t>L9.DNZJ.55713</t>
        </is>
      </c>
      <c r="E1682" s="2" t="n">
        <v>55713</v>
      </c>
      <c r="M1682" s="2" t="inlineStr">
        <is>
          <t>Manurewa</t>
        </is>
      </c>
      <c r="N1682" s="2" t="inlineStr">
        <is>
          <t>New Zealand</t>
        </is>
      </c>
      <c r="P1682" s="2" t="inlineStr">
        <is>
          <t>Operational Control</t>
        </is>
      </c>
      <c r="Q1682" s="2" t="inlineStr">
        <is>
          <t>Operational Control</t>
        </is>
      </c>
      <c r="R1682" s="2" t="inlineStr">
        <is>
          <t>Transport &amp; Infrastructure (T&amp;I)</t>
        </is>
      </c>
      <c r="S1682" s="2" t="inlineStr">
        <is>
          <t>Downer</t>
        </is>
      </c>
      <c r="T1682" s="2" t="n">
        <v>100</v>
      </c>
      <c r="W1682" s="2" t="inlineStr">
        <is>
          <t>Classification</t>
        </is>
      </c>
    </row>
    <row r="1683">
      <c r="A1683" s="2" t="inlineStr">
        <is>
          <t>Downer</t>
        </is>
      </c>
      <c r="B1683" s="2" t="inlineStr">
        <is>
          <t>People (Pavement Services)</t>
        </is>
      </c>
      <c r="C1683" s="2" t="inlineStr">
        <is>
          <t>Other</t>
        </is>
      </c>
      <c r="D1683" s="2" t="inlineStr">
        <is>
          <t>L9.DNZJ.55739</t>
        </is>
      </c>
      <c r="E1683" s="2" t="n">
        <v>55739</v>
      </c>
      <c r="G1683" s="2" t="inlineStr">
        <is>
          <t>TI-NZT-55739 - People (Pavement Services)</t>
        </is>
      </c>
      <c r="M1683" s="2" t="inlineStr">
        <is>
          <t>Auckland</t>
        </is>
      </c>
      <c r="N1683" s="2" t="inlineStr">
        <is>
          <t>New Zealand</t>
        </is>
      </c>
      <c r="P1683" s="2" t="inlineStr">
        <is>
          <t>Operational Control</t>
        </is>
      </c>
      <c r="Q1683" s="2" t="inlineStr">
        <is>
          <t>Operational Control</t>
        </is>
      </c>
      <c r="R1683" s="2" t="inlineStr">
        <is>
          <t>Transport &amp; Infrastructure (T&amp;I)</t>
        </is>
      </c>
      <c r="S1683" s="2" t="inlineStr">
        <is>
          <t>Downer</t>
        </is>
      </c>
      <c r="T1683" s="2" t="n">
        <v>100</v>
      </c>
      <c r="W1683" s="2" t="inlineStr">
        <is>
          <t>Classification</t>
        </is>
      </c>
    </row>
    <row r="1684">
      <c r="A1684" s="2" t="inlineStr">
        <is>
          <t>Downer</t>
        </is>
      </c>
      <c r="B1684" s="2" t="inlineStr">
        <is>
          <t>People (Paving - BOP)</t>
        </is>
      </c>
      <c r="C1684" s="2" t="inlineStr">
        <is>
          <t>Other</t>
        </is>
      </c>
      <c r="D1684" s="2" t="inlineStr">
        <is>
          <t>L9.DNZJ.54717</t>
        </is>
      </c>
      <c r="E1684" s="2" t="n">
        <v>54717</v>
      </c>
      <c r="H1684" s="2" t="inlineStr">
        <is>
          <t>130 Kerrs Road</t>
        </is>
      </c>
      <c r="I1684" s="2" t="inlineStr">
        <is>
          <t>Wiri</t>
        </is>
      </c>
      <c r="J1684" s="2" t="inlineStr">
        <is>
          <t>Auckland</t>
        </is>
      </c>
      <c r="K1684" s="2" t="n">
        <v>2104</v>
      </c>
      <c r="L1684" s="2" t="inlineStr">
        <is>
          <t>New Zealand</t>
        </is>
      </c>
      <c r="M1684" s="2" t="inlineStr">
        <is>
          <t>Manurewa</t>
        </is>
      </c>
      <c r="N1684" s="2" t="inlineStr">
        <is>
          <t>New Zealand</t>
        </is>
      </c>
      <c r="P1684" s="2" t="inlineStr">
        <is>
          <t>Operational Control</t>
        </is>
      </c>
      <c r="Q1684" s="2" t="inlineStr">
        <is>
          <t>Operational Control</t>
        </is>
      </c>
      <c r="R1684" s="2" t="inlineStr">
        <is>
          <t>Transport &amp; Infrastructure (T&amp;I)</t>
        </is>
      </c>
      <c r="S1684" s="2" t="inlineStr">
        <is>
          <t>Downer</t>
        </is>
      </c>
      <c r="T1684" s="2" t="n">
        <v>100</v>
      </c>
      <c r="W1684" s="2" t="inlineStr">
        <is>
          <t>Classification</t>
        </is>
      </c>
      <c r="X1684" s="2" t="n">
        <v>-37.0083</v>
      </c>
      <c r="Y1684" s="2" t="n">
        <v>174.8705</v>
      </c>
    </row>
    <row r="1685">
      <c r="A1685" s="2" t="inlineStr">
        <is>
          <t>Downer</t>
        </is>
      </c>
      <c r="B1685" s="2" t="inlineStr">
        <is>
          <t>People (Paving - CHCH)</t>
        </is>
      </c>
      <c r="C1685" s="2" t="inlineStr">
        <is>
          <t>Other</t>
        </is>
      </c>
      <c r="D1685" s="2" t="inlineStr">
        <is>
          <t>L9.DNZJ.55796</t>
        </is>
      </c>
      <c r="E1685" s="2" t="n">
        <v>55796</v>
      </c>
      <c r="H1685" s="2" t="inlineStr">
        <is>
          <t>130 Kerrs Road</t>
        </is>
      </c>
      <c r="I1685" s="2" t="inlineStr">
        <is>
          <t>Wiri</t>
        </is>
      </c>
      <c r="J1685" s="2" t="inlineStr">
        <is>
          <t>Auckland</t>
        </is>
      </c>
      <c r="K1685" s="2" t="n">
        <v>2104</v>
      </c>
      <c r="L1685" s="2" t="inlineStr">
        <is>
          <t>New Zealand</t>
        </is>
      </c>
      <c r="M1685" s="2" t="inlineStr">
        <is>
          <t>Manurewa</t>
        </is>
      </c>
      <c r="N1685" s="2" t="inlineStr">
        <is>
          <t>New Zealand</t>
        </is>
      </c>
      <c r="P1685" s="2" t="inlineStr">
        <is>
          <t>Operational Control</t>
        </is>
      </c>
      <c r="Q1685" s="2" t="inlineStr">
        <is>
          <t>Operational Control</t>
        </is>
      </c>
      <c r="R1685" s="2" t="inlineStr">
        <is>
          <t>Transport &amp; Infrastructure (T&amp;I)</t>
        </is>
      </c>
      <c r="S1685" s="2" t="inlineStr">
        <is>
          <t>Downer</t>
        </is>
      </c>
      <c r="T1685" s="2" t="n">
        <v>100</v>
      </c>
      <c r="W1685" s="2" t="inlineStr">
        <is>
          <t>Classification</t>
        </is>
      </c>
      <c r="X1685" s="2" t="n">
        <v>-37.0083</v>
      </c>
      <c r="Y1685" s="2" t="n">
        <v>174.8705</v>
      </c>
    </row>
    <row r="1686">
      <c r="A1686" s="2" t="inlineStr">
        <is>
          <t>Downer</t>
        </is>
      </c>
      <c r="B1686" s="2" t="inlineStr">
        <is>
          <t>People (Paving - Gisborne)</t>
        </is>
      </c>
      <c r="C1686" s="2" t="inlineStr">
        <is>
          <t>Other</t>
        </is>
      </c>
      <c r="D1686" s="2" t="inlineStr">
        <is>
          <t>L9.DNZJ.54710</t>
        </is>
      </c>
      <c r="E1686" s="2" t="n">
        <v>54710</v>
      </c>
      <c r="M1686" s="2" t="inlineStr">
        <is>
          <t>Auckland</t>
        </is>
      </c>
      <c r="N1686" s="2" t="inlineStr">
        <is>
          <t>New Zealand</t>
        </is>
      </c>
      <c r="P1686" s="2" t="inlineStr">
        <is>
          <t>Operational Control</t>
        </is>
      </c>
      <c r="Q1686" s="2" t="inlineStr">
        <is>
          <t>Operational Control</t>
        </is>
      </c>
      <c r="R1686" s="2" t="inlineStr">
        <is>
          <t>Transport &amp; Infrastructure (T&amp;I)</t>
        </is>
      </c>
      <c r="S1686" s="2" t="inlineStr">
        <is>
          <t>Downer</t>
        </is>
      </c>
      <c r="T1686" s="2" t="n">
        <v>100</v>
      </c>
      <c r="W1686" s="2" t="inlineStr">
        <is>
          <t>Classification</t>
        </is>
      </c>
    </row>
    <row r="1687">
      <c r="A1687" s="2" t="inlineStr">
        <is>
          <t>Downer</t>
        </is>
      </c>
      <c r="B1687" s="2" t="inlineStr">
        <is>
          <t>People (Paving - Otago/Sthld)</t>
        </is>
      </c>
      <c r="C1687" s="2" t="inlineStr">
        <is>
          <t>Other</t>
        </is>
      </c>
      <c r="D1687" s="2" t="inlineStr">
        <is>
          <t>L9.DNZJ.55792</t>
        </is>
      </c>
      <c r="E1687" s="2" t="n">
        <v>55792</v>
      </c>
      <c r="H1687" s="2" t="inlineStr">
        <is>
          <t>130 Kerrs Road</t>
        </is>
      </c>
      <c r="I1687" s="2" t="inlineStr">
        <is>
          <t>Wiri</t>
        </is>
      </c>
      <c r="J1687" s="2" t="inlineStr">
        <is>
          <t>Auckland</t>
        </is>
      </c>
      <c r="K1687" s="2" t="n">
        <v>2104</v>
      </c>
      <c r="L1687" s="2" t="inlineStr">
        <is>
          <t>New Zealand</t>
        </is>
      </c>
      <c r="M1687" s="2" t="inlineStr">
        <is>
          <t>Manurewa</t>
        </is>
      </c>
      <c r="N1687" s="2" t="inlineStr">
        <is>
          <t>New Zealand</t>
        </is>
      </c>
      <c r="P1687" s="2" t="inlineStr">
        <is>
          <t>Operational Control</t>
        </is>
      </c>
      <c r="Q1687" s="2" t="inlineStr">
        <is>
          <t>Operational Control</t>
        </is>
      </c>
      <c r="R1687" s="2" t="inlineStr">
        <is>
          <t>Transport &amp; Infrastructure (T&amp;I)</t>
        </is>
      </c>
      <c r="S1687" s="2" t="inlineStr">
        <is>
          <t>Downer</t>
        </is>
      </c>
      <c r="T1687" s="2" t="n">
        <v>100</v>
      </c>
      <c r="W1687" s="2" t="inlineStr">
        <is>
          <t>Classification</t>
        </is>
      </c>
      <c r="X1687" s="2" t="n">
        <v>-37.0083</v>
      </c>
      <c r="Y1687" s="2" t="n">
        <v>174.8705</v>
      </c>
    </row>
    <row r="1688">
      <c r="A1688" s="2" t="inlineStr">
        <is>
          <t>Downer</t>
        </is>
      </c>
      <c r="B1688" s="2" t="inlineStr">
        <is>
          <t>People (Paving - Waikato)</t>
        </is>
      </c>
      <c r="C1688" s="2" t="inlineStr">
        <is>
          <t>Other</t>
        </is>
      </c>
      <c r="D1688" s="2" t="inlineStr">
        <is>
          <t>L9.DNZJ.55738</t>
        </is>
      </c>
      <c r="E1688" s="2" t="n">
        <v>55738</v>
      </c>
      <c r="H1688" s="2" t="inlineStr">
        <is>
          <t>130 Kerrs Road</t>
        </is>
      </c>
      <c r="I1688" s="2" t="inlineStr">
        <is>
          <t>Wiri</t>
        </is>
      </c>
      <c r="J1688" s="2" t="inlineStr">
        <is>
          <t>Auckland</t>
        </is>
      </c>
      <c r="K1688" s="2" t="n">
        <v>2104</v>
      </c>
      <c r="L1688" s="2" t="inlineStr">
        <is>
          <t>New Zealand</t>
        </is>
      </c>
      <c r="M1688" s="2" t="inlineStr">
        <is>
          <t>Manurewa</t>
        </is>
      </c>
      <c r="N1688" s="2" t="inlineStr">
        <is>
          <t>New Zealand</t>
        </is>
      </c>
      <c r="P1688" s="2" t="inlineStr">
        <is>
          <t>Operational Control</t>
        </is>
      </c>
      <c r="Q1688" s="2" t="inlineStr">
        <is>
          <t>Operational Control</t>
        </is>
      </c>
      <c r="R1688" s="2" t="inlineStr">
        <is>
          <t>Transport &amp; Infrastructure (T&amp;I)</t>
        </is>
      </c>
      <c r="S1688" s="2" t="inlineStr">
        <is>
          <t>Downer</t>
        </is>
      </c>
      <c r="T1688" s="2" t="n">
        <v>100</v>
      </c>
      <c r="W1688" s="2" t="inlineStr">
        <is>
          <t>Classification</t>
        </is>
      </c>
      <c r="X1688" s="2" t="n">
        <v>-37.0083</v>
      </c>
      <c r="Y1688" s="2" t="n">
        <v>174.8705</v>
      </c>
    </row>
    <row r="1689">
      <c r="A1689" s="2" t="inlineStr">
        <is>
          <t>Downer</t>
        </is>
      </c>
      <c r="B1689" s="2" t="inlineStr">
        <is>
          <t>People (Paving - Wellington)</t>
        </is>
      </c>
      <c r="C1689" s="2" t="inlineStr">
        <is>
          <t>Other</t>
        </is>
      </c>
      <c r="D1689" s="2" t="inlineStr">
        <is>
          <t>L9.DNZJ.55763</t>
        </is>
      </c>
      <c r="E1689" s="2" t="n">
        <v>55763</v>
      </c>
      <c r="H1689" s="2" t="inlineStr">
        <is>
          <t>130 Kerrs Road</t>
        </is>
      </c>
      <c r="I1689" s="2" t="inlineStr">
        <is>
          <t>Wiri</t>
        </is>
      </c>
      <c r="J1689" s="2" t="inlineStr">
        <is>
          <t>Auckland</t>
        </is>
      </c>
      <c r="K1689" s="2" t="n">
        <v>2104</v>
      </c>
      <c r="L1689" s="2" t="inlineStr">
        <is>
          <t>New Zealand</t>
        </is>
      </c>
      <c r="M1689" s="2" t="inlineStr">
        <is>
          <t>Manurewa</t>
        </is>
      </c>
      <c r="N1689" s="2" t="inlineStr">
        <is>
          <t>New Zealand</t>
        </is>
      </c>
      <c r="P1689" s="2" t="inlineStr">
        <is>
          <t>Operational Control</t>
        </is>
      </c>
      <c r="Q1689" s="2" t="inlineStr">
        <is>
          <t>Operational Control</t>
        </is>
      </c>
      <c r="R1689" s="2" t="inlineStr">
        <is>
          <t>Transport &amp; Infrastructure (T&amp;I)</t>
        </is>
      </c>
      <c r="S1689" s="2" t="inlineStr">
        <is>
          <t>Downer</t>
        </is>
      </c>
      <c r="T1689" s="2" t="n">
        <v>100</v>
      </c>
      <c r="W1689" s="2" t="inlineStr">
        <is>
          <t>Classification</t>
        </is>
      </c>
      <c r="X1689" s="2" t="n">
        <v>-37.0083</v>
      </c>
      <c r="Y1689" s="2" t="n">
        <v>174.8705</v>
      </c>
    </row>
    <row r="1690">
      <c r="A1690" s="2" t="inlineStr">
        <is>
          <t>Downer</t>
        </is>
      </c>
      <c r="B1690" s="2" t="inlineStr">
        <is>
          <t>People (PCC Wgtn)</t>
        </is>
      </c>
      <c r="C1690" s="2" t="inlineStr">
        <is>
          <t>Other</t>
        </is>
      </c>
      <c r="D1690" s="2" t="inlineStr">
        <is>
          <t>L9.DNZJ.55717</t>
        </is>
      </c>
      <c r="E1690" s="2" t="n">
        <v>55717</v>
      </c>
      <c r="H1690" s="2" t="inlineStr">
        <is>
          <t>130 Kerrs Road</t>
        </is>
      </c>
      <c r="I1690" s="2" t="inlineStr">
        <is>
          <t>Wiri</t>
        </is>
      </c>
      <c r="J1690" s="2" t="inlineStr">
        <is>
          <t>Auckland</t>
        </is>
      </c>
      <c r="K1690" s="2" t="n">
        <v>2104</v>
      </c>
      <c r="L1690" s="2" t="inlineStr">
        <is>
          <t>New Zealand</t>
        </is>
      </c>
      <c r="M1690" s="2" t="inlineStr">
        <is>
          <t>Manurewa</t>
        </is>
      </c>
      <c r="N1690" s="2" t="inlineStr">
        <is>
          <t>New Zealand</t>
        </is>
      </c>
      <c r="P1690" s="2" t="inlineStr">
        <is>
          <t>Operational Control</t>
        </is>
      </c>
      <c r="Q1690" s="2" t="inlineStr">
        <is>
          <t>Operational Control</t>
        </is>
      </c>
      <c r="R1690" s="2" t="inlineStr">
        <is>
          <t>Transport &amp; Infrastructure (T&amp;I)</t>
        </is>
      </c>
      <c r="S1690" s="2" t="inlineStr">
        <is>
          <t>Downer</t>
        </is>
      </c>
      <c r="T1690" s="2" t="n">
        <v>100</v>
      </c>
      <c r="W1690" s="2" t="inlineStr">
        <is>
          <t>Classification</t>
        </is>
      </c>
      <c r="X1690" s="2" t="n">
        <v>-37.0083</v>
      </c>
      <c r="Y1690" s="2" t="n">
        <v>174.8705</v>
      </c>
    </row>
    <row r="1691">
      <c r="A1691" s="2" t="inlineStr">
        <is>
          <t>Downer</t>
        </is>
      </c>
      <c r="B1691" s="2" t="inlineStr">
        <is>
          <t>People (Queenstown)</t>
        </is>
      </c>
      <c r="C1691" s="2" t="inlineStr">
        <is>
          <t>Other</t>
        </is>
      </c>
      <c r="D1691" s="2" t="inlineStr">
        <is>
          <t>L9.DNZJ.55785</t>
        </is>
      </c>
      <c r="E1691" s="2" t="n">
        <v>55785</v>
      </c>
      <c r="H1691" s="2" t="inlineStr">
        <is>
          <t>130 Kerrs Road</t>
        </is>
      </c>
      <c r="I1691" s="2" t="inlineStr">
        <is>
          <t>Wiri</t>
        </is>
      </c>
      <c r="J1691" s="2" t="inlineStr">
        <is>
          <t>Auckland</t>
        </is>
      </c>
      <c r="K1691" s="2" t="n">
        <v>2104</v>
      </c>
      <c r="L1691" s="2" t="inlineStr">
        <is>
          <t>New Zealand</t>
        </is>
      </c>
      <c r="M1691" s="2" t="inlineStr">
        <is>
          <t>Manurewa</t>
        </is>
      </c>
      <c r="N1691" s="2" t="inlineStr">
        <is>
          <t>New Zealand</t>
        </is>
      </c>
      <c r="P1691" s="2" t="inlineStr">
        <is>
          <t>Operational Control</t>
        </is>
      </c>
      <c r="Q1691" s="2" t="inlineStr">
        <is>
          <t>Operational Control</t>
        </is>
      </c>
      <c r="R1691" s="2" t="inlineStr">
        <is>
          <t>Transport &amp; Infrastructure (T&amp;I)</t>
        </is>
      </c>
      <c r="S1691" s="2" t="inlineStr">
        <is>
          <t>Downer</t>
        </is>
      </c>
      <c r="T1691" s="2" t="n">
        <v>100</v>
      </c>
      <c r="W1691" s="2" t="inlineStr">
        <is>
          <t>Classification</t>
        </is>
      </c>
      <c r="X1691" s="2" t="n">
        <v>-37.0083</v>
      </c>
      <c r="Y1691" s="2" t="n">
        <v>174.8705</v>
      </c>
    </row>
    <row r="1692">
      <c r="A1692" s="2" t="inlineStr">
        <is>
          <t>Downer</t>
        </is>
      </c>
      <c r="B1692" s="2" t="inlineStr">
        <is>
          <t>People (Rangitikei)</t>
        </is>
      </c>
      <c r="C1692" s="2" t="inlineStr">
        <is>
          <t>Other</t>
        </is>
      </c>
      <c r="D1692" s="2" t="inlineStr">
        <is>
          <t>L9.DNZJ.54776</t>
        </is>
      </c>
      <c r="E1692" s="2" t="n">
        <v>54776</v>
      </c>
      <c r="G1692" s="2" t="inlineStr">
        <is>
          <t>TI-NZT-54776 - People (Rangitikei)</t>
        </is>
      </c>
      <c r="M1692" s="2" t="inlineStr">
        <is>
          <t>Whangarei</t>
        </is>
      </c>
      <c r="N1692" s="2" t="inlineStr">
        <is>
          <t>New Zealand</t>
        </is>
      </c>
      <c r="P1692" s="2" t="inlineStr">
        <is>
          <t>Operational Control</t>
        </is>
      </c>
      <c r="Q1692" s="2" t="inlineStr">
        <is>
          <t>Operational Control</t>
        </is>
      </c>
      <c r="R1692" s="2" t="inlineStr">
        <is>
          <t>Transport &amp; Infrastructure (T&amp;I)</t>
        </is>
      </c>
      <c r="S1692" s="2" t="inlineStr">
        <is>
          <t>Downer</t>
        </is>
      </c>
      <c r="T1692" s="2" t="n">
        <v>100</v>
      </c>
      <c r="W1692" s="2" t="inlineStr">
        <is>
          <t>Classification</t>
        </is>
      </c>
    </row>
    <row r="1693">
      <c r="A1693" s="2" t="inlineStr">
        <is>
          <t>Downer</t>
        </is>
      </c>
      <c r="B1693" s="2" t="inlineStr">
        <is>
          <t>People (RM Wgtn)</t>
        </is>
      </c>
      <c r="C1693" s="2" t="inlineStr">
        <is>
          <t>Other</t>
        </is>
      </c>
      <c r="D1693" s="2" t="inlineStr">
        <is>
          <t>L9.DNZJ.55719</t>
        </is>
      </c>
      <c r="E1693" s="2" t="n">
        <v>55719</v>
      </c>
      <c r="H1693" s="2" t="inlineStr">
        <is>
          <t>130 Kerrs Road</t>
        </is>
      </c>
      <c r="I1693" s="2" t="inlineStr">
        <is>
          <t>Wiri</t>
        </is>
      </c>
      <c r="J1693" s="2" t="inlineStr">
        <is>
          <t>Auckland</t>
        </is>
      </c>
      <c r="K1693" s="2" t="n">
        <v>2104</v>
      </c>
      <c r="L1693" s="2" t="inlineStr">
        <is>
          <t>New Zealand</t>
        </is>
      </c>
      <c r="M1693" s="2" t="inlineStr">
        <is>
          <t>Manurewa</t>
        </is>
      </c>
      <c r="N1693" s="2" t="inlineStr">
        <is>
          <t>New Zealand</t>
        </is>
      </c>
      <c r="P1693" s="2" t="inlineStr">
        <is>
          <t>Operational Control</t>
        </is>
      </c>
      <c r="Q1693" s="2" t="inlineStr">
        <is>
          <t>Operational Control</t>
        </is>
      </c>
      <c r="R1693" s="2" t="inlineStr">
        <is>
          <t>Transport &amp; Infrastructure (T&amp;I)</t>
        </is>
      </c>
      <c r="S1693" s="2" t="inlineStr">
        <is>
          <t>Downer</t>
        </is>
      </c>
      <c r="T1693" s="2" t="n">
        <v>100</v>
      </c>
      <c r="W1693" s="2" t="inlineStr">
        <is>
          <t>Classification</t>
        </is>
      </c>
      <c r="X1693" s="2" t="n">
        <v>-37.0083</v>
      </c>
      <c r="Y1693" s="2" t="n">
        <v>174.8705</v>
      </c>
    </row>
    <row r="1694">
      <c r="A1694" s="2" t="inlineStr">
        <is>
          <t>Downer</t>
        </is>
      </c>
      <c r="B1694" s="2" t="inlineStr">
        <is>
          <t>People (Roadmarking National)</t>
        </is>
      </c>
      <c r="C1694" s="2" t="inlineStr">
        <is>
          <t>Other</t>
        </is>
      </c>
      <c r="D1694" s="2" t="inlineStr">
        <is>
          <t>L9.DNZJ.55297</t>
        </is>
      </c>
      <c r="E1694" s="2" t="n">
        <v>55297</v>
      </c>
      <c r="H1694" s="2" t="inlineStr">
        <is>
          <t>130 Kerrs Road</t>
        </is>
      </c>
      <c r="I1694" s="2" t="inlineStr">
        <is>
          <t>Wiri</t>
        </is>
      </c>
      <c r="J1694" s="2" t="inlineStr">
        <is>
          <t>Auckland</t>
        </is>
      </c>
      <c r="K1694" s="2" t="n">
        <v>2104</v>
      </c>
      <c r="L1694" s="2" t="inlineStr">
        <is>
          <t>New Zealand</t>
        </is>
      </c>
      <c r="M1694" s="2" t="inlineStr">
        <is>
          <t>Manurewa</t>
        </is>
      </c>
      <c r="N1694" s="2" t="inlineStr">
        <is>
          <t>New Zealand</t>
        </is>
      </c>
      <c r="P1694" s="2" t="inlineStr">
        <is>
          <t>Operational Control</t>
        </is>
      </c>
      <c r="Q1694" s="2" t="inlineStr">
        <is>
          <t>Operational Control</t>
        </is>
      </c>
      <c r="R1694" s="2" t="inlineStr">
        <is>
          <t>Transport &amp; Infrastructure (T&amp;I)</t>
        </is>
      </c>
      <c r="S1694" s="2" t="inlineStr">
        <is>
          <t>Downer</t>
        </is>
      </c>
      <c r="T1694" s="2" t="n">
        <v>100</v>
      </c>
      <c r="W1694" s="2" t="inlineStr">
        <is>
          <t>Classification</t>
        </is>
      </c>
      <c r="X1694" s="2" t="n">
        <v>-37.0083</v>
      </c>
      <c r="Y1694" s="2" t="n">
        <v>174.8705</v>
      </c>
    </row>
    <row r="1695">
      <c r="A1695" s="2" t="inlineStr">
        <is>
          <t>Downer</t>
        </is>
      </c>
      <c r="B1695" s="2" t="inlineStr">
        <is>
          <t>People (Roadmarking Nthland)</t>
        </is>
      </c>
      <c r="C1695" s="2" t="inlineStr">
        <is>
          <t>Other</t>
        </is>
      </c>
      <c r="D1695" s="2" t="inlineStr">
        <is>
          <t>L9.DNZJ.55727</t>
        </is>
      </c>
      <c r="E1695" s="2" t="n">
        <v>55727</v>
      </c>
      <c r="H1695" s="2" t="inlineStr">
        <is>
          <t>130 Kerrs Road</t>
        </is>
      </c>
      <c r="I1695" s="2" t="inlineStr">
        <is>
          <t>Wiri</t>
        </is>
      </c>
      <c r="J1695" s="2" t="inlineStr">
        <is>
          <t>Auckland</t>
        </is>
      </c>
      <c r="K1695" s="2" t="n">
        <v>2104</v>
      </c>
      <c r="L1695" s="2" t="inlineStr">
        <is>
          <t>New Zealand</t>
        </is>
      </c>
      <c r="M1695" s="2" t="inlineStr">
        <is>
          <t>Manurewa</t>
        </is>
      </c>
      <c r="N1695" s="2" t="inlineStr">
        <is>
          <t>New Zealand</t>
        </is>
      </c>
      <c r="P1695" s="2" t="inlineStr">
        <is>
          <t>Operational Control</t>
        </is>
      </c>
      <c r="Q1695" s="2" t="inlineStr">
        <is>
          <t>Operational Control</t>
        </is>
      </c>
      <c r="R1695" s="2" t="inlineStr">
        <is>
          <t>Transport &amp; Infrastructure (T&amp;I)</t>
        </is>
      </c>
      <c r="S1695" s="2" t="inlineStr">
        <is>
          <t>Downer</t>
        </is>
      </c>
      <c r="T1695" s="2" t="n">
        <v>100</v>
      </c>
      <c r="W1695" s="2" t="inlineStr">
        <is>
          <t>Classification</t>
        </is>
      </c>
      <c r="X1695" s="2" t="n">
        <v>-37.0083</v>
      </c>
      <c r="Y1695" s="2" t="n">
        <v>174.8705</v>
      </c>
    </row>
    <row r="1696">
      <c r="A1696" s="2" t="inlineStr">
        <is>
          <t>Downer</t>
        </is>
      </c>
      <c r="B1696" s="2" t="inlineStr">
        <is>
          <t>People (Roadmarking TKI)</t>
        </is>
      </c>
      <c r="C1696" s="2" t="inlineStr">
        <is>
          <t>Other</t>
        </is>
      </c>
      <c r="D1696" s="2" t="inlineStr">
        <is>
          <t>L9.DNZJ.55287</t>
        </is>
      </c>
      <c r="E1696" s="2" t="n">
        <v>55287</v>
      </c>
      <c r="H1696" s="2" t="inlineStr">
        <is>
          <t>130 Kerrs Road</t>
        </is>
      </c>
      <c r="I1696" s="2" t="inlineStr">
        <is>
          <t>Wiri</t>
        </is>
      </c>
      <c r="J1696" s="2" t="inlineStr">
        <is>
          <t>Auckland</t>
        </is>
      </c>
      <c r="K1696" s="2" t="n">
        <v>2104</v>
      </c>
      <c r="L1696" s="2" t="inlineStr">
        <is>
          <t>New Zealand</t>
        </is>
      </c>
      <c r="M1696" s="2" t="inlineStr">
        <is>
          <t>Manurewa</t>
        </is>
      </c>
      <c r="N1696" s="2" t="inlineStr">
        <is>
          <t>New Zealand</t>
        </is>
      </c>
      <c r="P1696" s="2" t="inlineStr">
        <is>
          <t>Operational Control</t>
        </is>
      </c>
      <c r="Q1696" s="2" t="inlineStr">
        <is>
          <t>Operational Control</t>
        </is>
      </c>
      <c r="R1696" s="2" t="inlineStr">
        <is>
          <t>Transport &amp; Infrastructure (T&amp;I)</t>
        </is>
      </c>
      <c r="S1696" s="2" t="inlineStr">
        <is>
          <t>Downer</t>
        </is>
      </c>
      <c r="T1696" s="2" t="n">
        <v>100</v>
      </c>
      <c r="W1696" s="2" t="inlineStr">
        <is>
          <t>Classification</t>
        </is>
      </c>
      <c r="X1696" s="2" t="n">
        <v>-37.0083</v>
      </c>
      <c r="Y1696" s="2" t="n">
        <v>174.8705</v>
      </c>
    </row>
    <row r="1697">
      <c r="A1697" s="2" t="inlineStr">
        <is>
          <t>Downer</t>
        </is>
      </c>
      <c r="B1697" s="2" t="inlineStr">
        <is>
          <t>People (Roadmarking)</t>
        </is>
      </c>
      <c r="C1697" s="2" t="inlineStr">
        <is>
          <t>Other</t>
        </is>
      </c>
      <c r="D1697" s="2" t="inlineStr">
        <is>
          <t>L9.DNZJ.55276</t>
        </is>
      </c>
      <c r="E1697" s="2" t="n">
        <v>55276</v>
      </c>
      <c r="H1697" s="2" t="inlineStr">
        <is>
          <t>130 Kerrs Road</t>
        </is>
      </c>
      <c r="I1697" s="2" t="inlineStr">
        <is>
          <t>Wiri</t>
        </is>
      </c>
      <c r="J1697" s="2" t="inlineStr">
        <is>
          <t>Auckland</t>
        </is>
      </c>
      <c r="K1697" s="2" t="n">
        <v>2104</v>
      </c>
      <c r="L1697" s="2" t="inlineStr">
        <is>
          <t>New Zealand</t>
        </is>
      </c>
      <c r="M1697" s="2" t="inlineStr">
        <is>
          <t>Manurewa</t>
        </is>
      </c>
      <c r="N1697" s="2" t="inlineStr">
        <is>
          <t>New Zealand</t>
        </is>
      </c>
      <c r="P1697" s="2" t="inlineStr">
        <is>
          <t>Operational Control</t>
        </is>
      </c>
      <c r="Q1697" s="2" t="inlineStr">
        <is>
          <t>Operational Control</t>
        </is>
      </c>
      <c r="R1697" s="2" t="inlineStr">
        <is>
          <t>Transport &amp; Infrastructure (T&amp;I)</t>
        </is>
      </c>
      <c r="S1697" s="2" t="inlineStr">
        <is>
          <t>Downer</t>
        </is>
      </c>
      <c r="T1697" s="2" t="n">
        <v>100</v>
      </c>
      <c r="W1697" s="2" t="inlineStr">
        <is>
          <t>Classification</t>
        </is>
      </c>
      <c r="X1697" s="2" t="n">
        <v>-37.0083</v>
      </c>
      <c r="Y1697" s="2" t="n">
        <v>174.8705</v>
      </c>
    </row>
    <row r="1698">
      <c r="A1698" s="2" t="inlineStr">
        <is>
          <t>Downer</t>
        </is>
      </c>
      <c r="B1698" s="2" t="inlineStr">
        <is>
          <t>People (Sealing - BOP)</t>
        </is>
      </c>
      <c r="C1698" s="2" t="inlineStr">
        <is>
          <t>Other</t>
        </is>
      </c>
      <c r="D1698" s="2" t="inlineStr">
        <is>
          <t>L9.DNZJ.54716</t>
        </is>
      </c>
      <c r="E1698" s="2" t="n">
        <v>54716</v>
      </c>
      <c r="M1698" s="2" t="inlineStr">
        <is>
          <t>Manurewa</t>
        </is>
      </c>
      <c r="N1698" s="2" t="inlineStr">
        <is>
          <t>New Zealand</t>
        </is>
      </c>
      <c r="P1698" s="2" t="inlineStr">
        <is>
          <t>Operational Control</t>
        </is>
      </c>
      <c r="Q1698" s="2" t="inlineStr">
        <is>
          <t>Operational Control</t>
        </is>
      </c>
      <c r="R1698" s="2" t="inlineStr">
        <is>
          <t>Transport &amp; Infrastructure (T&amp;I)</t>
        </is>
      </c>
      <c r="S1698" s="2" t="inlineStr">
        <is>
          <t>Downer</t>
        </is>
      </c>
      <c r="T1698" s="2" t="n">
        <v>100</v>
      </c>
      <c r="W1698" s="2" t="inlineStr">
        <is>
          <t>Classification</t>
        </is>
      </c>
    </row>
    <row r="1699">
      <c r="A1699" s="2" t="inlineStr">
        <is>
          <t>Downer</t>
        </is>
      </c>
      <c r="B1699" s="2" t="inlineStr">
        <is>
          <t>People (Sealing - CHCH)</t>
        </is>
      </c>
      <c r="C1699" s="2" t="inlineStr">
        <is>
          <t>Other</t>
        </is>
      </c>
      <c r="D1699" s="2" t="inlineStr">
        <is>
          <t>L9.DNZJ.55798</t>
        </is>
      </c>
      <c r="E1699" s="2" t="n">
        <v>55798</v>
      </c>
      <c r="H1699" s="2" t="inlineStr">
        <is>
          <t>130 Kerrs Road</t>
        </is>
      </c>
      <c r="I1699" s="2" t="inlineStr">
        <is>
          <t>Wiri</t>
        </is>
      </c>
      <c r="J1699" s="2" t="inlineStr">
        <is>
          <t>Auckland</t>
        </is>
      </c>
      <c r="K1699" s="2" t="n">
        <v>2104</v>
      </c>
      <c r="L1699" s="2" t="inlineStr">
        <is>
          <t>New Zealand</t>
        </is>
      </c>
      <c r="M1699" s="2" t="inlineStr">
        <is>
          <t>Manurewa</t>
        </is>
      </c>
      <c r="N1699" s="2" t="inlineStr">
        <is>
          <t>New Zealand</t>
        </is>
      </c>
      <c r="P1699" s="2" t="inlineStr">
        <is>
          <t>Operational Control</t>
        </is>
      </c>
      <c r="Q1699" s="2" t="inlineStr">
        <is>
          <t>Operational Control</t>
        </is>
      </c>
      <c r="R1699" s="2" t="inlineStr">
        <is>
          <t>Transport &amp; Infrastructure (T&amp;I)</t>
        </is>
      </c>
      <c r="S1699" s="2" t="inlineStr">
        <is>
          <t>Downer</t>
        </is>
      </c>
      <c r="T1699" s="2" t="n">
        <v>100</v>
      </c>
      <c r="W1699" s="2" t="inlineStr">
        <is>
          <t>Classification</t>
        </is>
      </c>
      <c r="X1699" s="2" t="n">
        <v>-37.0083</v>
      </c>
      <c r="Y1699" s="2" t="n">
        <v>174.8705</v>
      </c>
    </row>
    <row r="1700">
      <c r="A1700" s="2" t="inlineStr">
        <is>
          <t>Downer</t>
        </is>
      </c>
      <c r="B1700" s="2" t="inlineStr">
        <is>
          <t>People (Sealing - Hawkes Bay)</t>
        </is>
      </c>
      <c r="C1700" s="2" t="inlineStr">
        <is>
          <t>Other</t>
        </is>
      </c>
      <c r="D1700" s="2" t="inlineStr">
        <is>
          <t>L9.DNZJ.55762</t>
        </is>
      </c>
      <c r="E1700" s="2" t="n">
        <v>55762</v>
      </c>
      <c r="H1700" s="2" t="inlineStr">
        <is>
          <t>130 Kerrs Road</t>
        </is>
      </c>
      <c r="I1700" s="2" t="inlineStr">
        <is>
          <t>Wiri</t>
        </is>
      </c>
      <c r="J1700" s="2" t="inlineStr">
        <is>
          <t>Auckland</t>
        </is>
      </c>
      <c r="K1700" s="2" t="n">
        <v>2104</v>
      </c>
      <c r="L1700" s="2" t="inlineStr">
        <is>
          <t>New Zealand</t>
        </is>
      </c>
      <c r="M1700" s="2" t="inlineStr">
        <is>
          <t>Manurewa</t>
        </is>
      </c>
      <c r="N1700" s="2" t="inlineStr">
        <is>
          <t>New Zealand</t>
        </is>
      </c>
      <c r="P1700" s="2" t="inlineStr">
        <is>
          <t>Operational Control</t>
        </is>
      </c>
      <c r="Q1700" s="2" t="inlineStr">
        <is>
          <t>Operational Control</t>
        </is>
      </c>
      <c r="R1700" s="2" t="inlineStr">
        <is>
          <t>Transport &amp; Infrastructure (T&amp;I)</t>
        </is>
      </c>
      <c r="S1700" s="2" t="inlineStr">
        <is>
          <t>Downer</t>
        </is>
      </c>
      <c r="T1700" s="2" t="n">
        <v>100</v>
      </c>
      <c r="W1700" s="2" t="inlineStr">
        <is>
          <t>Classification</t>
        </is>
      </c>
      <c r="X1700" s="2" t="n">
        <v>-37.0083</v>
      </c>
      <c r="Y1700" s="2" t="n">
        <v>174.8705</v>
      </c>
    </row>
    <row r="1701">
      <c r="A1701" s="2" t="inlineStr">
        <is>
          <t>Downer</t>
        </is>
      </c>
      <c r="B1701" s="2" t="inlineStr">
        <is>
          <t>People (Sealing - Otago/Sthld)</t>
        </is>
      </c>
      <c r="C1701" s="2" t="inlineStr">
        <is>
          <t>Other</t>
        </is>
      </c>
      <c r="D1701" s="2" t="inlineStr">
        <is>
          <t>L9.DNZJ.55795</t>
        </is>
      </c>
      <c r="E1701" s="2" t="n">
        <v>55795</v>
      </c>
      <c r="H1701" s="2" t="inlineStr">
        <is>
          <t>130 Kerrs Road</t>
        </is>
      </c>
      <c r="I1701" s="2" t="inlineStr">
        <is>
          <t>Wiri</t>
        </is>
      </c>
      <c r="J1701" s="2" t="inlineStr">
        <is>
          <t>Auckland</t>
        </is>
      </c>
      <c r="K1701" s="2" t="n">
        <v>2104</v>
      </c>
      <c r="L1701" s="2" t="inlineStr">
        <is>
          <t>New Zealand</t>
        </is>
      </c>
      <c r="M1701" s="2" t="inlineStr">
        <is>
          <t>Manurewa</t>
        </is>
      </c>
      <c r="N1701" s="2" t="inlineStr">
        <is>
          <t>New Zealand</t>
        </is>
      </c>
      <c r="P1701" s="2" t="inlineStr">
        <is>
          <t>Operational Control</t>
        </is>
      </c>
      <c r="Q1701" s="2" t="inlineStr">
        <is>
          <t>Operational Control</t>
        </is>
      </c>
      <c r="R1701" s="2" t="inlineStr">
        <is>
          <t>Transport &amp; Infrastructure (T&amp;I)</t>
        </is>
      </c>
      <c r="S1701" s="2" t="inlineStr">
        <is>
          <t>Downer</t>
        </is>
      </c>
      <c r="T1701" s="2" t="n">
        <v>100</v>
      </c>
      <c r="W1701" s="2" t="inlineStr">
        <is>
          <t>Classification</t>
        </is>
      </c>
      <c r="X1701" s="2" t="n">
        <v>-37.0083</v>
      </c>
      <c r="Y1701" s="2" t="n">
        <v>174.8705</v>
      </c>
    </row>
    <row r="1702">
      <c r="A1702" s="2" t="inlineStr">
        <is>
          <t>Downer</t>
        </is>
      </c>
      <c r="B1702" s="2" t="inlineStr">
        <is>
          <t>People (Sealing - Taranaki)</t>
        </is>
      </c>
      <c r="C1702" s="2" t="inlineStr">
        <is>
          <t>Other</t>
        </is>
      </c>
      <c r="D1702" s="2" t="inlineStr">
        <is>
          <t>L9.DNZJ.55760</t>
        </is>
      </c>
      <c r="E1702" s="2" t="n">
        <v>55760</v>
      </c>
      <c r="H1702" s="2" t="inlineStr">
        <is>
          <t>130 Kerrs Road</t>
        </is>
      </c>
      <c r="I1702" s="2" t="inlineStr">
        <is>
          <t>Wiri</t>
        </is>
      </c>
      <c r="J1702" s="2" t="inlineStr">
        <is>
          <t>Auckland</t>
        </is>
      </c>
      <c r="K1702" s="2" t="n">
        <v>2104</v>
      </c>
      <c r="L1702" s="2" t="inlineStr">
        <is>
          <t>New Zealand</t>
        </is>
      </c>
      <c r="M1702" s="2" t="inlineStr">
        <is>
          <t>Manurewa</t>
        </is>
      </c>
      <c r="N1702" s="2" t="inlineStr">
        <is>
          <t>New Zealand</t>
        </is>
      </c>
      <c r="P1702" s="2" t="inlineStr">
        <is>
          <t>Operational Control</t>
        </is>
      </c>
      <c r="Q1702" s="2" t="inlineStr">
        <is>
          <t>Operational Control</t>
        </is>
      </c>
      <c r="R1702" s="2" t="inlineStr">
        <is>
          <t>Transport &amp; Infrastructure (T&amp;I)</t>
        </is>
      </c>
      <c r="S1702" s="2" t="inlineStr">
        <is>
          <t>Downer</t>
        </is>
      </c>
      <c r="T1702" s="2" t="n">
        <v>100</v>
      </c>
      <c r="W1702" s="2" t="inlineStr">
        <is>
          <t>Classification</t>
        </is>
      </c>
      <c r="X1702" s="2" t="n">
        <v>-37.0083</v>
      </c>
      <c r="Y1702" s="2" t="n">
        <v>174.8705</v>
      </c>
    </row>
    <row r="1703">
      <c r="A1703" s="2" t="inlineStr">
        <is>
          <t>Downer</t>
        </is>
      </c>
      <c r="B1703" s="2" t="inlineStr">
        <is>
          <t>People (Sealing - Tasman)</t>
        </is>
      </c>
      <c r="C1703" s="2" t="inlineStr">
        <is>
          <t>Other</t>
        </is>
      </c>
      <c r="D1703" s="2" t="inlineStr">
        <is>
          <t>L9.DNZJ.55794</t>
        </is>
      </c>
      <c r="E1703" s="2" t="n">
        <v>55794</v>
      </c>
      <c r="M1703" s="2" t="inlineStr">
        <is>
          <t>Tasman</t>
        </is>
      </c>
      <c r="N1703" s="2" t="inlineStr">
        <is>
          <t>New Zealand</t>
        </is>
      </c>
      <c r="P1703" s="2" t="inlineStr">
        <is>
          <t>Operational Control</t>
        </is>
      </c>
      <c r="Q1703" s="2" t="inlineStr">
        <is>
          <t>Operational Control</t>
        </is>
      </c>
      <c r="R1703" s="2" t="inlineStr">
        <is>
          <t>Transport &amp; Infrastructure (T&amp;I)</t>
        </is>
      </c>
      <c r="S1703" s="2" t="inlineStr">
        <is>
          <t>Downer</t>
        </is>
      </c>
      <c r="T1703" s="2" t="n">
        <v>100</v>
      </c>
      <c r="W1703" s="2" t="inlineStr">
        <is>
          <t>Classification</t>
        </is>
      </c>
    </row>
    <row r="1704">
      <c r="A1704" s="2" t="inlineStr">
        <is>
          <t>Downer</t>
        </is>
      </c>
      <c r="B1704" s="2" t="inlineStr">
        <is>
          <t>People (Sealing - Waikato)</t>
        </is>
      </c>
      <c r="C1704" s="2" t="inlineStr">
        <is>
          <t>Other</t>
        </is>
      </c>
      <c r="D1704" s="2" t="inlineStr">
        <is>
          <t>L9.DNZJ.55733</t>
        </is>
      </c>
      <c r="E1704" s="2" t="n">
        <v>55733</v>
      </c>
      <c r="H1704" s="2" t="inlineStr">
        <is>
          <t>130 Kerrs Road</t>
        </is>
      </c>
      <c r="I1704" s="2" t="inlineStr">
        <is>
          <t>Wiri</t>
        </is>
      </c>
      <c r="J1704" s="2" t="inlineStr">
        <is>
          <t>Auckland</t>
        </is>
      </c>
      <c r="K1704" s="2" t="n">
        <v>2104</v>
      </c>
      <c r="L1704" s="2" t="inlineStr">
        <is>
          <t>New Zealand</t>
        </is>
      </c>
      <c r="M1704" s="2" t="inlineStr">
        <is>
          <t>Manurewa</t>
        </is>
      </c>
      <c r="N1704" s="2" t="inlineStr">
        <is>
          <t>New Zealand</t>
        </is>
      </c>
      <c r="P1704" s="2" t="inlineStr">
        <is>
          <t>Operational Control</t>
        </is>
      </c>
      <c r="Q1704" s="2" t="inlineStr">
        <is>
          <t>Operational Control</t>
        </is>
      </c>
      <c r="R1704" s="2" t="inlineStr">
        <is>
          <t>Transport &amp; Infrastructure (T&amp;I)</t>
        </is>
      </c>
      <c r="S1704" s="2" t="inlineStr">
        <is>
          <t>Downer</t>
        </is>
      </c>
      <c r="T1704" s="2" t="n">
        <v>100</v>
      </c>
      <c r="W1704" s="2" t="inlineStr">
        <is>
          <t>Classification</t>
        </is>
      </c>
      <c r="X1704" s="2" t="n">
        <v>-37.0083</v>
      </c>
      <c r="Y1704" s="2" t="n">
        <v>174.8705</v>
      </c>
    </row>
    <row r="1705">
      <c r="A1705" s="2" t="inlineStr">
        <is>
          <t>Downer</t>
        </is>
      </c>
      <c r="B1705" s="2" t="inlineStr">
        <is>
          <t>People (Sealing - Whanganui)</t>
        </is>
      </c>
      <c r="C1705" s="2" t="inlineStr">
        <is>
          <t>Other</t>
        </is>
      </c>
      <c r="D1705" s="2" t="inlineStr">
        <is>
          <t>L9.DNZJ.55237</t>
        </is>
      </c>
      <c r="E1705" s="2" t="n">
        <v>55237</v>
      </c>
      <c r="M1705" s="2" t="inlineStr">
        <is>
          <t>Manurewa</t>
        </is>
      </c>
      <c r="N1705" s="2" t="inlineStr">
        <is>
          <t>New Zealand</t>
        </is>
      </c>
      <c r="P1705" s="2" t="inlineStr">
        <is>
          <t>Operational Control</t>
        </is>
      </c>
      <c r="Q1705" s="2" t="inlineStr">
        <is>
          <t>Operational Control</t>
        </is>
      </c>
      <c r="R1705" s="2" t="inlineStr">
        <is>
          <t>Transport &amp; Infrastructure (T&amp;I)</t>
        </is>
      </c>
      <c r="S1705" s="2" t="inlineStr">
        <is>
          <t>Downer</t>
        </is>
      </c>
      <c r="T1705" s="2" t="n">
        <v>100</v>
      </c>
      <c r="W1705" s="2" t="inlineStr">
        <is>
          <t>Classification</t>
        </is>
      </c>
    </row>
    <row r="1706">
      <c r="A1706" s="2" t="inlineStr">
        <is>
          <t>Downer</t>
        </is>
      </c>
      <c r="B1706" s="2" t="inlineStr">
        <is>
          <t>People (Services Wgtn)</t>
        </is>
      </c>
      <c r="C1706" s="2" t="inlineStr">
        <is>
          <t>Other</t>
        </is>
      </c>
      <c r="D1706" s="2" t="inlineStr">
        <is>
          <t>L9.DNZJ.54741</t>
        </is>
      </c>
      <c r="E1706" s="2" t="n">
        <v>54741</v>
      </c>
      <c r="M1706" s="2" t="inlineStr">
        <is>
          <t>Manurewa</t>
        </is>
      </c>
      <c r="N1706" s="2" t="inlineStr">
        <is>
          <t>New Zealand</t>
        </is>
      </c>
      <c r="P1706" s="2" t="inlineStr">
        <is>
          <t>Operational Control</t>
        </is>
      </c>
      <c r="Q1706" s="2" t="inlineStr">
        <is>
          <t>Operational Control</t>
        </is>
      </c>
      <c r="R1706" s="2" t="inlineStr">
        <is>
          <t>Transport &amp; Infrastructure (T&amp;I)</t>
        </is>
      </c>
      <c r="S1706" s="2" t="inlineStr">
        <is>
          <t>Downer</t>
        </is>
      </c>
      <c r="T1706" s="2" t="n">
        <v>100</v>
      </c>
      <c r="W1706" s="2" t="inlineStr">
        <is>
          <t>Classification</t>
        </is>
      </c>
    </row>
    <row r="1707">
      <c r="A1707" s="2" t="inlineStr">
        <is>
          <t>Downer</t>
        </is>
      </c>
      <c r="B1707" s="2" t="inlineStr">
        <is>
          <t>People (South Canterbury)</t>
        </is>
      </c>
      <c r="C1707" s="2" t="inlineStr">
        <is>
          <t>Other</t>
        </is>
      </c>
      <c r="D1707" s="2" t="inlineStr">
        <is>
          <t>L9.DNZJ.55782</t>
        </is>
      </c>
      <c r="E1707" s="2" t="n">
        <v>55782</v>
      </c>
      <c r="H1707" s="2" t="inlineStr">
        <is>
          <t>130 Kerrs Road</t>
        </is>
      </c>
      <c r="I1707" s="2" t="inlineStr">
        <is>
          <t>Wiri</t>
        </is>
      </c>
      <c r="J1707" s="2" t="inlineStr">
        <is>
          <t>Auckland</t>
        </is>
      </c>
      <c r="K1707" s="2" t="n">
        <v>2104</v>
      </c>
      <c r="L1707" s="2" t="inlineStr">
        <is>
          <t>New Zealand</t>
        </is>
      </c>
      <c r="M1707" s="2" t="inlineStr">
        <is>
          <t>Manurewa</t>
        </is>
      </c>
      <c r="N1707" s="2" t="inlineStr">
        <is>
          <t>New Zealand</t>
        </is>
      </c>
      <c r="P1707" s="2" t="inlineStr">
        <is>
          <t>Operational Control</t>
        </is>
      </c>
      <c r="Q1707" s="2" t="inlineStr">
        <is>
          <t>Operational Control</t>
        </is>
      </c>
      <c r="R1707" s="2" t="inlineStr">
        <is>
          <t>Transport &amp; Infrastructure (T&amp;I)</t>
        </is>
      </c>
      <c r="S1707" s="2" t="inlineStr">
        <is>
          <t>Downer</t>
        </is>
      </c>
      <c r="T1707" s="2" t="n">
        <v>100</v>
      </c>
      <c r="W1707" s="2" t="inlineStr">
        <is>
          <t>Classification</t>
        </is>
      </c>
      <c r="X1707" s="2" t="n">
        <v>-37.0083</v>
      </c>
      <c r="Y1707" s="2" t="n">
        <v>174.8705</v>
      </c>
    </row>
    <row r="1708">
      <c r="A1708" s="2" t="inlineStr">
        <is>
          <t>Downer</t>
        </is>
      </c>
      <c r="B1708" s="2" t="inlineStr">
        <is>
          <t>People (South/Central Const.)</t>
        </is>
      </c>
      <c r="C1708" s="2" t="inlineStr">
        <is>
          <t>Other</t>
        </is>
      </c>
      <c r="D1708" s="2" t="inlineStr">
        <is>
          <t>L9.DNZJ.55789</t>
        </is>
      </c>
      <c r="E1708" s="2" t="n">
        <v>55789</v>
      </c>
      <c r="H1708" s="2" t="inlineStr">
        <is>
          <t>130 Kerrs Road</t>
        </is>
      </c>
      <c r="I1708" s="2" t="inlineStr">
        <is>
          <t>Wiri</t>
        </is>
      </c>
      <c r="J1708" s="2" t="inlineStr">
        <is>
          <t>Auckland</t>
        </is>
      </c>
      <c r="K1708" s="2" t="n">
        <v>2104</v>
      </c>
      <c r="L1708" s="2" t="inlineStr">
        <is>
          <t>New Zealand</t>
        </is>
      </c>
      <c r="M1708" s="2" t="inlineStr">
        <is>
          <t>Manurewa</t>
        </is>
      </c>
      <c r="N1708" s="2" t="inlineStr">
        <is>
          <t>New Zealand</t>
        </is>
      </c>
      <c r="P1708" s="2" t="inlineStr">
        <is>
          <t>Operational Control</t>
        </is>
      </c>
      <c r="Q1708" s="2" t="inlineStr">
        <is>
          <t>Operational Control</t>
        </is>
      </c>
      <c r="R1708" s="2" t="inlineStr">
        <is>
          <t>Transport &amp; Infrastructure (T&amp;I)</t>
        </is>
      </c>
      <c r="S1708" s="2" t="inlineStr">
        <is>
          <t>Downer</t>
        </is>
      </c>
      <c r="T1708" s="2" t="n">
        <v>100</v>
      </c>
      <c r="W1708" s="2" t="inlineStr">
        <is>
          <t>Classification</t>
        </is>
      </c>
      <c r="X1708" s="2" t="n">
        <v>-37.0083</v>
      </c>
      <c r="Y1708" s="2" t="n">
        <v>174.8705</v>
      </c>
    </row>
    <row r="1709">
      <c r="A1709" s="2" t="inlineStr">
        <is>
          <t>Downer</t>
        </is>
      </c>
      <c r="B1709" s="2" t="inlineStr">
        <is>
          <t>People (Taranaki Traffic Serv)</t>
        </is>
      </c>
      <c r="C1709" s="2" t="inlineStr">
        <is>
          <t>Other</t>
        </is>
      </c>
      <c r="D1709" s="2" t="inlineStr">
        <is>
          <t>L9.DNZJ.55299</t>
        </is>
      </c>
      <c r="E1709" s="2" t="n">
        <v>55299</v>
      </c>
      <c r="H1709" s="2" t="inlineStr">
        <is>
          <t>130 Kerrs Road</t>
        </is>
      </c>
      <c r="I1709" s="2" t="inlineStr">
        <is>
          <t>Wiri</t>
        </is>
      </c>
      <c r="J1709" s="2" t="inlineStr">
        <is>
          <t>Auckland</t>
        </is>
      </c>
      <c r="K1709" s="2" t="n">
        <v>2104</v>
      </c>
      <c r="L1709" s="2" t="inlineStr">
        <is>
          <t>New Zealand</t>
        </is>
      </c>
      <c r="M1709" s="2" t="inlineStr">
        <is>
          <t>Manurewa</t>
        </is>
      </c>
      <c r="N1709" s="2" t="inlineStr">
        <is>
          <t>New Zealand</t>
        </is>
      </c>
      <c r="P1709" s="2" t="inlineStr">
        <is>
          <t>Operational Control</t>
        </is>
      </c>
      <c r="Q1709" s="2" t="inlineStr">
        <is>
          <t>Operational Control</t>
        </is>
      </c>
      <c r="R1709" s="2" t="inlineStr">
        <is>
          <t>Transport &amp; Infrastructure (T&amp;I)</t>
        </is>
      </c>
      <c r="S1709" s="2" t="inlineStr">
        <is>
          <t>Downer</t>
        </is>
      </c>
      <c r="T1709" s="2" t="n">
        <v>100</v>
      </c>
      <c r="W1709" s="2" t="inlineStr">
        <is>
          <t>Classification</t>
        </is>
      </c>
      <c r="X1709" s="2" t="n">
        <v>-37.0083</v>
      </c>
      <c r="Y1709" s="2" t="n">
        <v>174.8705</v>
      </c>
    </row>
    <row r="1710">
      <c r="A1710" s="2" t="inlineStr">
        <is>
          <t>Downer</t>
        </is>
      </c>
      <c r="B1710" s="2" t="inlineStr">
        <is>
          <t>People (Tararua)</t>
        </is>
      </c>
      <c r="C1710" s="2" t="inlineStr">
        <is>
          <t>Other</t>
        </is>
      </c>
      <c r="D1710" s="2" t="inlineStr">
        <is>
          <t>L9.DNZJ.55755</t>
        </is>
      </c>
      <c r="E1710" s="2" t="n">
        <v>55755</v>
      </c>
      <c r="H1710" s="2" t="inlineStr">
        <is>
          <t>130 Kerrs Road</t>
        </is>
      </c>
      <c r="I1710" s="2" t="inlineStr">
        <is>
          <t>Wiri</t>
        </is>
      </c>
      <c r="J1710" s="2" t="inlineStr">
        <is>
          <t>Auckland</t>
        </is>
      </c>
      <c r="K1710" s="2" t="n">
        <v>2104</v>
      </c>
      <c r="L1710" s="2" t="inlineStr">
        <is>
          <t>New Zealand</t>
        </is>
      </c>
      <c r="M1710" s="2" t="inlineStr">
        <is>
          <t>Manurewa</t>
        </is>
      </c>
      <c r="N1710" s="2" t="inlineStr">
        <is>
          <t>New Zealand</t>
        </is>
      </c>
      <c r="P1710" s="2" t="inlineStr">
        <is>
          <t>Operational Control</t>
        </is>
      </c>
      <c r="Q1710" s="2" t="inlineStr">
        <is>
          <t>Operational Control</t>
        </is>
      </c>
      <c r="R1710" s="2" t="inlineStr">
        <is>
          <t>Transport &amp; Infrastructure (T&amp;I)</t>
        </is>
      </c>
      <c r="S1710" s="2" t="inlineStr">
        <is>
          <t>Downer</t>
        </is>
      </c>
      <c r="T1710" s="2" t="n">
        <v>100</v>
      </c>
      <c r="W1710" s="2" t="inlineStr">
        <is>
          <t>Classification</t>
        </is>
      </c>
      <c r="X1710" s="2" t="n">
        <v>-37.0083</v>
      </c>
      <c r="Y1710" s="2" t="n">
        <v>174.8705</v>
      </c>
    </row>
    <row r="1711">
      <c r="A1711" s="2" t="inlineStr">
        <is>
          <t>Downer</t>
        </is>
      </c>
      <c r="B1711" s="2" t="inlineStr">
        <is>
          <t>People (Tasman Construction)</t>
        </is>
      </c>
      <c r="C1711" s="2" t="inlineStr">
        <is>
          <t>Other</t>
        </is>
      </c>
      <c r="D1711" s="2" t="inlineStr">
        <is>
          <t>L9.DNZJ.55766</t>
        </is>
      </c>
      <c r="E1711" s="2" t="n">
        <v>55766</v>
      </c>
      <c r="H1711" s="2" t="inlineStr">
        <is>
          <t>130 Kerrs Road</t>
        </is>
      </c>
      <c r="I1711" s="2" t="inlineStr">
        <is>
          <t>Wiri</t>
        </is>
      </c>
      <c r="J1711" s="2" t="inlineStr">
        <is>
          <t>Auckland</t>
        </is>
      </c>
      <c r="K1711" s="2" t="n">
        <v>2104</v>
      </c>
      <c r="L1711" s="2" t="inlineStr">
        <is>
          <t>New Zealand</t>
        </is>
      </c>
      <c r="M1711" s="2" t="inlineStr">
        <is>
          <t>Manurewa</t>
        </is>
      </c>
      <c r="N1711" s="2" t="inlineStr">
        <is>
          <t>New Zealand</t>
        </is>
      </c>
      <c r="P1711" s="2" t="inlineStr">
        <is>
          <t>Operational Control</t>
        </is>
      </c>
      <c r="Q1711" s="2" t="inlineStr">
        <is>
          <t>Operational Control</t>
        </is>
      </c>
      <c r="R1711" s="2" t="inlineStr">
        <is>
          <t>Transport &amp; Infrastructure (T&amp;I)</t>
        </is>
      </c>
      <c r="S1711" s="2" t="inlineStr">
        <is>
          <t>Downer</t>
        </is>
      </c>
      <c r="T1711" s="2" t="n">
        <v>100</v>
      </c>
      <c r="W1711" s="2" t="inlineStr">
        <is>
          <t>Classification</t>
        </is>
      </c>
      <c r="X1711" s="2" t="n">
        <v>-37.0083</v>
      </c>
      <c r="Y1711" s="2" t="n">
        <v>174.8705</v>
      </c>
    </row>
    <row r="1712">
      <c r="A1712" s="2" t="inlineStr">
        <is>
          <t>Downer</t>
        </is>
      </c>
      <c r="B1712" s="2" t="inlineStr">
        <is>
          <t>People (Tasman Road Services)</t>
        </is>
      </c>
      <c r="C1712" s="2" t="inlineStr">
        <is>
          <t>Other</t>
        </is>
      </c>
      <c r="D1712" s="2" t="inlineStr">
        <is>
          <t>L9.DNZJ.55290</t>
        </is>
      </c>
      <c r="E1712" s="2" t="n">
        <v>55290</v>
      </c>
      <c r="H1712" s="2" t="inlineStr">
        <is>
          <t>130 Kerrs Road</t>
        </is>
      </c>
      <c r="I1712" s="2" t="inlineStr">
        <is>
          <t>Wiri</t>
        </is>
      </c>
      <c r="J1712" s="2" t="inlineStr">
        <is>
          <t>Auckland</t>
        </is>
      </c>
      <c r="K1712" s="2" t="n">
        <v>2104</v>
      </c>
      <c r="L1712" s="2" t="inlineStr">
        <is>
          <t>New Zealand</t>
        </is>
      </c>
      <c r="M1712" s="2" t="inlineStr">
        <is>
          <t>Manurewa</t>
        </is>
      </c>
      <c r="N1712" s="2" t="inlineStr">
        <is>
          <t>New Zealand</t>
        </is>
      </c>
      <c r="P1712" s="2" t="inlineStr">
        <is>
          <t>Operational Control</t>
        </is>
      </c>
      <c r="Q1712" s="2" t="inlineStr">
        <is>
          <t>Operational Control</t>
        </is>
      </c>
      <c r="R1712" s="2" t="inlineStr">
        <is>
          <t>Transport &amp; Infrastructure (T&amp;I)</t>
        </is>
      </c>
      <c r="S1712" s="2" t="inlineStr">
        <is>
          <t>Downer</t>
        </is>
      </c>
      <c r="T1712" s="2" t="n">
        <v>100</v>
      </c>
      <c r="W1712" s="2" t="inlineStr">
        <is>
          <t>Classification</t>
        </is>
      </c>
      <c r="X1712" s="2" t="n">
        <v>-37.0083</v>
      </c>
      <c r="Y1712" s="2" t="n">
        <v>174.8705</v>
      </c>
    </row>
    <row r="1713">
      <c r="A1713" s="2" t="inlineStr">
        <is>
          <t>Downer</t>
        </is>
      </c>
      <c r="B1713" s="2" t="inlineStr">
        <is>
          <t>People (Tasman Roadmarking)</t>
        </is>
      </c>
      <c r="C1713" s="2" t="inlineStr">
        <is>
          <t>Other</t>
        </is>
      </c>
      <c r="D1713" s="2" t="inlineStr">
        <is>
          <t>L9.DNZJ.55289</t>
        </is>
      </c>
      <c r="E1713" s="2" t="n">
        <v>55289</v>
      </c>
      <c r="M1713" s="2" t="inlineStr">
        <is>
          <t>Manurewa</t>
        </is>
      </c>
      <c r="N1713" s="2" t="inlineStr">
        <is>
          <t>New Zealand</t>
        </is>
      </c>
      <c r="P1713" s="2" t="inlineStr">
        <is>
          <t>Operational Control</t>
        </is>
      </c>
      <c r="Q1713" s="2" t="inlineStr">
        <is>
          <t>Operational Control</t>
        </is>
      </c>
      <c r="R1713" s="2" t="inlineStr">
        <is>
          <t>Transport &amp; Infrastructure (T&amp;I)</t>
        </is>
      </c>
      <c r="S1713" s="2" t="inlineStr">
        <is>
          <t>Downer</t>
        </is>
      </c>
      <c r="T1713" s="2" t="n">
        <v>100</v>
      </c>
      <c r="W1713" s="2" t="inlineStr">
        <is>
          <t>Classification</t>
        </is>
      </c>
    </row>
    <row r="1714">
      <c r="A1714" s="2" t="inlineStr">
        <is>
          <t>Downer</t>
        </is>
      </c>
      <c r="B1714" s="2" t="inlineStr">
        <is>
          <t>People (Taumarunui)</t>
        </is>
      </c>
      <c r="C1714" s="2" t="inlineStr">
        <is>
          <t>Other</t>
        </is>
      </c>
      <c r="D1714" s="2" t="inlineStr">
        <is>
          <t>L9.DNZJ.55724</t>
        </is>
      </c>
      <c r="E1714" s="2" t="n">
        <v>55724</v>
      </c>
      <c r="H1714" s="2" t="inlineStr">
        <is>
          <t>130 Kerrs Road</t>
        </is>
      </c>
      <c r="I1714" s="2" t="inlineStr">
        <is>
          <t>Wiri</t>
        </is>
      </c>
      <c r="J1714" s="2" t="inlineStr">
        <is>
          <t>Auckland</t>
        </is>
      </c>
      <c r="K1714" s="2" t="n">
        <v>2104</v>
      </c>
      <c r="L1714" s="2" t="inlineStr">
        <is>
          <t>New Zealand</t>
        </is>
      </c>
      <c r="M1714" s="2" t="inlineStr">
        <is>
          <t>Manurewa</t>
        </is>
      </c>
      <c r="N1714" s="2" t="inlineStr">
        <is>
          <t>New Zealand</t>
        </is>
      </c>
      <c r="P1714" s="2" t="inlineStr">
        <is>
          <t>Operational Control</t>
        </is>
      </c>
      <c r="Q1714" s="2" t="inlineStr">
        <is>
          <t>Operational Control</t>
        </is>
      </c>
      <c r="R1714" s="2" t="inlineStr">
        <is>
          <t>Transport &amp; Infrastructure (T&amp;I)</t>
        </is>
      </c>
      <c r="S1714" s="2" t="inlineStr">
        <is>
          <t>Downer</t>
        </is>
      </c>
      <c r="T1714" s="2" t="n">
        <v>100</v>
      </c>
      <c r="W1714" s="2" t="inlineStr">
        <is>
          <t>Classification</t>
        </is>
      </c>
      <c r="X1714" s="2" t="n">
        <v>-37.0083</v>
      </c>
      <c r="Y1714" s="2" t="n">
        <v>174.8705</v>
      </c>
    </row>
    <row r="1715">
      <c r="A1715" s="2" t="inlineStr">
        <is>
          <t>Downer</t>
        </is>
      </c>
      <c r="B1715" s="2" t="inlineStr">
        <is>
          <t>People (Taupo)</t>
        </is>
      </c>
      <c r="C1715" s="2" t="inlineStr">
        <is>
          <t>Other</t>
        </is>
      </c>
      <c r="D1715" s="2" t="inlineStr">
        <is>
          <t>L9.DNZJ.55723</t>
        </is>
      </c>
      <c r="E1715" s="2" t="n">
        <v>55723</v>
      </c>
      <c r="H1715" s="2" t="inlineStr">
        <is>
          <t>130 Kerrs Road</t>
        </is>
      </c>
      <c r="I1715" s="2" t="inlineStr">
        <is>
          <t>Wiri</t>
        </is>
      </c>
      <c r="J1715" s="2" t="inlineStr">
        <is>
          <t>Auckland</t>
        </is>
      </c>
      <c r="K1715" s="2" t="n">
        <v>2104</v>
      </c>
      <c r="L1715" s="2" t="inlineStr">
        <is>
          <t>New Zealand</t>
        </is>
      </c>
      <c r="M1715" s="2" t="inlineStr">
        <is>
          <t>Manurewa</t>
        </is>
      </c>
      <c r="N1715" s="2" t="inlineStr">
        <is>
          <t>New Zealand</t>
        </is>
      </c>
      <c r="P1715" s="2" t="inlineStr">
        <is>
          <t>Operational Control</t>
        </is>
      </c>
      <c r="Q1715" s="2" t="inlineStr">
        <is>
          <t>Operational Control</t>
        </is>
      </c>
      <c r="R1715" s="2" t="inlineStr">
        <is>
          <t>Transport &amp; Infrastructure (T&amp;I)</t>
        </is>
      </c>
      <c r="S1715" s="2" t="inlineStr">
        <is>
          <t>Downer</t>
        </is>
      </c>
      <c r="T1715" s="2" t="n">
        <v>100</v>
      </c>
      <c r="W1715" s="2" t="inlineStr">
        <is>
          <t>Classification</t>
        </is>
      </c>
      <c r="X1715" s="2" t="n">
        <v>-37.0083</v>
      </c>
      <c r="Y1715" s="2" t="n">
        <v>174.8705</v>
      </c>
    </row>
    <row r="1716">
      <c r="A1716" s="2" t="inlineStr">
        <is>
          <t>Downer</t>
        </is>
      </c>
      <c r="B1716" s="2" t="inlineStr">
        <is>
          <t>People (Tauranga)</t>
        </is>
      </c>
      <c r="C1716" s="2" t="inlineStr">
        <is>
          <t>Other</t>
        </is>
      </c>
      <c r="D1716" s="2" t="inlineStr">
        <is>
          <t>L9.DNZJ.55712</t>
        </is>
      </c>
      <c r="E1716" s="2" t="n">
        <v>55712</v>
      </c>
      <c r="H1716" s="2" t="inlineStr">
        <is>
          <t>130 Kerrs Road</t>
        </is>
      </c>
      <c r="I1716" s="2" t="inlineStr">
        <is>
          <t>Wiri</t>
        </is>
      </c>
      <c r="J1716" s="2" t="inlineStr">
        <is>
          <t>Auckland</t>
        </is>
      </c>
      <c r="K1716" s="2" t="n">
        <v>2104</v>
      </c>
      <c r="L1716" s="2" t="inlineStr">
        <is>
          <t>New Zealand</t>
        </is>
      </c>
      <c r="M1716" s="2" t="inlineStr">
        <is>
          <t>Manurewa</t>
        </is>
      </c>
      <c r="N1716" s="2" t="inlineStr">
        <is>
          <t>New Zealand</t>
        </is>
      </c>
      <c r="P1716" s="2" t="inlineStr">
        <is>
          <t>Operational Control</t>
        </is>
      </c>
      <c r="Q1716" s="2" t="inlineStr">
        <is>
          <t>Operational Control</t>
        </is>
      </c>
      <c r="R1716" s="2" t="inlineStr">
        <is>
          <t>Transport &amp; Infrastructure (T&amp;I)</t>
        </is>
      </c>
      <c r="S1716" s="2" t="inlineStr">
        <is>
          <t>Downer</t>
        </is>
      </c>
      <c r="T1716" s="2" t="n">
        <v>100</v>
      </c>
      <c r="W1716" s="2" t="inlineStr">
        <is>
          <t>Classification</t>
        </is>
      </c>
      <c r="X1716" s="2" t="n">
        <v>-37.0083</v>
      </c>
      <c r="Y1716" s="2" t="n">
        <v>174.8705</v>
      </c>
    </row>
    <row r="1717">
      <c r="A1717" s="2" t="inlineStr">
        <is>
          <t>Downer</t>
        </is>
      </c>
      <c r="B1717" s="2" t="inlineStr">
        <is>
          <t>People (TC - Otago)</t>
        </is>
      </c>
      <c r="C1717" s="2" t="inlineStr">
        <is>
          <t>Other</t>
        </is>
      </c>
      <c r="D1717" s="2" t="inlineStr">
        <is>
          <t>L9.DNZJ.54714</t>
        </is>
      </c>
      <c r="E1717" s="2" t="n">
        <v>54714</v>
      </c>
      <c r="H1717" s="2" t="inlineStr">
        <is>
          <t>130 Kerrs Road</t>
        </is>
      </c>
      <c r="I1717" s="2" t="inlineStr">
        <is>
          <t>Wiri</t>
        </is>
      </c>
      <c r="J1717" s="2" t="inlineStr">
        <is>
          <t>Auckland</t>
        </is>
      </c>
      <c r="K1717" s="2" t="n">
        <v>2104</v>
      </c>
      <c r="L1717" s="2" t="inlineStr">
        <is>
          <t>New Zealand</t>
        </is>
      </c>
      <c r="M1717" s="2" t="inlineStr">
        <is>
          <t>Manurewa</t>
        </is>
      </c>
      <c r="N1717" s="2" t="inlineStr">
        <is>
          <t>New Zealand</t>
        </is>
      </c>
      <c r="P1717" s="2" t="inlineStr">
        <is>
          <t>Operational Control</t>
        </is>
      </c>
      <c r="Q1717" s="2" t="inlineStr">
        <is>
          <t>Operational Control</t>
        </is>
      </c>
      <c r="R1717" s="2" t="inlineStr">
        <is>
          <t>Transport &amp; Infrastructure (T&amp;I)</t>
        </is>
      </c>
      <c r="S1717" s="2" t="inlineStr">
        <is>
          <t>Downer</t>
        </is>
      </c>
      <c r="T1717" s="2" t="n">
        <v>100</v>
      </c>
      <c r="W1717" s="2" t="inlineStr">
        <is>
          <t>Classification</t>
        </is>
      </c>
      <c r="X1717" s="2" t="n">
        <v>-37.0083</v>
      </c>
      <c r="Y1717" s="2" t="n">
        <v>174.8705</v>
      </c>
    </row>
    <row r="1718">
      <c r="A1718" s="2" t="inlineStr">
        <is>
          <t>Downer</t>
        </is>
      </c>
      <c r="B1718" s="2" t="inlineStr">
        <is>
          <t>People (TC CHCH)</t>
        </is>
      </c>
      <c r="C1718" s="2" t="inlineStr">
        <is>
          <t>Other</t>
        </is>
      </c>
      <c r="D1718" s="2" t="inlineStr">
        <is>
          <t>L9.DNZJ.55293</t>
        </is>
      </c>
      <c r="E1718" s="2" t="n">
        <v>55293</v>
      </c>
      <c r="H1718" s="2" t="inlineStr">
        <is>
          <t>130 Kerrs Road</t>
        </is>
      </c>
      <c r="I1718" s="2" t="inlineStr">
        <is>
          <t>Wiri</t>
        </is>
      </c>
      <c r="J1718" s="2" t="inlineStr">
        <is>
          <t>Auckland</t>
        </is>
      </c>
      <c r="K1718" s="2" t="n">
        <v>2104</v>
      </c>
      <c r="L1718" s="2" t="inlineStr">
        <is>
          <t>New Zealand</t>
        </is>
      </c>
      <c r="M1718" s="2" t="inlineStr">
        <is>
          <t>Manurewa</t>
        </is>
      </c>
      <c r="N1718" s="2" t="inlineStr">
        <is>
          <t>New Zealand</t>
        </is>
      </c>
      <c r="P1718" s="2" t="inlineStr">
        <is>
          <t>Operational Control</t>
        </is>
      </c>
      <c r="Q1718" s="2" t="inlineStr">
        <is>
          <t>Operational Control</t>
        </is>
      </c>
      <c r="R1718" s="2" t="inlineStr">
        <is>
          <t>Transport &amp; Infrastructure (T&amp;I)</t>
        </is>
      </c>
      <c r="S1718" s="2" t="inlineStr">
        <is>
          <t>Downer</t>
        </is>
      </c>
      <c r="T1718" s="2" t="n">
        <v>100</v>
      </c>
      <c r="W1718" s="2" t="inlineStr">
        <is>
          <t>Classification</t>
        </is>
      </c>
      <c r="X1718" s="2" t="n">
        <v>-37.0083</v>
      </c>
      <c r="Y1718" s="2" t="n">
        <v>174.8705</v>
      </c>
    </row>
    <row r="1719">
      <c r="A1719" s="2" t="inlineStr">
        <is>
          <t>Downer</t>
        </is>
      </c>
      <c r="B1719" s="2" t="inlineStr">
        <is>
          <t>People (TC Gisborne)</t>
        </is>
      </c>
      <c r="C1719" s="2" t="inlineStr">
        <is>
          <t>Other</t>
        </is>
      </c>
      <c r="D1719" s="2" t="inlineStr">
        <is>
          <t>L9.DNZJ.54728</t>
        </is>
      </c>
      <c r="E1719" s="2" t="n">
        <v>54728</v>
      </c>
      <c r="M1719" s="2" t="inlineStr">
        <is>
          <t>Manurewa</t>
        </is>
      </c>
      <c r="N1719" s="2" t="inlineStr">
        <is>
          <t>New Zealand</t>
        </is>
      </c>
      <c r="P1719" s="2" t="inlineStr">
        <is>
          <t>Operational Control</t>
        </is>
      </c>
      <c r="Q1719" s="2" t="inlineStr">
        <is>
          <t>Operational Control</t>
        </is>
      </c>
      <c r="R1719" s="2" t="inlineStr">
        <is>
          <t>Transport &amp; Infrastructure (T&amp;I)</t>
        </is>
      </c>
      <c r="S1719" s="2" t="inlineStr">
        <is>
          <t>Downer</t>
        </is>
      </c>
      <c r="T1719" s="2" t="n">
        <v>100</v>
      </c>
      <c r="W1719" s="2" t="inlineStr">
        <is>
          <t>Classification</t>
        </is>
      </c>
    </row>
    <row r="1720">
      <c r="A1720" s="2" t="inlineStr">
        <is>
          <t>Downer</t>
        </is>
      </c>
      <c r="B1720" s="2" t="inlineStr">
        <is>
          <t>People (TC Hawkes Bay)</t>
        </is>
      </c>
      <c r="C1720" s="2" t="inlineStr">
        <is>
          <t>Other</t>
        </is>
      </c>
      <c r="D1720" s="2" t="inlineStr">
        <is>
          <t>L9.DNZJ.54740</t>
        </is>
      </c>
      <c r="E1720" s="2" t="n">
        <v>54740</v>
      </c>
      <c r="M1720" s="2" t="inlineStr">
        <is>
          <t>Hawke's Bay</t>
        </is>
      </c>
      <c r="N1720" s="2" t="inlineStr">
        <is>
          <t>New Zealand</t>
        </is>
      </c>
      <c r="P1720" s="2" t="inlineStr">
        <is>
          <t>Operational Control</t>
        </is>
      </c>
      <c r="Q1720" s="2" t="inlineStr">
        <is>
          <t>Operational Control</t>
        </is>
      </c>
      <c r="R1720" s="2" t="inlineStr">
        <is>
          <t>Transport &amp; Infrastructure (T&amp;I)</t>
        </is>
      </c>
      <c r="S1720" s="2" t="inlineStr">
        <is>
          <t>Downer</t>
        </is>
      </c>
      <c r="T1720" s="2" t="n">
        <v>100</v>
      </c>
      <c r="W1720" s="2" t="inlineStr">
        <is>
          <t>Classification</t>
        </is>
      </c>
    </row>
    <row r="1721">
      <c r="A1721" s="2" t="inlineStr">
        <is>
          <t>Downer</t>
        </is>
      </c>
      <c r="B1721" s="2" t="inlineStr">
        <is>
          <t>People (TDC Alliance)</t>
        </is>
      </c>
      <c r="C1721" s="2" t="inlineStr">
        <is>
          <t>Other</t>
        </is>
      </c>
      <c r="D1721" s="2" t="inlineStr">
        <is>
          <t>L9.DNZJ.55288</t>
        </is>
      </c>
      <c r="E1721" s="2" t="n">
        <v>55288</v>
      </c>
      <c r="H1721" s="2" t="inlineStr">
        <is>
          <t>130 Kerrs Road</t>
        </is>
      </c>
      <c r="I1721" s="2" t="inlineStr">
        <is>
          <t>Wiri</t>
        </is>
      </c>
      <c r="J1721" s="2" t="inlineStr">
        <is>
          <t>Auckland</t>
        </is>
      </c>
      <c r="K1721" s="2" t="n">
        <v>2104</v>
      </c>
      <c r="L1721" s="2" t="inlineStr">
        <is>
          <t>New Zealand</t>
        </is>
      </c>
      <c r="M1721" s="2" t="inlineStr">
        <is>
          <t>Manurewa</t>
        </is>
      </c>
      <c r="N1721" s="2" t="inlineStr">
        <is>
          <t>New Zealand</t>
        </is>
      </c>
      <c r="P1721" s="2" t="inlineStr">
        <is>
          <t>Operational Control</t>
        </is>
      </c>
      <c r="Q1721" s="2" t="inlineStr">
        <is>
          <t>Operational Control</t>
        </is>
      </c>
      <c r="R1721" s="2" t="inlineStr">
        <is>
          <t>Transport &amp; Infrastructure (T&amp;I)</t>
        </is>
      </c>
      <c r="S1721" s="2" t="inlineStr">
        <is>
          <t>Downer</t>
        </is>
      </c>
      <c r="T1721" s="2" t="n">
        <v>100</v>
      </c>
      <c r="W1721" s="2" t="inlineStr">
        <is>
          <t>Classification</t>
        </is>
      </c>
      <c r="X1721" s="2" t="n">
        <v>-37.0083</v>
      </c>
      <c r="Y1721" s="2" t="n">
        <v>174.8705</v>
      </c>
    </row>
    <row r="1722">
      <c r="A1722" s="2" t="inlineStr">
        <is>
          <t>Downer</t>
        </is>
      </c>
      <c r="B1722" s="2" t="inlineStr">
        <is>
          <t>People (Technical Services)</t>
        </is>
      </c>
      <c r="C1722" s="2" t="inlineStr">
        <is>
          <t>Other</t>
        </is>
      </c>
      <c r="D1722" s="2" t="inlineStr">
        <is>
          <t>L9.DNZJ.55282</t>
        </is>
      </c>
      <c r="E1722" s="2" t="n">
        <v>55282</v>
      </c>
      <c r="H1722" s="2" t="inlineStr">
        <is>
          <t>130 Kerrs Road</t>
        </is>
      </c>
      <c r="I1722" s="2" t="inlineStr">
        <is>
          <t>Wiri</t>
        </is>
      </c>
      <c r="J1722" s="2" t="inlineStr">
        <is>
          <t>Auckland</t>
        </is>
      </c>
      <c r="K1722" s="2" t="n">
        <v>2104</v>
      </c>
      <c r="L1722" s="2" t="inlineStr">
        <is>
          <t>New Zealand</t>
        </is>
      </c>
      <c r="M1722" s="2" t="inlineStr">
        <is>
          <t>Manurewa</t>
        </is>
      </c>
      <c r="N1722" s="2" t="inlineStr">
        <is>
          <t>New Zealand</t>
        </is>
      </c>
      <c r="P1722" s="2" t="inlineStr">
        <is>
          <t>Operational Control</t>
        </is>
      </c>
      <c r="Q1722" s="2" t="inlineStr">
        <is>
          <t>Operational Control</t>
        </is>
      </c>
      <c r="R1722" s="2" t="inlineStr">
        <is>
          <t>Transport &amp; Infrastructure (T&amp;I)</t>
        </is>
      </c>
      <c r="S1722" s="2" t="inlineStr">
        <is>
          <t>Downer</t>
        </is>
      </c>
      <c r="T1722" s="2" t="n">
        <v>100</v>
      </c>
      <c r="W1722" s="2" t="inlineStr">
        <is>
          <t>Classification</t>
        </is>
      </c>
      <c r="X1722" s="2" t="n">
        <v>-37.0083</v>
      </c>
      <c r="Y1722" s="2" t="n">
        <v>174.8705</v>
      </c>
    </row>
    <row r="1723">
      <c r="A1723" s="2" t="inlineStr">
        <is>
          <t>Downer</t>
        </is>
      </c>
      <c r="B1723" s="2" t="inlineStr">
        <is>
          <t>People (Tirau)</t>
        </is>
      </c>
      <c r="C1723" s="2" t="inlineStr">
        <is>
          <t>Other</t>
        </is>
      </c>
      <c r="D1723" s="2" t="inlineStr">
        <is>
          <t>L9.DNZJ.55720</t>
        </is>
      </c>
      <c r="E1723" s="2" t="n">
        <v>55720</v>
      </c>
      <c r="H1723" s="2" t="inlineStr">
        <is>
          <t>130 Kerrs Road</t>
        </is>
      </c>
      <c r="I1723" s="2" t="inlineStr">
        <is>
          <t>Wiri</t>
        </is>
      </c>
      <c r="J1723" s="2" t="inlineStr">
        <is>
          <t>Auckland</t>
        </is>
      </c>
      <c r="K1723" s="2" t="n">
        <v>2104</v>
      </c>
      <c r="L1723" s="2" t="inlineStr">
        <is>
          <t>New Zealand</t>
        </is>
      </c>
      <c r="M1723" s="2" t="inlineStr">
        <is>
          <t>Manurewa</t>
        </is>
      </c>
      <c r="N1723" s="2" t="inlineStr">
        <is>
          <t>New Zealand</t>
        </is>
      </c>
      <c r="P1723" s="2" t="inlineStr">
        <is>
          <t>Operational Control</t>
        </is>
      </c>
      <c r="Q1723" s="2" t="inlineStr">
        <is>
          <t>Operational Control</t>
        </is>
      </c>
      <c r="R1723" s="2" t="inlineStr">
        <is>
          <t>Transport &amp; Infrastructure (T&amp;I)</t>
        </is>
      </c>
      <c r="S1723" s="2" t="inlineStr">
        <is>
          <t>Downer</t>
        </is>
      </c>
      <c r="T1723" s="2" t="n">
        <v>100</v>
      </c>
      <c r="W1723" s="2" t="inlineStr">
        <is>
          <t>Classification</t>
        </is>
      </c>
      <c r="X1723" s="2" t="n">
        <v>-37.0083</v>
      </c>
      <c r="Y1723" s="2" t="n">
        <v>174.8705</v>
      </c>
    </row>
    <row r="1724">
      <c r="A1724" s="2" t="inlineStr">
        <is>
          <t>Downer</t>
        </is>
      </c>
      <c r="B1724" s="2" t="inlineStr">
        <is>
          <t>People (TM Wgtn)</t>
        </is>
      </c>
      <c r="C1724" s="2" t="inlineStr">
        <is>
          <t>Other</t>
        </is>
      </c>
      <c r="D1724" s="2" t="inlineStr">
        <is>
          <t>L9.DNZJ.55726</t>
        </is>
      </c>
      <c r="E1724" s="2" t="n">
        <v>55726</v>
      </c>
      <c r="H1724" s="2" t="inlineStr">
        <is>
          <t>130 Kerrs Road</t>
        </is>
      </c>
      <c r="I1724" s="2" t="inlineStr">
        <is>
          <t>Wiri</t>
        </is>
      </c>
      <c r="J1724" s="2" t="inlineStr">
        <is>
          <t>Auckland</t>
        </is>
      </c>
      <c r="K1724" s="2" t="n">
        <v>2104</v>
      </c>
      <c r="L1724" s="2" t="inlineStr">
        <is>
          <t>New Zealand</t>
        </is>
      </c>
      <c r="M1724" s="2" t="inlineStr">
        <is>
          <t>Manurewa</t>
        </is>
      </c>
      <c r="N1724" s="2" t="inlineStr">
        <is>
          <t>New Zealand</t>
        </is>
      </c>
      <c r="P1724" s="2" t="inlineStr">
        <is>
          <t>Operational Control</t>
        </is>
      </c>
      <c r="Q1724" s="2" t="inlineStr">
        <is>
          <t>Operational Control</t>
        </is>
      </c>
      <c r="R1724" s="2" t="inlineStr">
        <is>
          <t>Transport &amp; Infrastructure (T&amp;I)</t>
        </is>
      </c>
      <c r="S1724" s="2" t="inlineStr">
        <is>
          <t>Downer</t>
        </is>
      </c>
      <c r="T1724" s="2" t="n">
        <v>100</v>
      </c>
      <c r="W1724" s="2" t="inlineStr">
        <is>
          <t>Classification</t>
        </is>
      </c>
      <c r="X1724" s="2" t="n">
        <v>-37.0083</v>
      </c>
      <c r="Y1724" s="2" t="n">
        <v>174.8705</v>
      </c>
    </row>
    <row r="1725">
      <c r="A1725" s="2" t="inlineStr">
        <is>
          <t>Downer</t>
        </is>
      </c>
      <c r="B1725" s="2" t="inlineStr">
        <is>
          <t>People (TNOC Taumaranui)</t>
        </is>
      </c>
      <c r="C1725" s="2" t="inlineStr">
        <is>
          <t>Other</t>
        </is>
      </c>
      <c r="D1725" s="2" t="inlineStr">
        <is>
          <t>L9.DNZJ.54727</t>
        </is>
      </c>
      <c r="E1725" s="2" t="n">
        <v>54727</v>
      </c>
      <c r="H1725" s="2" t="inlineStr">
        <is>
          <t>130 Kerrs Road</t>
        </is>
      </c>
      <c r="I1725" s="2" t="inlineStr">
        <is>
          <t>Wiri</t>
        </is>
      </c>
      <c r="J1725" s="2" t="inlineStr">
        <is>
          <t>Auckland</t>
        </is>
      </c>
      <c r="K1725" s="2" t="n">
        <v>2104</v>
      </c>
      <c r="L1725" s="2" t="inlineStr">
        <is>
          <t>New Zealand</t>
        </is>
      </c>
      <c r="M1725" s="2" t="inlineStr">
        <is>
          <t>Manurewa</t>
        </is>
      </c>
      <c r="N1725" s="2" t="inlineStr">
        <is>
          <t>New Zealand</t>
        </is>
      </c>
      <c r="P1725" s="2" t="inlineStr">
        <is>
          <t>Operational Control</t>
        </is>
      </c>
      <c r="Q1725" s="2" t="inlineStr">
        <is>
          <t>Operational Control</t>
        </is>
      </c>
      <c r="R1725" s="2" t="inlineStr">
        <is>
          <t>Transport &amp; Infrastructure (T&amp;I)</t>
        </is>
      </c>
      <c r="S1725" s="2" t="inlineStr">
        <is>
          <t>Downer</t>
        </is>
      </c>
      <c r="T1725" s="2" t="n">
        <v>100</v>
      </c>
      <c r="W1725" s="2" t="inlineStr">
        <is>
          <t>Classification</t>
        </is>
      </c>
      <c r="X1725" s="2" t="n">
        <v>-37.0083</v>
      </c>
      <c r="Y1725" s="2" t="n">
        <v>174.8705</v>
      </c>
    </row>
    <row r="1726">
      <c r="A1726" s="2" t="inlineStr">
        <is>
          <t>Downer</t>
        </is>
      </c>
      <c r="B1726" s="2" t="inlineStr">
        <is>
          <t>People (TRC Construction)</t>
        </is>
      </c>
      <c r="C1726" s="2" t="inlineStr">
        <is>
          <t>Other</t>
        </is>
      </c>
      <c r="D1726" s="2" t="inlineStr">
        <is>
          <t>L9.DNZJ.3121</t>
        </is>
      </c>
      <c r="E1726" s="2" t="n">
        <v>3121</v>
      </c>
      <c r="H1726" s="2" t="inlineStr">
        <is>
          <t>130 Kerrs Road</t>
        </is>
      </c>
      <c r="I1726" s="2" t="inlineStr">
        <is>
          <t>Wiri</t>
        </is>
      </c>
      <c r="J1726" s="2" t="inlineStr">
        <is>
          <t>Auckland</t>
        </is>
      </c>
      <c r="K1726" s="2" t="n">
        <v>2104</v>
      </c>
      <c r="L1726" s="2" t="inlineStr">
        <is>
          <t>New Zealand</t>
        </is>
      </c>
      <c r="M1726" s="2" t="inlineStr">
        <is>
          <t>Manurewa</t>
        </is>
      </c>
      <c r="N1726" s="2" t="inlineStr">
        <is>
          <t>New Zealand</t>
        </is>
      </c>
      <c r="P1726" s="2" t="inlineStr">
        <is>
          <t>Operational Control</t>
        </is>
      </c>
      <c r="Q1726" s="2" t="inlineStr">
        <is>
          <t>Operational Control</t>
        </is>
      </c>
      <c r="R1726" s="2" t="inlineStr">
        <is>
          <t>Transport &amp; Infrastructure (T&amp;I)</t>
        </is>
      </c>
      <c r="S1726" s="2" t="inlineStr">
        <is>
          <t>Downer</t>
        </is>
      </c>
      <c r="T1726" s="2" t="n">
        <v>100</v>
      </c>
      <c r="W1726" s="2" t="inlineStr">
        <is>
          <t>Classification</t>
        </is>
      </c>
      <c r="X1726" s="2" t="n">
        <v>-37.0083</v>
      </c>
      <c r="Y1726" s="2" t="n">
        <v>174.8705</v>
      </c>
    </row>
    <row r="1727">
      <c r="A1727" s="2" t="inlineStr">
        <is>
          <t>Downer</t>
        </is>
      </c>
      <c r="B1727" s="2" t="inlineStr">
        <is>
          <t>People (TRC Crushing)</t>
        </is>
      </c>
      <c r="C1727" s="2" t="inlineStr">
        <is>
          <t>Other</t>
        </is>
      </c>
      <c r="D1727" s="2" t="inlineStr">
        <is>
          <t>L9.DNZJ.3131</t>
        </is>
      </c>
      <c r="E1727" s="2" t="n">
        <v>3131</v>
      </c>
      <c r="H1727" s="2" t="inlineStr">
        <is>
          <t>130 Kerrs Road</t>
        </is>
      </c>
      <c r="I1727" s="2" t="inlineStr">
        <is>
          <t>Wiri</t>
        </is>
      </c>
      <c r="J1727" s="2" t="inlineStr">
        <is>
          <t>Auckland</t>
        </is>
      </c>
      <c r="K1727" s="2" t="n">
        <v>2104</v>
      </c>
      <c r="L1727" s="2" t="inlineStr">
        <is>
          <t>New Zealand</t>
        </is>
      </c>
      <c r="M1727" s="2" t="inlineStr">
        <is>
          <t>Manurewa</t>
        </is>
      </c>
      <c r="N1727" s="2" t="inlineStr">
        <is>
          <t>New Zealand</t>
        </is>
      </c>
      <c r="P1727" s="2" t="inlineStr">
        <is>
          <t>Operational Control</t>
        </is>
      </c>
      <c r="Q1727" s="2" t="inlineStr">
        <is>
          <t>Operational Control</t>
        </is>
      </c>
      <c r="R1727" s="2" t="inlineStr">
        <is>
          <t>Transport &amp; Infrastructure (T&amp;I)</t>
        </is>
      </c>
      <c r="S1727" s="2" t="inlineStr">
        <is>
          <t>Downer</t>
        </is>
      </c>
      <c r="T1727" s="2" t="n">
        <v>100</v>
      </c>
      <c r="W1727" s="2" t="inlineStr">
        <is>
          <t>Classification</t>
        </is>
      </c>
      <c r="X1727" s="2" t="n">
        <v>-37.0083</v>
      </c>
      <c r="Y1727" s="2" t="n">
        <v>174.8705</v>
      </c>
    </row>
    <row r="1728">
      <c r="A1728" s="2" t="inlineStr">
        <is>
          <t>Downer</t>
        </is>
      </c>
      <c r="B1728" s="2" t="inlineStr">
        <is>
          <t>People (Waikato Alliance)</t>
        </is>
      </c>
      <c r="C1728" s="2" t="inlineStr">
        <is>
          <t>Other</t>
        </is>
      </c>
      <c r="D1728" s="2" t="inlineStr">
        <is>
          <t>L9.DNZJ.55707</t>
        </is>
      </c>
      <c r="E1728" s="2" t="n">
        <v>55707</v>
      </c>
      <c r="H1728" s="2" t="inlineStr">
        <is>
          <t>130 Kerrs Road</t>
        </is>
      </c>
      <c r="I1728" s="2" t="inlineStr">
        <is>
          <t>Wiri</t>
        </is>
      </c>
      <c r="J1728" s="2" t="inlineStr">
        <is>
          <t>Auckland</t>
        </is>
      </c>
      <c r="K1728" s="2" t="n">
        <v>2104</v>
      </c>
      <c r="L1728" s="2" t="inlineStr">
        <is>
          <t>New Zealand</t>
        </is>
      </c>
      <c r="M1728" s="2" t="inlineStr">
        <is>
          <t>Manurewa</t>
        </is>
      </c>
      <c r="N1728" s="2" t="inlineStr">
        <is>
          <t>New Zealand</t>
        </is>
      </c>
      <c r="P1728" s="2" t="inlineStr">
        <is>
          <t>Operational Control</t>
        </is>
      </c>
      <c r="Q1728" s="2" t="inlineStr">
        <is>
          <t>Operational Control</t>
        </is>
      </c>
      <c r="R1728" s="2" t="inlineStr">
        <is>
          <t>Transport &amp; Infrastructure (T&amp;I)</t>
        </is>
      </c>
      <c r="S1728" s="2" t="inlineStr">
        <is>
          <t>Downer</t>
        </is>
      </c>
      <c r="T1728" s="2" t="n">
        <v>100</v>
      </c>
      <c r="W1728" s="2" t="inlineStr">
        <is>
          <t>Classification</t>
        </is>
      </c>
      <c r="X1728" s="2" t="n">
        <v>-37.0083</v>
      </c>
      <c r="Y1728" s="2" t="n">
        <v>174.8705</v>
      </c>
    </row>
    <row r="1729">
      <c r="A1729" s="2" t="inlineStr">
        <is>
          <t>Downer</t>
        </is>
      </c>
      <c r="B1729" s="2" t="inlineStr">
        <is>
          <t>People (Waikato Reg Services)</t>
        </is>
      </c>
      <c r="C1729" s="2" t="inlineStr">
        <is>
          <t>Other</t>
        </is>
      </c>
      <c r="D1729" s="2" t="inlineStr">
        <is>
          <t>L9.DNZJ.54721</t>
        </is>
      </c>
      <c r="E1729" s="2" t="n">
        <v>54721</v>
      </c>
      <c r="M1729" s="2" t="inlineStr">
        <is>
          <t>Manurewa</t>
        </is>
      </c>
      <c r="N1729" s="2" t="inlineStr">
        <is>
          <t>New Zealand</t>
        </is>
      </c>
      <c r="P1729" s="2" t="inlineStr">
        <is>
          <t>Operational Control</t>
        </is>
      </c>
      <c r="Q1729" s="2" t="inlineStr">
        <is>
          <t>Operational Control</t>
        </is>
      </c>
      <c r="R1729" s="2" t="inlineStr">
        <is>
          <t>Transport &amp; Infrastructure (T&amp;I)</t>
        </is>
      </c>
      <c r="S1729" s="2" t="inlineStr">
        <is>
          <t>Downer</t>
        </is>
      </c>
      <c r="T1729" s="2" t="n">
        <v>100</v>
      </c>
      <c r="W1729" s="2" t="inlineStr">
        <is>
          <t>Classification</t>
        </is>
      </c>
    </row>
    <row r="1730">
      <c r="A1730" s="2" t="inlineStr">
        <is>
          <t>Downer</t>
        </is>
      </c>
      <c r="B1730" s="2" t="inlineStr">
        <is>
          <t>People (Waikato TS)</t>
        </is>
      </c>
      <c r="C1730" s="2" t="inlineStr">
        <is>
          <t>Other</t>
        </is>
      </c>
      <c r="D1730" s="2" t="inlineStr">
        <is>
          <t>L9.DNZJ.54719</t>
        </is>
      </c>
      <c r="E1730" s="2" t="n">
        <v>54719</v>
      </c>
      <c r="H1730" s="2" t="inlineStr">
        <is>
          <t>130 Kerrs Road</t>
        </is>
      </c>
      <c r="I1730" s="2" t="inlineStr">
        <is>
          <t>Wiri</t>
        </is>
      </c>
      <c r="J1730" s="2" t="inlineStr">
        <is>
          <t>Auckland</t>
        </is>
      </c>
      <c r="K1730" s="2" t="n">
        <v>2104</v>
      </c>
      <c r="L1730" s="2" t="inlineStr">
        <is>
          <t>New Zealand</t>
        </is>
      </c>
      <c r="M1730" s="2" t="inlineStr">
        <is>
          <t>Manurewa</t>
        </is>
      </c>
      <c r="N1730" s="2" t="inlineStr">
        <is>
          <t>New Zealand</t>
        </is>
      </c>
      <c r="P1730" s="2" t="inlineStr">
        <is>
          <t>Operational Control</t>
        </is>
      </c>
      <c r="Q1730" s="2" t="inlineStr">
        <is>
          <t>Operational Control</t>
        </is>
      </c>
      <c r="R1730" s="2" t="inlineStr">
        <is>
          <t>Transport &amp; Infrastructure (T&amp;I)</t>
        </is>
      </c>
      <c r="S1730" s="2" t="inlineStr">
        <is>
          <t>Downer</t>
        </is>
      </c>
      <c r="T1730" s="2" t="n">
        <v>100</v>
      </c>
      <c r="W1730" s="2" t="inlineStr">
        <is>
          <t>Classification</t>
        </is>
      </c>
      <c r="X1730" s="2" t="n">
        <v>-37.0083</v>
      </c>
      <c r="Y1730" s="2" t="n">
        <v>174.8705</v>
      </c>
    </row>
    <row r="1731">
      <c r="A1731" s="2" t="inlineStr">
        <is>
          <t>Downer</t>
        </is>
      </c>
      <c r="B1731" s="2" t="inlineStr">
        <is>
          <t>People (Waipa DC)</t>
        </is>
      </c>
      <c r="C1731" s="2" t="inlineStr">
        <is>
          <t>Other</t>
        </is>
      </c>
      <c r="D1731" s="2" t="inlineStr">
        <is>
          <t>L9.DNZJ.54839</t>
        </is>
      </c>
      <c r="E1731" s="2" t="n">
        <v>54739</v>
      </c>
      <c r="M1731" s="2" t="inlineStr">
        <is>
          <t>Waikato</t>
        </is>
      </c>
      <c r="N1731" s="2" t="inlineStr">
        <is>
          <t>New Zealand</t>
        </is>
      </c>
      <c r="P1731" s="2" t="inlineStr">
        <is>
          <t>Operational Control</t>
        </is>
      </c>
      <c r="Q1731" s="2" t="inlineStr">
        <is>
          <t>Operational Control</t>
        </is>
      </c>
      <c r="R1731" s="2" t="inlineStr">
        <is>
          <t>Transport &amp; Infrastructure (T&amp;I)</t>
        </is>
      </c>
      <c r="S1731" s="2" t="inlineStr">
        <is>
          <t>Downer</t>
        </is>
      </c>
      <c r="T1731" s="2" t="n">
        <v>100</v>
      </c>
      <c r="W1731" s="2" t="inlineStr">
        <is>
          <t>Classification</t>
        </is>
      </c>
    </row>
    <row r="1732">
      <c r="A1732" s="2" t="inlineStr">
        <is>
          <t>Downer</t>
        </is>
      </c>
      <c r="B1732" s="2" t="inlineStr">
        <is>
          <t>People (WCC Maintenance Wgtn)</t>
        </is>
      </c>
      <c r="C1732" s="2" t="inlineStr">
        <is>
          <t>Other</t>
        </is>
      </c>
      <c r="D1732" s="2" t="inlineStr">
        <is>
          <t>L9.DNZJ.55716</t>
        </is>
      </c>
      <c r="E1732" s="2" t="n">
        <v>55716</v>
      </c>
      <c r="H1732" s="2" t="inlineStr">
        <is>
          <t>130 Kerrs Road</t>
        </is>
      </c>
      <c r="I1732" s="2" t="inlineStr">
        <is>
          <t>Wiri</t>
        </is>
      </c>
      <c r="J1732" s="2" t="inlineStr">
        <is>
          <t>Auckland</t>
        </is>
      </c>
      <c r="K1732" s="2" t="n">
        <v>2104</v>
      </c>
      <c r="L1732" s="2" t="inlineStr">
        <is>
          <t>New Zealand</t>
        </is>
      </c>
      <c r="M1732" s="2" t="inlineStr">
        <is>
          <t>Manurewa</t>
        </is>
      </c>
      <c r="N1732" s="2" t="inlineStr">
        <is>
          <t>New Zealand</t>
        </is>
      </c>
      <c r="P1732" s="2" t="inlineStr">
        <is>
          <t>Operational Control</t>
        </is>
      </c>
      <c r="Q1732" s="2" t="inlineStr">
        <is>
          <t>Operational Control</t>
        </is>
      </c>
      <c r="R1732" s="2" t="inlineStr">
        <is>
          <t>Transport &amp; Infrastructure (T&amp;I)</t>
        </is>
      </c>
      <c r="S1732" s="2" t="inlineStr">
        <is>
          <t>Downer</t>
        </is>
      </c>
      <c r="T1732" s="2" t="n">
        <v>100</v>
      </c>
      <c r="W1732" s="2" t="inlineStr">
        <is>
          <t>Classification</t>
        </is>
      </c>
      <c r="X1732" s="2" t="n">
        <v>-37.0083</v>
      </c>
      <c r="Y1732" s="2" t="n">
        <v>174.8705</v>
      </c>
    </row>
    <row r="1733">
      <c r="A1733" s="2" t="inlineStr">
        <is>
          <t>Downer</t>
        </is>
      </c>
      <c r="B1733" s="2" t="inlineStr">
        <is>
          <t>People (Wellington Other)</t>
        </is>
      </c>
      <c r="C1733" s="2" t="inlineStr">
        <is>
          <t>Other</t>
        </is>
      </c>
      <c r="D1733" s="2" t="inlineStr">
        <is>
          <t>L9.DNZJ.55756</t>
        </is>
      </c>
      <c r="E1733" s="2" t="n">
        <v>55756</v>
      </c>
      <c r="H1733" s="2" t="inlineStr">
        <is>
          <t>130 Kerrs Road</t>
        </is>
      </c>
      <c r="I1733" s="2" t="inlineStr">
        <is>
          <t>Wiri</t>
        </is>
      </c>
      <c r="J1733" s="2" t="inlineStr">
        <is>
          <t>Auckland</t>
        </is>
      </c>
      <c r="K1733" s="2" t="n">
        <v>2104</v>
      </c>
      <c r="L1733" s="2" t="inlineStr">
        <is>
          <t>New Zealand</t>
        </is>
      </c>
      <c r="M1733" s="2" t="inlineStr">
        <is>
          <t>Manurewa</t>
        </is>
      </c>
      <c r="N1733" s="2" t="inlineStr">
        <is>
          <t>New Zealand</t>
        </is>
      </c>
      <c r="P1733" s="2" t="inlineStr">
        <is>
          <t>Operational Control</t>
        </is>
      </c>
      <c r="Q1733" s="2" t="inlineStr">
        <is>
          <t>Operational Control</t>
        </is>
      </c>
      <c r="R1733" s="2" t="inlineStr">
        <is>
          <t>Transport &amp; Infrastructure (T&amp;I)</t>
        </is>
      </c>
      <c r="S1733" s="2" t="inlineStr">
        <is>
          <t>Downer</t>
        </is>
      </c>
      <c r="T1733" s="2" t="n">
        <v>100</v>
      </c>
      <c r="W1733" s="2" t="inlineStr">
        <is>
          <t>Classification</t>
        </is>
      </c>
      <c r="X1733" s="2" t="n">
        <v>-37.0083</v>
      </c>
      <c r="Y1733" s="2" t="n">
        <v>174.8705</v>
      </c>
    </row>
    <row r="1734">
      <c r="A1734" s="2" t="inlineStr">
        <is>
          <t>Downer</t>
        </is>
      </c>
      <c r="B1734" s="2" t="inlineStr">
        <is>
          <t>People (Whanganui Alliance)</t>
        </is>
      </c>
      <c r="C1734" s="2" t="inlineStr">
        <is>
          <t>Other</t>
        </is>
      </c>
      <c r="D1734" s="2" t="inlineStr">
        <is>
          <t>L9.DNZJ.55754</t>
        </is>
      </c>
      <c r="E1734" s="2" t="n">
        <v>55754</v>
      </c>
      <c r="H1734" s="2" t="inlineStr">
        <is>
          <t>130 Kerrs Road</t>
        </is>
      </c>
      <c r="I1734" s="2" t="inlineStr">
        <is>
          <t>Wiri</t>
        </is>
      </c>
      <c r="J1734" s="2" t="inlineStr">
        <is>
          <t>Auckland</t>
        </is>
      </c>
      <c r="K1734" s="2" t="n">
        <v>2104</v>
      </c>
      <c r="L1734" s="2" t="inlineStr">
        <is>
          <t>New Zealand</t>
        </is>
      </c>
      <c r="M1734" s="2" t="inlineStr">
        <is>
          <t>Manurewa</t>
        </is>
      </c>
      <c r="N1734" s="2" t="inlineStr">
        <is>
          <t>New Zealand</t>
        </is>
      </c>
      <c r="P1734" s="2" t="inlineStr">
        <is>
          <t>Operational Control</t>
        </is>
      </c>
      <c r="Q1734" s="2" t="inlineStr">
        <is>
          <t>Operational Control</t>
        </is>
      </c>
      <c r="R1734" s="2" t="inlineStr">
        <is>
          <t>Transport &amp; Infrastructure (T&amp;I)</t>
        </is>
      </c>
      <c r="S1734" s="2" t="inlineStr">
        <is>
          <t>Downer</t>
        </is>
      </c>
      <c r="T1734" s="2" t="n">
        <v>100</v>
      </c>
      <c r="W1734" s="2" t="inlineStr">
        <is>
          <t>Classification</t>
        </is>
      </c>
      <c r="X1734" s="2" t="n">
        <v>-37.0083</v>
      </c>
      <c r="Y1734" s="2" t="n">
        <v>174.8705</v>
      </c>
    </row>
    <row r="1735">
      <c r="A1735" s="2" t="inlineStr">
        <is>
          <t>Downer</t>
        </is>
      </c>
      <c r="B1735" s="2" t="inlineStr">
        <is>
          <t>People (Whanganui Other)</t>
        </is>
      </c>
      <c r="C1735" s="2" t="inlineStr">
        <is>
          <t>Other</t>
        </is>
      </c>
      <c r="D1735" s="2" t="inlineStr">
        <is>
          <t>L9.DNZJ.54735</t>
        </is>
      </c>
      <c r="E1735" s="2" t="n">
        <v>54735</v>
      </c>
      <c r="M1735" s="2" t="inlineStr">
        <is>
          <t>Whangarei</t>
        </is>
      </c>
      <c r="N1735" s="2" t="inlineStr">
        <is>
          <t>New Zealand</t>
        </is>
      </c>
      <c r="P1735" s="2" t="inlineStr">
        <is>
          <t>Operational Control</t>
        </is>
      </c>
      <c r="Q1735" s="2" t="inlineStr">
        <is>
          <t>Operational Control</t>
        </is>
      </c>
      <c r="R1735" s="2" t="inlineStr">
        <is>
          <t>Transport &amp; Infrastructure (T&amp;I)</t>
        </is>
      </c>
      <c r="S1735" s="2" t="inlineStr">
        <is>
          <t>Downer</t>
        </is>
      </c>
      <c r="T1735" s="2" t="n">
        <v>100</v>
      </c>
      <c r="W1735" s="2" t="inlineStr">
        <is>
          <t>Classification</t>
        </is>
      </c>
    </row>
    <row r="1736">
      <c r="A1736" s="2" t="inlineStr">
        <is>
          <t>Downer</t>
        </is>
      </c>
      <c r="B1736" s="2" t="inlineStr">
        <is>
          <t>People AT Central Urban RCM</t>
        </is>
      </c>
      <c r="C1736" s="2" t="inlineStr">
        <is>
          <t>Other</t>
        </is>
      </c>
      <c r="D1736" s="2" t="inlineStr">
        <is>
          <t>L9.DNZJ.55740</t>
        </is>
      </c>
      <c r="E1736" s="2" t="n">
        <v>55740</v>
      </c>
      <c r="H1736" s="2" t="inlineStr">
        <is>
          <t>130 Kerrs Road</t>
        </is>
      </c>
      <c r="I1736" s="2" t="inlineStr">
        <is>
          <t>Wiri</t>
        </is>
      </c>
      <c r="J1736" s="2" t="inlineStr">
        <is>
          <t>Auckland</t>
        </is>
      </c>
      <c r="K1736" s="2" t="n">
        <v>2104</v>
      </c>
      <c r="L1736" s="2" t="inlineStr">
        <is>
          <t>New Zealand</t>
        </is>
      </c>
      <c r="M1736" s="2" t="inlineStr">
        <is>
          <t>Manurewa</t>
        </is>
      </c>
      <c r="N1736" s="2" t="inlineStr">
        <is>
          <t>New Zealand</t>
        </is>
      </c>
      <c r="P1736" s="2" t="inlineStr">
        <is>
          <t>Operational Control</t>
        </is>
      </c>
      <c r="Q1736" s="2" t="inlineStr">
        <is>
          <t>Operational Control</t>
        </is>
      </c>
      <c r="R1736" s="2" t="inlineStr">
        <is>
          <t>Transport &amp; Infrastructure (T&amp;I)</t>
        </is>
      </c>
      <c r="S1736" s="2" t="inlineStr">
        <is>
          <t>Downer</t>
        </is>
      </c>
      <c r="T1736" s="2" t="n">
        <v>100</v>
      </c>
      <c r="W1736" s="2" t="inlineStr">
        <is>
          <t>Classification</t>
        </is>
      </c>
      <c r="X1736" s="2" t="n">
        <v>-37.0083</v>
      </c>
      <c r="Y1736" s="2" t="n">
        <v>174.8705</v>
      </c>
    </row>
    <row r="1737">
      <c r="A1737" s="2" t="inlineStr">
        <is>
          <t>Downer</t>
        </is>
      </c>
      <c r="B1737" s="2" t="inlineStr">
        <is>
          <t>People AT North Rural RCM</t>
        </is>
      </c>
      <c r="C1737" s="2" t="inlineStr">
        <is>
          <t>Other</t>
        </is>
      </c>
      <c r="D1737" s="2" t="inlineStr">
        <is>
          <t>L9.DNZJ.55704</t>
        </is>
      </c>
      <c r="E1737" s="2" t="n">
        <v>55704</v>
      </c>
      <c r="H1737" s="2" t="inlineStr">
        <is>
          <t>130 Kerrs Road</t>
        </is>
      </c>
      <c r="I1737" s="2" t="inlineStr">
        <is>
          <t>Wiri</t>
        </is>
      </c>
      <c r="J1737" s="2" t="inlineStr">
        <is>
          <t>Auckland</t>
        </is>
      </c>
      <c r="K1737" s="2" t="n">
        <v>2104</v>
      </c>
      <c r="L1737" s="2" t="inlineStr">
        <is>
          <t>New Zealand</t>
        </is>
      </c>
      <c r="M1737" s="2" t="inlineStr">
        <is>
          <t>Manurewa</t>
        </is>
      </c>
      <c r="N1737" s="2" t="inlineStr">
        <is>
          <t>New Zealand</t>
        </is>
      </c>
      <c r="P1737" s="2" t="inlineStr">
        <is>
          <t>Operational Control</t>
        </is>
      </c>
      <c r="Q1737" s="2" t="inlineStr">
        <is>
          <t>Operational Control</t>
        </is>
      </c>
      <c r="R1737" s="2" t="inlineStr">
        <is>
          <t>Transport &amp; Infrastructure (T&amp;I)</t>
        </is>
      </c>
      <c r="S1737" s="2" t="inlineStr">
        <is>
          <t>Downer</t>
        </is>
      </c>
      <c r="T1737" s="2" t="n">
        <v>100</v>
      </c>
      <c r="W1737" s="2" t="inlineStr">
        <is>
          <t>Classification</t>
        </is>
      </c>
      <c r="X1737" s="2" t="n">
        <v>-37.0083</v>
      </c>
      <c r="Y1737" s="2" t="n">
        <v>174.8705</v>
      </c>
    </row>
    <row r="1738">
      <c r="A1738" s="2" t="inlineStr">
        <is>
          <t>Downer</t>
        </is>
      </c>
      <c r="B1738" s="2" t="inlineStr">
        <is>
          <t>People AT Waiheke-Rakino RCM</t>
        </is>
      </c>
      <c r="C1738" s="2" t="inlineStr">
        <is>
          <t>Other</t>
        </is>
      </c>
      <c r="D1738" s="2" t="inlineStr">
        <is>
          <t>L9.DNZJ.55705</t>
        </is>
      </c>
      <c r="E1738" s="2" t="n">
        <v>55705</v>
      </c>
      <c r="H1738" s="2" t="inlineStr">
        <is>
          <t>130 Kerrs Road</t>
        </is>
      </c>
      <c r="I1738" s="2" t="inlineStr">
        <is>
          <t>Wiri</t>
        </is>
      </c>
      <c r="J1738" s="2" t="inlineStr">
        <is>
          <t>Auckland</t>
        </is>
      </c>
      <c r="K1738" s="2" t="n">
        <v>2104</v>
      </c>
      <c r="L1738" s="2" t="inlineStr">
        <is>
          <t>New Zealand</t>
        </is>
      </c>
      <c r="M1738" s="2" t="inlineStr">
        <is>
          <t>Manurewa</t>
        </is>
      </c>
      <c r="N1738" s="2" t="inlineStr">
        <is>
          <t>New Zealand</t>
        </is>
      </c>
      <c r="P1738" s="2" t="inlineStr">
        <is>
          <t>Operational Control</t>
        </is>
      </c>
      <c r="Q1738" s="2" t="inlineStr">
        <is>
          <t>Operational Control</t>
        </is>
      </c>
      <c r="R1738" s="2" t="inlineStr">
        <is>
          <t>Transport &amp; Infrastructure (T&amp;I)</t>
        </is>
      </c>
      <c r="S1738" s="2" t="inlineStr">
        <is>
          <t>Downer</t>
        </is>
      </c>
      <c r="T1738" s="2" t="n">
        <v>100</v>
      </c>
      <c r="W1738" s="2" t="inlineStr">
        <is>
          <t>Classification</t>
        </is>
      </c>
      <c r="X1738" s="2" t="n">
        <v>-37.0083</v>
      </c>
      <c r="Y1738" s="2" t="n">
        <v>174.8705</v>
      </c>
    </row>
    <row r="1739">
      <c r="A1739" s="2" t="inlineStr">
        <is>
          <t>Downer</t>
        </is>
      </c>
      <c r="B1739" s="2" t="inlineStr">
        <is>
          <t>People Concrete Akld</t>
        </is>
      </c>
      <c r="C1739" s="2" t="inlineStr">
        <is>
          <t>Other</t>
        </is>
      </c>
      <c r="D1739" s="2" t="inlineStr">
        <is>
          <t>L9.DNZJ.55736</t>
        </is>
      </c>
      <c r="E1739" s="2" t="n">
        <v>55736</v>
      </c>
      <c r="H1739" s="2" t="inlineStr">
        <is>
          <t>130 Kerrs Road</t>
        </is>
      </c>
      <c r="I1739" s="2" t="inlineStr">
        <is>
          <t>Wiri</t>
        </is>
      </c>
      <c r="J1739" s="2" t="inlineStr">
        <is>
          <t>Auckland</t>
        </is>
      </c>
      <c r="K1739" s="2" t="n">
        <v>2104</v>
      </c>
      <c r="L1739" s="2" t="inlineStr">
        <is>
          <t>New Zealand</t>
        </is>
      </c>
      <c r="M1739" s="2" t="inlineStr">
        <is>
          <t>Manurewa</t>
        </is>
      </c>
      <c r="N1739" s="2" t="inlineStr">
        <is>
          <t>New Zealand</t>
        </is>
      </c>
      <c r="P1739" s="2" t="inlineStr">
        <is>
          <t>Operational Control</t>
        </is>
      </c>
      <c r="Q1739" s="2" t="inlineStr">
        <is>
          <t>Operational Control</t>
        </is>
      </c>
      <c r="R1739" s="2" t="inlineStr">
        <is>
          <t>Transport &amp; Infrastructure (T&amp;I)</t>
        </is>
      </c>
      <c r="S1739" s="2" t="inlineStr">
        <is>
          <t>Downer</t>
        </is>
      </c>
      <c r="T1739" s="2" t="n">
        <v>100</v>
      </c>
      <c r="W1739" s="2" t="inlineStr">
        <is>
          <t>Classification</t>
        </is>
      </c>
      <c r="X1739" s="2" t="n">
        <v>-37.0083</v>
      </c>
      <c r="Y1739" s="2" t="n">
        <v>174.8705</v>
      </c>
    </row>
    <row r="1740">
      <c r="A1740" s="2" t="inlineStr">
        <is>
          <t>Downer</t>
        </is>
      </c>
      <c r="B1740" s="2" t="inlineStr">
        <is>
          <t>People Construction Akld</t>
        </is>
      </c>
      <c r="C1740" s="2" t="inlineStr">
        <is>
          <t>Other</t>
        </is>
      </c>
      <c r="D1740" s="2" t="inlineStr">
        <is>
          <t>L9.DNZJ.55725</t>
        </is>
      </c>
      <c r="E1740" s="2" t="n">
        <v>55725</v>
      </c>
      <c r="H1740" s="2" t="inlineStr">
        <is>
          <t>130 Kerrs Road</t>
        </is>
      </c>
      <c r="I1740" s="2" t="inlineStr">
        <is>
          <t>Wiri</t>
        </is>
      </c>
      <c r="J1740" s="2" t="inlineStr">
        <is>
          <t>Auckland</t>
        </is>
      </c>
      <c r="K1740" s="2" t="n">
        <v>2104</v>
      </c>
      <c r="L1740" s="2" t="inlineStr">
        <is>
          <t>New Zealand</t>
        </is>
      </c>
      <c r="M1740" s="2" t="inlineStr">
        <is>
          <t>Manurewa</t>
        </is>
      </c>
      <c r="N1740" s="2" t="inlineStr">
        <is>
          <t>New Zealand</t>
        </is>
      </c>
      <c r="P1740" s="2" t="inlineStr">
        <is>
          <t>Operational Control</t>
        </is>
      </c>
      <c r="Q1740" s="2" t="inlineStr">
        <is>
          <t>Operational Control</t>
        </is>
      </c>
      <c r="R1740" s="2" t="inlineStr">
        <is>
          <t>Transport &amp; Infrastructure (T&amp;I)</t>
        </is>
      </c>
      <c r="S1740" s="2" t="inlineStr">
        <is>
          <t>Downer</t>
        </is>
      </c>
      <c r="T1740" s="2" t="n">
        <v>100</v>
      </c>
      <c r="W1740" s="2" t="inlineStr">
        <is>
          <t>Classification</t>
        </is>
      </c>
      <c r="X1740" s="2" t="n">
        <v>-37.0083</v>
      </c>
      <c r="Y1740" s="2" t="n">
        <v>174.8705</v>
      </c>
    </row>
    <row r="1741">
      <c r="A1741" s="2" t="inlineStr">
        <is>
          <t>Downer</t>
        </is>
      </c>
      <c r="B1741" s="2" t="inlineStr">
        <is>
          <t>People Construction Nthld</t>
        </is>
      </c>
      <c r="C1741" s="2" t="inlineStr">
        <is>
          <t>Other</t>
        </is>
      </c>
      <c r="D1741" s="2" t="inlineStr">
        <is>
          <t>L9.DNZJ.55702</t>
        </is>
      </c>
      <c r="E1741" s="2" t="n">
        <v>55702</v>
      </c>
      <c r="H1741" s="2" t="inlineStr">
        <is>
          <t>130 Kerrs Road</t>
        </is>
      </c>
      <c r="I1741" s="2" t="inlineStr">
        <is>
          <t>Wiri</t>
        </is>
      </c>
      <c r="J1741" s="2" t="inlineStr">
        <is>
          <t>Auckland</t>
        </is>
      </c>
      <c r="K1741" s="2" t="n">
        <v>2104</v>
      </c>
      <c r="L1741" s="2" t="inlineStr">
        <is>
          <t>New Zealand</t>
        </is>
      </c>
      <c r="M1741" s="2" t="inlineStr">
        <is>
          <t>Manurewa</t>
        </is>
      </c>
      <c r="N1741" s="2" t="inlineStr">
        <is>
          <t>New Zealand</t>
        </is>
      </c>
      <c r="P1741" s="2" t="inlineStr">
        <is>
          <t>Operational Control</t>
        </is>
      </c>
      <c r="Q1741" s="2" t="inlineStr">
        <is>
          <t>Operational Control</t>
        </is>
      </c>
      <c r="R1741" s="2" t="inlineStr">
        <is>
          <t>Transport &amp; Infrastructure (T&amp;I)</t>
        </is>
      </c>
      <c r="S1741" s="2" t="inlineStr">
        <is>
          <t>Downer</t>
        </is>
      </c>
      <c r="T1741" s="2" t="n">
        <v>100</v>
      </c>
      <c r="W1741" s="2" t="inlineStr">
        <is>
          <t>Classification</t>
        </is>
      </c>
      <c r="X1741" s="2" t="n">
        <v>-37.0083</v>
      </c>
      <c r="Y1741" s="2" t="n">
        <v>174.8705</v>
      </c>
    </row>
    <row r="1742">
      <c r="A1742" s="2" t="inlineStr">
        <is>
          <t>Downer</t>
        </is>
      </c>
      <c r="B1742" s="2" t="inlineStr">
        <is>
          <t>People Facility (Hamilton All)</t>
        </is>
      </c>
      <c r="C1742" s="2" t="inlineStr">
        <is>
          <t>Other</t>
        </is>
      </c>
      <c r="D1742" s="2" t="inlineStr">
        <is>
          <t>L9.DNZJ.55709</t>
        </is>
      </c>
      <c r="E1742" s="2" t="n">
        <v>55709</v>
      </c>
      <c r="M1742" s="2" t="inlineStr">
        <is>
          <t>Manurewa</t>
        </is>
      </c>
      <c r="N1742" s="2" t="inlineStr">
        <is>
          <t>New Zealand</t>
        </is>
      </c>
      <c r="P1742" s="2" t="inlineStr">
        <is>
          <t>Operational Control</t>
        </is>
      </c>
      <c r="Q1742" s="2" t="inlineStr">
        <is>
          <t>Operational Control</t>
        </is>
      </c>
      <c r="R1742" s="2" t="inlineStr">
        <is>
          <t>Transport &amp; Infrastructure (T&amp;I)</t>
        </is>
      </c>
      <c r="S1742" s="2" t="inlineStr">
        <is>
          <t>Downer</t>
        </is>
      </c>
      <c r="T1742" s="2" t="n">
        <v>100</v>
      </c>
      <c r="W1742" s="2" t="inlineStr">
        <is>
          <t>Classification</t>
        </is>
      </c>
    </row>
    <row r="1743">
      <c r="A1743" s="2" t="inlineStr">
        <is>
          <t>Downer</t>
        </is>
      </c>
      <c r="B1743" s="2" t="inlineStr">
        <is>
          <t>People Facility (Napier Allia)</t>
        </is>
      </c>
      <c r="C1743" s="2" t="inlineStr">
        <is>
          <t>Other</t>
        </is>
      </c>
      <c r="D1743" s="2" t="inlineStr">
        <is>
          <t>L9.DNZJ.54722</t>
        </is>
      </c>
      <c r="E1743" s="2" t="n">
        <v>54722</v>
      </c>
      <c r="H1743" s="2" t="inlineStr">
        <is>
          <t>130 Kerrs Road</t>
        </is>
      </c>
      <c r="I1743" s="2" t="inlineStr">
        <is>
          <t>Wiri</t>
        </is>
      </c>
      <c r="J1743" s="2" t="inlineStr">
        <is>
          <t>Auckland</t>
        </is>
      </c>
      <c r="K1743" s="2" t="n">
        <v>2104</v>
      </c>
      <c r="L1743" s="2" t="inlineStr">
        <is>
          <t>New Zealand</t>
        </is>
      </c>
      <c r="M1743" s="2" t="inlineStr">
        <is>
          <t>Manurewa</t>
        </is>
      </c>
      <c r="N1743" s="2" t="inlineStr">
        <is>
          <t>New Zealand</t>
        </is>
      </c>
      <c r="P1743" s="2" t="inlineStr">
        <is>
          <t>Operational Control</t>
        </is>
      </c>
      <c r="Q1743" s="2" t="inlineStr">
        <is>
          <t>Operational Control</t>
        </is>
      </c>
      <c r="R1743" s="2" t="inlineStr">
        <is>
          <t>Transport &amp; Infrastructure (T&amp;I)</t>
        </is>
      </c>
      <c r="S1743" s="2" t="inlineStr">
        <is>
          <t>Downer</t>
        </is>
      </c>
      <c r="T1743" s="2" t="n">
        <v>100</v>
      </c>
      <c r="W1743" s="2" t="inlineStr">
        <is>
          <t>Classification</t>
        </is>
      </c>
      <c r="X1743" s="2" t="n">
        <v>-37.0083</v>
      </c>
      <c r="Y1743" s="2" t="n">
        <v>174.8705</v>
      </c>
    </row>
    <row r="1744">
      <c r="A1744" s="2" t="inlineStr">
        <is>
          <t>Downer</t>
        </is>
      </c>
      <c r="B1744" s="2" t="inlineStr">
        <is>
          <t>People Facility (Tararua All)</t>
        </is>
      </c>
      <c r="C1744" s="2" t="inlineStr">
        <is>
          <t>Other</t>
        </is>
      </c>
      <c r="D1744" s="2" t="inlineStr">
        <is>
          <t>L9.DNZJ.55759</t>
        </is>
      </c>
      <c r="E1744" s="2" t="n">
        <v>55759</v>
      </c>
      <c r="M1744" s="2" t="inlineStr">
        <is>
          <t>Manurewa</t>
        </is>
      </c>
      <c r="N1744" s="2" t="inlineStr">
        <is>
          <t>New Zealand</t>
        </is>
      </c>
      <c r="P1744" s="2" t="inlineStr">
        <is>
          <t>Operational Control</t>
        </is>
      </c>
      <c r="Q1744" s="2" t="inlineStr">
        <is>
          <t>Operational Control</t>
        </is>
      </c>
      <c r="R1744" s="2" t="inlineStr">
        <is>
          <t>Transport &amp; Infrastructure (T&amp;I)</t>
        </is>
      </c>
      <c r="S1744" s="2" t="inlineStr">
        <is>
          <t>Downer</t>
        </is>
      </c>
      <c r="T1744" s="2" t="n">
        <v>100</v>
      </c>
      <c r="W1744" s="2" t="inlineStr">
        <is>
          <t>Classification</t>
        </is>
      </c>
    </row>
    <row r="1745">
      <c r="A1745" s="2" t="inlineStr">
        <is>
          <t>Downer</t>
        </is>
      </c>
      <c r="B1745" s="2" t="inlineStr">
        <is>
          <t>People Facility (Whanganui All</t>
        </is>
      </c>
      <c r="C1745" s="2" t="inlineStr">
        <is>
          <t>Other</t>
        </is>
      </c>
      <c r="D1745" s="2" t="inlineStr">
        <is>
          <t>L9.DNZJ.55753</t>
        </is>
      </c>
      <c r="E1745" s="2" t="n">
        <v>55753</v>
      </c>
      <c r="H1745" s="2" t="inlineStr">
        <is>
          <t>130 Kerrs Road</t>
        </is>
      </c>
      <c r="I1745" s="2" t="inlineStr">
        <is>
          <t>Wiri</t>
        </is>
      </c>
      <c r="J1745" s="2" t="inlineStr">
        <is>
          <t>Auckland</t>
        </is>
      </c>
      <c r="K1745" s="2" t="n">
        <v>2104</v>
      </c>
      <c r="L1745" s="2" t="inlineStr">
        <is>
          <t>New Zealand</t>
        </is>
      </c>
      <c r="M1745" s="2" t="inlineStr">
        <is>
          <t>Manurewa</t>
        </is>
      </c>
      <c r="N1745" s="2" t="inlineStr">
        <is>
          <t>New Zealand</t>
        </is>
      </c>
      <c r="P1745" s="2" t="inlineStr">
        <is>
          <t>Operational Control</t>
        </is>
      </c>
      <c r="Q1745" s="2" t="inlineStr">
        <is>
          <t>Operational Control</t>
        </is>
      </c>
      <c r="R1745" s="2" t="inlineStr">
        <is>
          <t>Transport &amp; Infrastructure (T&amp;I)</t>
        </is>
      </c>
      <c r="S1745" s="2" t="inlineStr">
        <is>
          <t>Downer</t>
        </is>
      </c>
      <c r="T1745" s="2" t="n">
        <v>100</v>
      </c>
      <c r="W1745" s="2" t="inlineStr">
        <is>
          <t>Classification</t>
        </is>
      </c>
      <c r="X1745" s="2" t="n">
        <v>-37.0083</v>
      </c>
      <c r="Y1745" s="2" t="n">
        <v>174.8705</v>
      </c>
    </row>
    <row r="1746">
      <c r="A1746" s="2" t="inlineStr">
        <is>
          <t>Downer</t>
        </is>
      </c>
      <c r="B1746" s="2" t="inlineStr">
        <is>
          <t>People NTA WDC Mtce</t>
        </is>
      </c>
      <c r="C1746" s="2" t="inlineStr">
        <is>
          <t>Other</t>
        </is>
      </c>
      <c r="D1746" s="2" t="inlineStr">
        <is>
          <t>L9.DNZJ.55730</t>
        </is>
      </c>
      <c r="E1746" s="2" t="n">
        <v>55730</v>
      </c>
      <c r="H1746" s="2" t="inlineStr">
        <is>
          <t>130 Kerrs Road</t>
        </is>
      </c>
      <c r="I1746" s="2" t="inlineStr">
        <is>
          <t>Wiri</t>
        </is>
      </c>
      <c r="J1746" s="2" t="inlineStr">
        <is>
          <t>Auckland</t>
        </is>
      </c>
      <c r="K1746" s="2" t="n">
        <v>2104</v>
      </c>
      <c r="L1746" s="2" t="inlineStr">
        <is>
          <t>New Zealand</t>
        </is>
      </c>
      <c r="M1746" s="2" t="inlineStr">
        <is>
          <t>Manurewa</t>
        </is>
      </c>
      <c r="N1746" s="2" t="inlineStr">
        <is>
          <t>New Zealand</t>
        </is>
      </c>
      <c r="P1746" s="2" t="inlineStr">
        <is>
          <t>Operational Control</t>
        </is>
      </c>
      <c r="Q1746" s="2" t="inlineStr">
        <is>
          <t>Operational Control</t>
        </is>
      </c>
      <c r="R1746" s="2" t="inlineStr">
        <is>
          <t>Transport &amp; Infrastructure (T&amp;I)</t>
        </is>
      </c>
      <c r="S1746" s="2" t="inlineStr">
        <is>
          <t>Downer</t>
        </is>
      </c>
      <c r="T1746" s="2" t="n">
        <v>100</v>
      </c>
      <c r="W1746" s="2" t="inlineStr">
        <is>
          <t>Classification</t>
        </is>
      </c>
      <c r="X1746" s="2" t="n">
        <v>-37.0083</v>
      </c>
      <c r="Y1746" s="2" t="n">
        <v>174.8705</v>
      </c>
    </row>
    <row r="1747">
      <c r="A1747" s="2" t="inlineStr">
        <is>
          <t>Downer</t>
        </is>
      </c>
      <c r="B1747" s="2" t="inlineStr">
        <is>
          <t>People Nthld</t>
        </is>
      </c>
      <c r="C1747" s="2" t="inlineStr">
        <is>
          <t>Other</t>
        </is>
      </c>
      <c r="D1747" s="2" t="inlineStr">
        <is>
          <t>L9.DNZJ.55701</t>
        </is>
      </c>
      <c r="E1747" s="2" t="n">
        <v>55701</v>
      </c>
      <c r="H1747" s="2" t="inlineStr">
        <is>
          <t>130 Kerrs Road</t>
        </is>
      </c>
      <c r="I1747" s="2" t="inlineStr">
        <is>
          <t>Wiri</t>
        </is>
      </c>
      <c r="J1747" s="2" t="inlineStr">
        <is>
          <t>Auckland</t>
        </is>
      </c>
      <c r="K1747" s="2" t="n">
        <v>2104</v>
      </c>
      <c r="L1747" s="2" t="inlineStr">
        <is>
          <t>New Zealand</t>
        </is>
      </c>
      <c r="M1747" s="2" t="inlineStr">
        <is>
          <t>Manurewa</t>
        </is>
      </c>
      <c r="N1747" s="2" t="inlineStr">
        <is>
          <t>New Zealand</t>
        </is>
      </c>
      <c r="P1747" s="2" t="inlineStr">
        <is>
          <t>Operational Control</t>
        </is>
      </c>
      <c r="Q1747" s="2" t="inlineStr">
        <is>
          <t>Operational Control</t>
        </is>
      </c>
      <c r="R1747" s="2" t="inlineStr">
        <is>
          <t>Transport &amp; Infrastructure (T&amp;I)</t>
        </is>
      </c>
      <c r="S1747" s="2" t="inlineStr">
        <is>
          <t>Downer</t>
        </is>
      </c>
      <c r="T1747" s="2" t="n">
        <v>100</v>
      </c>
      <c r="W1747" s="2" t="inlineStr">
        <is>
          <t>Classification</t>
        </is>
      </c>
      <c r="X1747" s="2" t="n">
        <v>-37.0083</v>
      </c>
      <c r="Y1747" s="2" t="n">
        <v>174.8705</v>
      </c>
    </row>
    <row r="1748">
      <c r="A1748" s="2" t="inlineStr">
        <is>
          <t>Downer</t>
        </is>
      </c>
      <c r="B1748" s="2" t="inlineStr">
        <is>
          <t>People OSM - Blenheim</t>
        </is>
      </c>
      <c r="C1748" s="2" t="inlineStr">
        <is>
          <t>Other</t>
        </is>
      </c>
      <c r="D1748" s="2" t="inlineStr">
        <is>
          <t>L9.DNZJ.55775</t>
        </is>
      </c>
      <c r="E1748" s="2" t="n">
        <v>55775</v>
      </c>
      <c r="H1748" s="2" t="inlineStr">
        <is>
          <t>130 Kerrs Road</t>
        </is>
      </c>
      <c r="I1748" s="2" t="inlineStr">
        <is>
          <t>Wiri</t>
        </is>
      </c>
      <c r="J1748" s="2" t="inlineStr">
        <is>
          <t>Auckland</t>
        </is>
      </c>
      <c r="K1748" s="2" t="n">
        <v>2104</v>
      </c>
      <c r="L1748" s="2" t="inlineStr">
        <is>
          <t>New Zealand</t>
        </is>
      </c>
      <c r="M1748" s="2" t="inlineStr">
        <is>
          <t>Manurewa</t>
        </is>
      </c>
      <c r="N1748" s="2" t="inlineStr">
        <is>
          <t>New Zealand</t>
        </is>
      </c>
      <c r="P1748" s="2" t="inlineStr">
        <is>
          <t>Operational Control</t>
        </is>
      </c>
      <c r="Q1748" s="2" t="inlineStr">
        <is>
          <t>Operational Control</t>
        </is>
      </c>
      <c r="R1748" s="2" t="inlineStr">
        <is>
          <t>Transport &amp; Infrastructure (T&amp;I)</t>
        </is>
      </c>
      <c r="S1748" s="2" t="inlineStr">
        <is>
          <t>Downer</t>
        </is>
      </c>
      <c r="T1748" s="2" t="n">
        <v>100</v>
      </c>
      <c r="W1748" s="2" t="inlineStr">
        <is>
          <t>Classification</t>
        </is>
      </c>
      <c r="X1748" s="2" t="n">
        <v>-37.0083</v>
      </c>
      <c r="Y1748" s="2" t="n">
        <v>174.8705</v>
      </c>
    </row>
    <row r="1749">
      <c r="A1749" s="2" t="inlineStr">
        <is>
          <t>Downer</t>
        </is>
      </c>
      <c r="B1749" s="2" t="inlineStr">
        <is>
          <t>People OSM - Canterbury</t>
        </is>
      </c>
      <c r="C1749" s="2" t="inlineStr">
        <is>
          <t>Other</t>
        </is>
      </c>
      <c r="D1749" s="2" t="inlineStr">
        <is>
          <t>L9.DNZJ.55735</t>
        </is>
      </c>
      <c r="E1749" s="2" t="n">
        <v>55735</v>
      </c>
      <c r="G1749" s="2" t="inlineStr">
        <is>
          <t>TI-NZT-55735-People OSM - Canterbury</t>
        </is>
      </c>
      <c r="M1749" s="2" t="inlineStr">
        <is>
          <t>Canterbury</t>
        </is>
      </c>
      <c r="N1749" s="2" t="inlineStr">
        <is>
          <t>New Zealand</t>
        </is>
      </c>
      <c r="P1749" s="2" t="inlineStr">
        <is>
          <t>Operational Control</t>
        </is>
      </c>
      <c r="Q1749" s="2" t="inlineStr">
        <is>
          <t>Operational Control</t>
        </is>
      </c>
      <c r="R1749" s="2" t="inlineStr">
        <is>
          <t>Transport &amp; Infrastructure (T&amp;I)</t>
        </is>
      </c>
      <c r="S1749" s="2" t="inlineStr">
        <is>
          <t>Downer</t>
        </is>
      </c>
      <c r="T1749" s="2" t="n">
        <v>100</v>
      </c>
      <c r="W1749" s="2" t="inlineStr">
        <is>
          <t>Classification</t>
        </is>
      </c>
    </row>
    <row r="1750">
      <c r="A1750" s="2" t="inlineStr">
        <is>
          <t>Downer</t>
        </is>
      </c>
      <c r="B1750" s="2" t="inlineStr">
        <is>
          <t>People Paving Akld</t>
        </is>
      </c>
      <c r="C1750" s="2" t="inlineStr">
        <is>
          <t>Other</t>
        </is>
      </c>
      <c r="D1750" s="2" t="inlineStr">
        <is>
          <t>L9.DNZJ.55734</t>
        </is>
      </c>
      <c r="E1750" s="2" t="n">
        <v>55734</v>
      </c>
      <c r="H1750" s="2" t="inlineStr">
        <is>
          <t>130 Kerrs Road</t>
        </is>
      </c>
      <c r="I1750" s="2" t="inlineStr">
        <is>
          <t>Wiri</t>
        </is>
      </c>
      <c r="J1750" s="2" t="inlineStr">
        <is>
          <t>Auckland</t>
        </is>
      </c>
      <c r="K1750" s="2" t="n">
        <v>2104</v>
      </c>
      <c r="L1750" s="2" t="inlineStr">
        <is>
          <t>New Zealand</t>
        </is>
      </c>
      <c r="M1750" s="2" t="inlineStr">
        <is>
          <t>Manurewa</t>
        </is>
      </c>
      <c r="N1750" s="2" t="inlineStr">
        <is>
          <t>New Zealand</t>
        </is>
      </c>
      <c r="P1750" s="2" t="inlineStr">
        <is>
          <t>Operational Control</t>
        </is>
      </c>
      <c r="Q1750" s="2" t="inlineStr">
        <is>
          <t>Operational Control</t>
        </is>
      </c>
      <c r="R1750" s="2" t="inlineStr">
        <is>
          <t>Transport &amp; Infrastructure (T&amp;I)</t>
        </is>
      </c>
      <c r="S1750" s="2" t="inlineStr">
        <is>
          <t>Downer</t>
        </is>
      </c>
      <c r="T1750" s="2" t="n">
        <v>100</v>
      </c>
      <c r="W1750" s="2" t="inlineStr">
        <is>
          <t>Classification</t>
        </is>
      </c>
      <c r="X1750" s="2" t="n">
        <v>-37.0083</v>
      </c>
      <c r="Y1750" s="2" t="n">
        <v>174.8705</v>
      </c>
    </row>
    <row r="1751">
      <c r="A1751" s="2" t="inlineStr">
        <is>
          <t>Downer</t>
        </is>
      </c>
      <c r="B1751" s="2" t="inlineStr">
        <is>
          <t>People Penrose Akld</t>
        </is>
      </c>
      <c r="C1751" s="2" t="inlineStr">
        <is>
          <t>Other</t>
        </is>
      </c>
      <c r="D1751" s="2" t="inlineStr">
        <is>
          <t>L9.DNZJ.55703</t>
        </is>
      </c>
      <c r="E1751" s="2" t="n">
        <v>55703</v>
      </c>
      <c r="H1751" s="2" t="inlineStr">
        <is>
          <t>130 Kerrs Road</t>
        </is>
      </c>
      <c r="I1751" s="2" t="inlineStr">
        <is>
          <t>Wiri</t>
        </is>
      </c>
      <c r="J1751" s="2" t="inlineStr">
        <is>
          <t>Auckland</t>
        </is>
      </c>
      <c r="K1751" s="2" t="n">
        <v>2104</v>
      </c>
      <c r="L1751" s="2" t="inlineStr">
        <is>
          <t>New Zealand</t>
        </is>
      </c>
      <c r="M1751" s="2" t="inlineStr">
        <is>
          <t>Manurewa</t>
        </is>
      </c>
      <c r="N1751" s="2" t="inlineStr">
        <is>
          <t>New Zealand</t>
        </is>
      </c>
      <c r="P1751" s="2" t="inlineStr">
        <is>
          <t>Operational Control</t>
        </is>
      </c>
      <c r="Q1751" s="2" t="inlineStr">
        <is>
          <t>Operational Control</t>
        </is>
      </c>
      <c r="R1751" s="2" t="inlineStr">
        <is>
          <t>Transport &amp; Infrastructure (T&amp;I)</t>
        </is>
      </c>
      <c r="S1751" s="2" t="inlineStr">
        <is>
          <t>Downer</t>
        </is>
      </c>
      <c r="T1751" s="2" t="n">
        <v>100</v>
      </c>
      <c r="W1751" s="2" t="inlineStr">
        <is>
          <t>Classification</t>
        </is>
      </c>
      <c r="X1751" s="2" t="n">
        <v>-37.0083</v>
      </c>
      <c r="Y1751" s="2" t="n">
        <v>174.8705</v>
      </c>
    </row>
    <row r="1752">
      <c r="A1752" s="2" t="inlineStr">
        <is>
          <t>Downer</t>
        </is>
      </c>
      <c r="B1752" s="2" t="inlineStr">
        <is>
          <t>People Quarry (Gisborne)</t>
        </is>
      </c>
      <c r="C1752" s="2" t="inlineStr">
        <is>
          <t>Other</t>
        </is>
      </c>
      <c r="D1752" s="2" t="inlineStr">
        <is>
          <t>L9.DNZJ.55749</t>
        </is>
      </c>
      <c r="E1752" s="2" t="n">
        <v>55749</v>
      </c>
      <c r="M1752" s="2" t="inlineStr">
        <is>
          <t>Gisborne</t>
        </is>
      </c>
      <c r="N1752" s="2" t="inlineStr">
        <is>
          <t>New Zealand</t>
        </is>
      </c>
      <c r="P1752" s="2" t="inlineStr">
        <is>
          <t>Operational Control</t>
        </is>
      </c>
      <c r="Q1752" s="2" t="inlineStr">
        <is>
          <t>Operational Control</t>
        </is>
      </c>
      <c r="R1752" s="2" t="inlineStr">
        <is>
          <t>Transport &amp; Infrastructure (T&amp;I)</t>
        </is>
      </c>
      <c r="S1752" s="2" t="inlineStr">
        <is>
          <t>Downer</t>
        </is>
      </c>
      <c r="T1752" s="2" t="n">
        <v>100</v>
      </c>
      <c r="W1752" s="2" t="inlineStr">
        <is>
          <t>Classification</t>
        </is>
      </c>
    </row>
    <row r="1753">
      <c r="A1753" s="2" t="inlineStr">
        <is>
          <t>Downer</t>
        </is>
      </c>
      <c r="B1753" s="2" t="inlineStr">
        <is>
          <t>People Sealing Akld</t>
        </is>
      </c>
      <c r="C1753" s="2" t="inlineStr">
        <is>
          <t>Other</t>
        </is>
      </c>
      <c r="D1753" s="2" t="inlineStr">
        <is>
          <t>L9.DNZJ.55732</t>
        </is>
      </c>
      <c r="E1753" s="2" t="n">
        <v>55732</v>
      </c>
      <c r="H1753" s="2" t="inlineStr">
        <is>
          <t>130 Kerrs Road</t>
        </is>
      </c>
      <c r="I1753" s="2" t="inlineStr">
        <is>
          <t>Wiri</t>
        </is>
      </c>
      <c r="J1753" s="2" t="inlineStr">
        <is>
          <t>Auckland</t>
        </is>
      </c>
      <c r="K1753" s="2" t="n">
        <v>2104</v>
      </c>
      <c r="L1753" s="2" t="inlineStr">
        <is>
          <t>New Zealand</t>
        </is>
      </c>
      <c r="M1753" s="2" t="inlineStr">
        <is>
          <t>Manurewa</t>
        </is>
      </c>
      <c r="N1753" s="2" t="inlineStr">
        <is>
          <t>New Zealand</t>
        </is>
      </c>
      <c r="P1753" s="2" t="inlineStr">
        <is>
          <t>Operational Control</t>
        </is>
      </c>
      <c r="Q1753" s="2" t="inlineStr">
        <is>
          <t>Operational Control</t>
        </is>
      </c>
      <c r="R1753" s="2" t="inlineStr">
        <is>
          <t>Transport &amp; Infrastructure (T&amp;I)</t>
        </is>
      </c>
      <c r="S1753" s="2" t="inlineStr">
        <is>
          <t>Downer</t>
        </is>
      </c>
      <c r="T1753" s="2" t="n">
        <v>100</v>
      </c>
      <c r="W1753" s="2" t="inlineStr">
        <is>
          <t>Classification</t>
        </is>
      </c>
      <c r="X1753" s="2" t="n">
        <v>-37.0083</v>
      </c>
      <c r="Y1753" s="2" t="n">
        <v>174.8705</v>
      </c>
    </row>
    <row r="1754">
      <c r="A1754" s="2" t="inlineStr">
        <is>
          <t>Downer</t>
        </is>
      </c>
      <c r="B1754" s="2" t="inlineStr">
        <is>
          <t>People Sealing Nthld</t>
        </is>
      </c>
      <c r="C1754" s="2" t="inlineStr">
        <is>
          <t>Other</t>
        </is>
      </c>
      <c r="D1754" s="2" t="inlineStr">
        <is>
          <t>L9.DNZJ.55799</t>
        </is>
      </c>
      <c r="E1754" s="2" t="n">
        <v>55799</v>
      </c>
      <c r="M1754" s="2" t="inlineStr">
        <is>
          <t>Manurewa</t>
        </is>
      </c>
      <c r="N1754" s="2" t="inlineStr">
        <is>
          <t>New Zealand</t>
        </is>
      </c>
      <c r="P1754" s="2" t="inlineStr">
        <is>
          <t>Operational Control</t>
        </is>
      </c>
      <c r="Q1754" s="2" t="inlineStr">
        <is>
          <t>Operational Control</t>
        </is>
      </c>
      <c r="R1754" s="2" t="inlineStr">
        <is>
          <t>Transport &amp; Infrastructure (T&amp;I)</t>
        </is>
      </c>
      <c r="S1754" s="2" t="inlineStr">
        <is>
          <t>Downer</t>
        </is>
      </c>
      <c r="T1754" s="2" t="n">
        <v>100</v>
      </c>
      <c r="W1754" s="2" t="inlineStr">
        <is>
          <t>Classification</t>
        </is>
      </c>
    </row>
    <row r="1755">
      <c r="A1755" s="2" t="inlineStr">
        <is>
          <t>Downer</t>
        </is>
      </c>
      <c r="B1755" s="2" t="inlineStr">
        <is>
          <t>People Tech. Servs Akl</t>
        </is>
      </c>
      <c r="C1755" s="2" t="inlineStr">
        <is>
          <t>Other</t>
        </is>
      </c>
      <c r="D1755" s="2" t="inlineStr">
        <is>
          <t>L9.DNZJ.55742</t>
        </is>
      </c>
      <c r="E1755" s="2" t="n">
        <v>55742</v>
      </c>
      <c r="H1755" s="2" t="inlineStr">
        <is>
          <t>130 Kerrs Road</t>
        </is>
      </c>
      <c r="I1755" s="2" t="inlineStr">
        <is>
          <t>Wiri</t>
        </is>
      </c>
      <c r="J1755" s="2" t="inlineStr">
        <is>
          <t>Auckland</t>
        </is>
      </c>
      <c r="K1755" s="2" t="n">
        <v>2104</v>
      </c>
      <c r="L1755" s="2" t="inlineStr">
        <is>
          <t>New Zealand</t>
        </is>
      </c>
      <c r="M1755" s="2" t="inlineStr">
        <is>
          <t>Manurewa</t>
        </is>
      </c>
      <c r="N1755" s="2" t="inlineStr">
        <is>
          <t>New Zealand</t>
        </is>
      </c>
      <c r="P1755" s="2" t="inlineStr">
        <is>
          <t>Operational Control</t>
        </is>
      </c>
      <c r="Q1755" s="2" t="inlineStr">
        <is>
          <t>Operational Control</t>
        </is>
      </c>
      <c r="R1755" s="2" t="inlineStr">
        <is>
          <t>Transport &amp; Infrastructure (T&amp;I)</t>
        </is>
      </c>
      <c r="S1755" s="2" t="inlineStr">
        <is>
          <t>Downer</t>
        </is>
      </c>
      <c r="T1755" s="2" t="n">
        <v>100</v>
      </c>
      <c r="W1755" s="2" t="inlineStr">
        <is>
          <t>Classification</t>
        </is>
      </c>
      <c r="X1755" s="2" t="n">
        <v>-37.0083</v>
      </c>
      <c r="Y1755" s="2" t="n">
        <v>174.8705</v>
      </c>
    </row>
    <row r="1756">
      <c r="A1756" s="2" t="inlineStr">
        <is>
          <t>Downer</t>
        </is>
      </c>
      <c r="B1756" s="2" t="inlineStr">
        <is>
          <t>People Traffic Management Akld</t>
        </is>
      </c>
      <c r="C1756" s="2" t="inlineStr">
        <is>
          <t>Other</t>
        </is>
      </c>
      <c r="D1756" s="2" t="inlineStr">
        <is>
          <t>L9.DNZJ.55743</t>
        </is>
      </c>
      <c r="E1756" s="2" t="n">
        <v>55743</v>
      </c>
      <c r="H1756" s="2" t="inlineStr">
        <is>
          <t>130 Kerrs Road</t>
        </is>
      </c>
      <c r="I1756" s="2" t="inlineStr">
        <is>
          <t>Wiri</t>
        </is>
      </c>
      <c r="J1756" s="2" t="inlineStr">
        <is>
          <t>Auckland</t>
        </is>
      </c>
      <c r="K1756" s="2" t="n">
        <v>2104</v>
      </c>
      <c r="L1756" s="2" t="inlineStr">
        <is>
          <t>New Zealand</t>
        </is>
      </c>
      <c r="M1756" s="2" t="inlineStr">
        <is>
          <t>Manurewa</t>
        </is>
      </c>
      <c r="N1756" s="2" t="inlineStr">
        <is>
          <t>New Zealand</t>
        </is>
      </c>
      <c r="P1756" s="2" t="inlineStr">
        <is>
          <t>Operational Control</t>
        </is>
      </c>
      <c r="Q1756" s="2" t="inlineStr">
        <is>
          <t>Operational Control</t>
        </is>
      </c>
      <c r="R1756" s="2" t="inlineStr">
        <is>
          <t>Transport &amp; Infrastructure (T&amp;I)</t>
        </is>
      </c>
      <c r="S1756" s="2" t="inlineStr">
        <is>
          <t>Downer</t>
        </is>
      </c>
      <c r="T1756" s="2" t="n">
        <v>100</v>
      </c>
      <c r="W1756" s="2" t="inlineStr">
        <is>
          <t>Classification</t>
        </is>
      </c>
      <c r="X1756" s="2" t="n">
        <v>-37.0083</v>
      </c>
      <c r="Y1756" s="2" t="n">
        <v>174.8705</v>
      </c>
    </row>
    <row r="1757">
      <c r="A1757" s="2" t="inlineStr">
        <is>
          <t>Downer</t>
        </is>
      </c>
      <c r="B1757" s="2" t="inlineStr">
        <is>
          <t>People Traffic Management Nthl</t>
        </is>
      </c>
      <c r="C1757" s="2" t="inlineStr">
        <is>
          <t>Other</t>
        </is>
      </c>
      <c r="D1757" s="2" t="inlineStr">
        <is>
          <t>L9.DNZJ.55728</t>
        </is>
      </c>
      <c r="E1757" s="2" t="n">
        <v>55728</v>
      </c>
      <c r="M1757" s="2" t="inlineStr">
        <is>
          <t>Manurewa</t>
        </is>
      </c>
      <c r="N1757" s="2" t="inlineStr">
        <is>
          <t>New Zealand</t>
        </is>
      </c>
      <c r="P1757" s="2" t="inlineStr">
        <is>
          <t>Operational Control</t>
        </is>
      </c>
      <c r="Q1757" s="2" t="inlineStr">
        <is>
          <t>Operational Control</t>
        </is>
      </c>
      <c r="R1757" s="2" t="inlineStr">
        <is>
          <t>Transport &amp; Infrastructure (T&amp;I)</t>
        </is>
      </c>
      <c r="S1757" s="2" t="inlineStr">
        <is>
          <t>Downer</t>
        </is>
      </c>
      <c r="T1757" s="2" t="n">
        <v>100</v>
      </c>
      <c r="W1757" s="2" t="inlineStr">
        <is>
          <t>Classification</t>
        </is>
      </c>
    </row>
    <row r="1758">
      <c r="A1758" s="2" t="inlineStr">
        <is>
          <t>Downer</t>
        </is>
      </c>
      <c r="B1758" s="2" t="inlineStr">
        <is>
          <t>People Traffic Signs &amp; Proj Ak</t>
        </is>
      </c>
      <c r="C1758" s="2" t="inlineStr">
        <is>
          <t>Other</t>
        </is>
      </c>
      <c r="D1758" s="2" t="inlineStr">
        <is>
          <t>L9.DNZJ.54724</t>
        </is>
      </c>
      <c r="E1758" s="2" t="n">
        <v>54724</v>
      </c>
      <c r="M1758" s="2" t="inlineStr">
        <is>
          <t>Manurewa</t>
        </is>
      </c>
      <c r="N1758" s="2" t="inlineStr">
        <is>
          <t>New Zealand</t>
        </is>
      </c>
      <c r="P1758" s="2" t="inlineStr">
        <is>
          <t>Operational Control</t>
        </is>
      </c>
      <c r="Q1758" s="2" t="inlineStr">
        <is>
          <t>Operational Control</t>
        </is>
      </c>
      <c r="R1758" s="2" t="inlineStr">
        <is>
          <t>Transport &amp; Infrastructure (T&amp;I)</t>
        </is>
      </c>
      <c r="S1758" s="2" t="inlineStr">
        <is>
          <t>Downer</t>
        </is>
      </c>
      <c r="T1758" s="2" t="n">
        <v>100</v>
      </c>
      <c r="W1758" s="2" t="inlineStr">
        <is>
          <t>Classification</t>
        </is>
      </c>
    </row>
    <row r="1759">
      <c r="A1759" s="2" t="inlineStr">
        <is>
          <t>Downer</t>
        </is>
      </c>
      <c r="B1759" s="2" t="inlineStr">
        <is>
          <t>People(Construction Whanganui)</t>
        </is>
      </c>
      <c r="C1759" s="2" t="inlineStr">
        <is>
          <t>Other</t>
        </is>
      </c>
      <c r="D1759" s="2" t="inlineStr">
        <is>
          <t>L9.DNZJ.55279</t>
        </is>
      </c>
      <c r="E1759" s="2" t="n">
        <v>55279</v>
      </c>
      <c r="M1759" s="2" t="inlineStr">
        <is>
          <t>Manurewa</t>
        </is>
      </c>
      <c r="N1759" s="2" t="inlineStr">
        <is>
          <t>New Zealand</t>
        </is>
      </c>
      <c r="P1759" s="2" t="inlineStr">
        <is>
          <t>Operational Control</t>
        </is>
      </c>
      <c r="Q1759" s="2" t="inlineStr">
        <is>
          <t>Operational Control</t>
        </is>
      </c>
      <c r="R1759" s="2" t="inlineStr">
        <is>
          <t>Transport &amp; Infrastructure (T&amp;I)</t>
        </is>
      </c>
      <c r="S1759" s="2" t="inlineStr">
        <is>
          <t>Downer</t>
        </is>
      </c>
      <c r="T1759" s="2" t="n">
        <v>100</v>
      </c>
      <c r="W1759" s="2" t="inlineStr">
        <is>
          <t>Classification</t>
        </is>
      </c>
    </row>
    <row r="1760">
      <c r="A1760" s="2" t="inlineStr">
        <is>
          <t>Downer</t>
        </is>
      </c>
      <c r="B1760" s="2" t="inlineStr">
        <is>
          <t>People(Manawatu Traffic Svces)</t>
        </is>
      </c>
      <c r="C1760" s="2" t="inlineStr">
        <is>
          <t>Other</t>
        </is>
      </c>
      <c r="D1760" s="2" t="inlineStr">
        <is>
          <t>L9.DNZJ.54725</t>
        </is>
      </c>
      <c r="E1760" s="2" t="n">
        <v>54725</v>
      </c>
      <c r="H1760" s="2" t="inlineStr">
        <is>
          <t>130 Kerrs Road</t>
        </is>
      </c>
      <c r="I1760" s="2" t="inlineStr">
        <is>
          <t>Wiri</t>
        </is>
      </c>
      <c r="J1760" s="2" t="inlineStr">
        <is>
          <t>Auckland</t>
        </is>
      </c>
      <c r="K1760" s="2" t="n">
        <v>2104</v>
      </c>
      <c r="L1760" s="2" t="inlineStr">
        <is>
          <t>New Zealand</t>
        </is>
      </c>
      <c r="M1760" s="2" t="inlineStr">
        <is>
          <t>Manurewa</t>
        </is>
      </c>
      <c r="N1760" s="2" t="inlineStr">
        <is>
          <t>New Zealand</t>
        </is>
      </c>
      <c r="P1760" s="2" t="inlineStr">
        <is>
          <t>Operational Control</t>
        </is>
      </c>
      <c r="Q1760" s="2" t="inlineStr">
        <is>
          <t>Operational Control</t>
        </is>
      </c>
      <c r="R1760" s="2" t="inlineStr">
        <is>
          <t>Transport &amp; Infrastructure (T&amp;I)</t>
        </is>
      </c>
      <c r="S1760" s="2" t="inlineStr">
        <is>
          <t>Downer</t>
        </is>
      </c>
      <c r="T1760" s="2" t="n">
        <v>100</v>
      </c>
      <c r="W1760" s="2" t="inlineStr">
        <is>
          <t>Classification</t>
        </is>
      </c>
      <c r="X1760" s="2" t="n">
        <v>-37.0083</v>
      </c>
      <c r="Y1760" s="2" t="n">
        <v>174.8705</v>
      </c>
    </row>
    <row r="1761">
      <c r="A1761" s="2" t="inlineStr">
        <is>
          <t>Downer</t>
        </is>
      </c>
      <c r="B1761" s="2" t="inlineStr">
        <is>
          <t>Petone (201/2 Campbell St)</t>
        </is>
      </c>
      <c r="C1761" s="2" t="inlineStr">
        <is>
          <t>Residential</t>
        </is>
      </c>
      <c r="D1761" s="2" t="inlineStr">
        <is>
          <t>L9.DNZJ.91406</t>
        </is>
      </c>
      <c r="E1761" s="2" t="n">
        <v>91406</v>
      </c>
      <c r="G1761" s="2" t="inlineStr">
        <is>
          <t>COR-NZHO-91406 - Petone (201/2 Campbell St)</t>
        </is>
      </c>
      <c r="H1761" s="2" t="inlineStr">
        <is>
          <t>201/2 Campbell Terrace</t>
        </is>
      </c>
      <c r="I1761" s="2" t="inlineStr">
        <is>
          <t>Petone</t>
        </is>
      </c>
      <c r="J1761" s="2" t="inlineStr">
        <is>
          <t>Lower Hutt</t>
        </is>
      </c>
      <c r="K1761" s="2" t="n">
        <v>5012</v>
      </c>
      <c r="M1761" s="2" t="inlineStr">
        <is>
          <t>Lower Hutt</t>
        </is>
      </c>
      <c r="N1761" s="2" t="inlineStr">
        <is>
          <t>New Zealand</t>
        </is>
      </c>
      <c r="P1761" s="2" t="inlineStr">
        <is>
          <t>Operational Control</t>
        </is>
      </c>
      <c r="Q1761" s="2" t="inlineStr">
        <is>
          <t>Operational Control</t>
        </is>
      </c>
      <c r="R1761" s="2" t="inlineStr">
        <is>
          <t>Corporate</t>
        </is>
      </c>
      <c r="S1761" s="2" t="inlineStr">
        <is>
          <t>Downer</t>
        </is>
      </c>
      <c r="T1761" s="2" t="n">
        <v>100</v>
      </c>
      <c r="W1761" s="2" t="inlineStr">
        <is>
          <t>Classification</t>
        </is>
      </c>
    </row>
    <row r="1762">
      <c r="A1762" s="2" t="inlineStr">
        <is>
          <t>Downer</t>
        </is>
      </c>
      <c r="B1762" s="2" t="inlineStr">
        <is>
          <t>PG Gas Lower Hutt EU Subcontractors</t>
        </is>
      </c>
      <c r="C1762" s="2" t="inlineStr">
        <is>
          <t>Other</t>
        </is>
      </c>
      <c r="D1762" s="2" t="inlineStr">
        <is>
          <t>L9.DUN.50131</t>
        </is>
      </c>
      <c r="E1762" s="2" t="inlineStr">
        <is>
          <t>L9.DUN.50131</t>
        </is>
      </c>
      <c r="M1762" s="2" t="inlineStr">
        <is>
          <t>Auckland City</t>
        </is>
      </c>
      <c r="N1762" s="2" t="inlineStr">
        <is>
          <t>New Zealand</t>
        </is>
      </c>
      <c r="P1762" s="2" t="inlineStr">
        <is>
          <t>Operational Control</t>
        </is>
      </c>
      <c r="Q1762" s="2" t="inlineStr">
        <is>
          <t>Operational Control</t>
        </is>
      </c>
      <c r="R1762" s="2" t="inlineStr">
        <is>
          <t>Energy and Utilities (EU)</t>
        </is>
      </c>
      <c r="S1762" s="2" t="inlineStr">
        <is>
          <t>Downer</t>
        </is>
      </c>
      <c r="T1762" s="2" t="n">
        <v>100</v>
      </c>
      <c r="W1762" s="2" t="inlineStr">
        <is>
          <t>Classification</t>
        </is>
      </c>
    </row>
    <row r="1763">
      <c r="A1763" s="2" t="inlineStr">
        <is>
          <t>Downer</t>
        </is>
      </c>
      <c r="B1763" s="2" t="inlineStr">
        <is>
          <t>PG Gas Wellington EU Subcontractors</t>
        </is>
      </c>
      <c r="C1763" s="2" t="inlineStr">
        <is>
          <t>Other</t>
        </is>
      </c>
      <c r="D1763" s="2" t="inlineStr">
        <is>
          <t>L9.DUN.50140</t>
        </is>
      </c>
      <c r="E1763" s="2" t="inlineStr">
        <is>
          <t>L9.DUN.50140</t>
        </is>
      </c>
      <c r="M1763" s="2" t="inlineStr">
        <is>
          <t>Auckland City</t>
        </is>
      </c>
      <c r="N1763" s="2" t="inlineStr">
        <is>
          <t>New Zealand</t>
        </is>
      </c>
      <c r="P1763" s="2" t="inlineStr">
        <is>
          <t>Operational Control</t>
        </is>
      </c>
      <c r="Q1763" s="2" t="inlineStr">
        <is>
          <t>Operational Control</t>
        </is>
      </c>
      <c r="R1763" s="2" t="inlineStr">
        <is>
          <t>Energy and Utilities (EU)</t>
        </is>
      </c>
      <c r="S1763" s="2" t="inlineStr">
        <is>
          <t>Downer</t>
        </is>
      </c>
      <c r="T1763" s="2" t="n">
        <v>100</v>
      </c>
      <c r="W1763" s="2" t="inlineStr">
        <is>
          <t>Classification</t>
        </is>
      </c>
    </row>
    <row r="1764">
      <c r="A1764" s="2" t="inlineStr">
        <is>
          <t>Downer</t>
        </is>
      </c>
      <c r="B1764" s="2" t="inlineStr">
        <is>
          <t>PG Power Auckland EU Subcontractors</t>
        </is>
      </c>
      <c r="C1764" s="2" t="inlineStr">
        <is>
          <t>Other</t>
        </is>
      </c>
      <c r="D1764" s="2" t="inlineStr">
        <is>
          <t>L9.DUN.70111</t>
        </is>
      </c>
      <c r="E1764" s="2" t="inlineStr">
        <is>
          <t>L9.DUN.70111</t>
        </is>
      </c>
      <c r="M1764" s="2" t="inlineStr">
        <is>
          <t>Auckland City</t>
        </is>
      </c>
      <c r="N1764" s="2" t="inlineStr">
        <is>
          <t>New Zealand</t>
        </is>
      </c>
      <c r="P1764" s="2" t="inlineStr">
        <is>
          <t>Operational Control</t>
        </is>
      </c>
      <c r="Q1764" s="2" t="inlineStr">
        <is>
          <t>Operational Control</t>
        </is>
      </c>
      <c r="R1764" s="2" t="inlineStr">
        <is>
          <t>Energy and Utilities (EU)</t>
        </is>
      </c>
      <c r="S1764" s="2" t="inlineStr">
        <is>
          <t>Downer</t>
        </is>
      </c>
      <c r="T1764" s="2" t="n">
        <v>100</v>
      </c>
      <c r="W1764" s="2" t="inlineStr">
        <is>
          <t>Classification</t>
        </is>
      </c>
    </row>
    <row r="1765">
      <c r="A1765" s="2" t="inlineStr">
        <is>
          <t>Downer</t>
        </is>
      </c>
      <c r="B1765" s="2" t="inlineStr">
        <is>
          <t>PG Power Coromandel EU Subcontractors</t>
        </is>
      </c>
      <c r="C1765" s="2" t="inlineStr">
        <is>
          <t>Other</t>
        </is>
      </c>
      <c r="D1765" s="2" t="inlineStr">
        <is>
          <t>L9.DUN.60125</t>
        </is>
      </c>
      <c r="E1765" s="2" t="inlineStr">
        <is>
          <t>L9.DUN.60125</t>
        </is>
      </c>
      <c r="M1765" s="2" t="inlineStr">
        <is>
          <t>Auckland City</t>
        </is>
      </c>
      <c r="N1765" s="2" t="inlineStr">
        <is>
          <t>New Zealand</t>
        </is>
      </c>
      <c r="P1765" s="2" t="inlineStr">
        <is>
          <t>Operational Control</t>
        </is>
      </c>
      <c r="Q1765" s="2" t="inlineStr">
        <is>
          <t>Operational Control</t>
        </is>
      </c>
      <c r="R1765" s="2" t="inlineStr">
        <is>
          <t>Energy and Utilities (EU)</t>
        </is>
      </c>
      <c r="S1765" s="2" t="inlineStr">
        <is>
          <t>Downer</t>
        </is>
      </c>
      <c r="T1765" s="2" t="n">
        <v>100</v>
      </c>
      <c r="W1765" s="2" t="inlineStr">
        <is>
          <t>Classification</t>
        </is>
      </c>
    </row>
    <row r="1766">
      <c r="A1766" s="2" t="inlineStr">
        <is>
          <t>Downer</t>
        </is>
      </c>
      <c r="B1766" s="2" t="inlineStr">
        <is>
          <t>PG Power Hawera EU Subcontractors</t>
        </is>
      </c>
      <c r="C1766" s="2" t="inlineStr">
        <is>
          <t>Other</t>
        </is>
      </c>
      <c r="D1766" s="2" t="inlineStr">
        <is>
          <t>L9.DUN.60124</t>
        </is>
      </c>
      <c r="E1766" s="2" t="inlineStr">
        <is>
          <t>L9.DUN.60124</t>
        </is>
      </c>
      <c r="M1766" s="2" t="inlineStr">
        <is>
          <t>Auckland City</t>
        </is>
      </c>
      <c r="N1766" s="2" t="inlineStr">
        <is>
          <t>New Zealand</t>
        </is>
      </c>
      <c r="P1766" s="2" t="inlineStr">
        <is>
          <t>Operational Control</t>
        </is>
      </c>
      <c r="Q1766" s="2" t="inlineStr">
        <is>
          <t>Operational Control</t>
        </is>
      </c>
      <c r="R1766" s="2" t="inlineStr">
        <is>
          <t>Energy and Utilities (EU)</t>
        </is>
      </c>
      <c r="S1766" s="2" t="inlineStr">
        <is>
          <t>Downer</t>
        </is>
      </c>
      <c r="T1766" s="2" t="n">
        <v>100</v>
      </c>
      <c r="W1766" s="2" t="inlineStr">
        <is>
          <t>Classification</t>
        </is>
      </c>
    </row>
    <row r="1767">
      <c r="A1767" s="2" t="inlineStr">
        <is>
          <t>Downer</t>
        </is>
      </c>
      <c r="B1767" s="2" t="inlineStr">
        <is>
          <t>PG Power Masterton EU Subcontractors</t>
        </is>
      </c>
      <c r="C1767" s="2" t="inlineStr">
        <is>
          <t>Other</t>
        </is>
      </c>
      <c r="D1767" s="2" t="inlineStr">
        <is>
          <t>L9.DUN.69240</t>
        </is>
      </c>
      <c r="E1767" s="2" t="inlineStr">
        <is>
          <t>L9.DUN.69240</t>
        </is>
      </c>
      <c r="M1767" s="2" t="inlineStr">
        <is>
          <t>Auckland City</t>
        </is>
      </c>
      <c r="N1767" s="2" t="inlineStr">
        <is>
          <t>New Zealand</t>
        </is>
      </c>
      <c r="P1767" s="2" t="inlineStr">
        <is>
          <t>Operational Control</t>
        </is>
      </c>
      <c r="Q1767" s="2" t="inlineStr">
        <is>
          <t>Operational Control</t>
        </is>
      </c>
      <c r="R1767" s="2" t="inlineStr">
        <is>
          <t>Energy and Utilities (EU)</t>
        </is>
      </c>
      <c r="S1767" s="2" t="inlineStr">
        <is>
          <t>Downer</t>
        </is>
      </c>
      <c r="T1767" s="2" t="n">
        <v>100</v>
      </c>
      <c r="W1767" s="2" t="inlineStr">
        <is>
          <t>Classification</t>
        </is>
      </c>
    </row>
    <row r="1768">
      <c r="A1768" s="2" t="inlineStr">
        <is>
          <t>Downer</t>
        </is>
      </c>
      <c r="B1768" s="2" t="inlineStr">
        <is>
          <t>PG Power Matamata EU Subcontractors</t>
        </is>
      </c>
      <c r="C1768" s="2" t="inlineStr">
        <is>
          <t>Other</t>
        </is>
      </c>
      <c r="D1768" s="2" t="inlineStr">
        <is>
          <t>L9.DUN.60126</t>
        </is>
      </c>
      <c r="E1768" s="2" t="inlineStr">
        <is>
          <t>L9.DUN.60126</t>
        </is>
      </c>
      <c r="M1768" s="2" t="inlineStr">
        <is>
          <t>Auckland City</t>
        </is>
      </c>
      <c r="N1768" s="2" t="inlineStr">
        <is>
          <t>New Zealand</t>
        </is>
      </c>
      <c r="P1768" s="2" t="inlineStr">
        <is>
          <t>Operational Control</t>
        </is>
      </c>
      <c r="Q1768" s="2" t="inlineStr">
        <is>
          <t>Operational Control</t>
        </is>
      </c>
      <c r="R1768" s="2" t="inlineStr">
        <is>
          <t>Energy and Utilities (EU)</t>
        </is>
      </c>
      <c r="S1768" s="2" t="inlineStr">
        <is>
          <t>Downer</t>
        </is>
      </c>
      <c r="T1768" s="2" t="n">
        <v>100</v>
      </c>
      <c r="W1768" s="2" t="inlineStr">
        <is>
          <t>Classification</t>
        </is>
      </c>
    </row>
    <row r="1769">
      <c r="A1769" s="2" t="inlineStr">
        <is>
          <t>Downer</t>
        </is>
      </c>
      <c r="B1769" s="2" t="inlineStr">
        <is>
          <t>PG Power New Plymouth EU Subcontractors</t>
        </is>
      </c>
      <c r="C1769" s="2" t="inlineStr">
        <is>
          <t>Other</t>
        </is>
      </c>
      <c r="D1769" s="2" t="inlineStr">
        <is>
          <t>L9.DUN.69210</t>
        </is>
      </c>
      <c r="E1769" s="2" t="inlineStr">
        <is>
          <t>L9.DUN.69210</t>
        </is>
      </c>
      <c r="M1769" s="2" t="inlineStr">
        <is>
          <t>Auckland City</t>
        </is>
      </c>
      <c r="N1769" s="2" t="inlineStr">
        <is>
          <t>New Zealand</t>
        </is>
      </c>
      <c r="P1769" s="2" t="inlineStr">
        <is>
          <t>Operational Control</t>
        </is>
      </c>
      <c r="Q1769" s="2" t="inlineStr">
        <is>
          <t>Operational Control</t>
        </is>
      </c>
      <c r="R1769" s="2" t="inlineStr">
        <is>
          <t>Energy and Utilities (EU)</t>
        </is>
      </c>
      <c r="S1769" s="2" t="inlineStr">
        <is>
          <t>Downer</t>
        </is>
      </c>
      <c r="T1769" s="2" t="n">
        <v>100</v>
      </c>
      <c r="W1769" s="2" t="inlineStr">
        <is>
          <t>Classification</t>
        </is>
      </c>
    </row>
    <row r="1770">
      <c r="A1770" s="2" t="inlineStr">
        <is>
          <t>Downer</t>
        </is>
      </c>
      <c r="B1770" s="2" t="inlineStr">
        <is>
          <t>PG Power Paeroa EU Subcontractors</t>
        </is>
      </c>
      <c r="C1770" s="2" t="inlineStr">
        <is>
          <t>Other</t>
        </is>
      </c>
      <c r="D1770" s="2" t="inlineStr">
        <is>
          <t>L9.DUN.60122</t>
        </is>
      </c>
      <c r="E1770" s="2" t="inlineStr">
        <is>
          <t>L9.DUN.60122</t>
        </is>
      </c>
      <c r="M1770" s="2" t="inlineStr">
        <is>
          <t>Auckland City</t>
        </is>
      </c>
      <c r="N1770" s="2" t="inlineStr">
        <is>
          <t>New Zealand</t>
        </is>
      </c>
      <c r="P1770" s="2" t="inlineStr">
        <is>
          <t>Operational Control</t>
        </is>
      </c>
      <c r="Q1770" s="2" t="inlineStr">
        <is>
          <t>Operational Control</t>
        </is>
      </c>
      <c r="R1770" s="2" t="inlineStr">
        <is>
          <t>Energy and Utilities (EU)</t>
        </is>
      </c>
      <c r="S1770" s="2" t="inlineStr">
        <is>
          <t>Downer</t>
        </is>
      </c>
      <c r="T1770" s="2" t="n">
        <v>100</v>
      </c>
      <c r="W1770" s="2" t="inlineStr">
        <is>
          <t>Classification</t>
        </is>
      </c>
    </row>
    <row r="1771">
      <c r="A1771" s="2" t="inlineStr">
        <is>
          <t>Downer</t>
        </is>
      </c>
      <c r="B1771" s="2" t="inlineStr">
        <is>
          <t>PG Power Pahiatua EU Subcontractors</t>
        </is>
      </c>
      <c r="C1771" s="2" t="inlineStr">
        <is>
          <t>Other</t>
        </is>
      </c>
      <c r="D1771" s="2" t="inlineStr">
        <is>
          <t>L9.DUN.79121</t>
        </is>
      </c>
      <c r="E1771" s="2" t="inlineStr">
        <is>
          <t>L9.DUN.79121</t>
        </is>
      </c>
      <c r="F1771" s="2" t="inlineStr">
        <is>
          <t>L9.DUN.79121</t>
        </is>
      </c>
      <c r="M1771" s="2" t="inlineStr">
        <is>
          <t>North Ryde</t>
        </is>
      </c>
      <c r="N1771" s="2" t="inlineStr">
        <is>
          <t>Australia</t>
        </is>
      </c>
      <c r="P1771" s="2" t="inlineStr">
        <is>
          <t>Operational Control</t>
        </is>
      </c>
      <c r="Q1771" s="2" t="inlineStr">
        <is>
          <t>Operational Control</t>
        </is>
      </c>
      <c r="R1771" s="2" t="inlineStr">
        <is>
          <t>Energy and Utilities (EU)</t>
        </is>
      </c>
      <c r="S1771" s="2" t="inlineStr">
        <is>
          <t>Downer</t>
        </is>
      </c>
      <c r="T1771" s="2" t="n">
        <v>100</v>
      </c>
      <c r="W1771" s="2" t="inlineStr">
        <is>
          <t>Classification</t>
        </is>
      </c>
    </row>
    <row r="1772">
      <c r="A1772" s="2" t="inlineStr">
        <is>
          <t>Downer</t>
        </is>
      </c>
      <c r="B1772" s="2" t="inlineStr">
        <is>
          <t>PG Power Palmerston North EU Subcontractors</t>
        </is>
      </c>
      <c r="C1772" s="2" t="inlineStr">
        <is>
          <t>Other</t>
        </is>
      </c>
      <c r="D1772" s="2" t="inlineStr">
        <is>
          <t>L9.DUN.60231</t>
        </is>
      </c>
      <c r="E1772" s="2" t="inlineStr">
        <is>
          <t>L9.DUN.60231</t>
        </is>
      </c>
      <c r="M1772" s="2" t="inlineStr">
        <is>
          <t>Auckland City</t>
        </is>
      </c>
      <c r="N1772" s="2" t="inlineStr">
        <is>
          <t>New Zealand</t>
        </is>
      </c>
      <c r="P1772" s="2" t="inlineStr">
        <is>
          <t>Operational Control</t>
        </is>
      </c>
      <c r="Q1772" s="2" t="inlineStr">
        <is>
          <t>Operational Control</t>
        </is>
      </c>
      <c r="R1772" s="2" t="inlineStr">
        <is>
          <t>Energy and Utilities (EU)</t>
        </is>
      </c>
      <c r="S1772" s="2" t="inlineStr">
        <is>
          <t>Downer</t>
        </is>
      </c>
      <c r="T1772" s="2" t="n">
        <v>100</v>
      </c>
      <c r="W1772" s="2" t="inlineStr">
        <is>
          <t>Classification</t>
        </is>
      </c>
    </row>
    <row r="1773">
      <c r="A1773" s="2" t="inlineStr">
        <is>
          <t>Downer</t>
        </is>
      </c>
      <c r="B1773" s="2" t="inlineStr">
        <is>
          <t>PG Power Tauranga EU Subcontractors</t>
        </is>
      </c>
      <c r="C1773" s="2" t="inlineStr">
        <is>
          <t>Other</t>
        </is>
      </c>
      <c r="D1773" s="2" t="inlineStr">
        <is>
          <t>L9.DUN.60110</t>
        </is>
      </c>
      <c r="E1773" s="2" t="inlineStr">
        <is>
          <t>L9.DUN.60110</t>
        </is>
      </c>
      <c r="M1773" s="2" t="inlineStr">
        <is>
          <t>Auckland City</t>
        </is>
      </c>
      <c r="N1773" s="2" t="inlineStr">
        <is>
          <t>New Zealand</t>
        </is>
      </c>
      <c r="P1773" s="2" t="inlineStr">
        <is>
          <t>Operational Control</t>
        </is>
      </c>
      <c r="Q1773" s="2" t="inlineStr">
        <is>
          <t>Operational Control</t>
        </is>
      </c>
      <c r="R1773" s="2" t="inlineStr">
        <is>
          <t>Energy and Utilities (EU)</t>
        </is>
      </c>
      <c r="S1773" s="2" t="inlineStr">
        <is>
          <t>Downer</t>
        </is>
      </c>
      <c r="T1773" s="2" t="n">
        <v>100</v>
      </c>
      <c r="W1773" s="2" t="inlineStr">
        <is>
          <t>Classification</t>
        </is>
      </c>
    </row>
    <row r="1774">
      <c r="A1774" s="2" t="inlineStr">
        <is>
          <t>Downer</t>
        </is>
      </c>
      <c r="B1774" s="2" t="inlineStr">
        <is>
          <t>PG Power Wanganui EU Subcontractors</t>
        </is>
      </c>
      <c r="C1774" s="2" t="inlineStr">
        <is>
          <t>Other</t>
        </is>
      </c>
      <c r="D1774" s="2" t="inlineStr">
        <is>
          <t>L9.DUN.60220</t>
        </is>
      </c>
      <c r="E1774" s="2" t="inlineStr">
        <is>
          <t>L9.DUN.60220</t>
        </is>
      </c>
      <c r="M1774" s="2" t="inlineStr">
        <is>
          <t>Auckland City</t>
        </is>
      </c>
      <c r="N1774" s="2" t="inlineStr">
        <is>
          <t>New Zealand</t>
        </is>
      </c>
      <c r="P1774" s="2" t="inlineStr">
        <is>
          <t>Operational Control</t>
        </is>
      </c>
      <c r="Q1774" s="2" t="inlineStr">
        <is>
          <t>Operational Control</t>
        </is>
      </c>
      <c r="R1774" s="2" t="inlineStr">
        <is>
          <t>Energy and Utilities (EU)</t>
        </is>
      </c>
      <c r="S1774" s="2" t="inlineStr">
        <is>
          <t>Downer</t>
        </is>
      </c>
      <c r="T1774" s="2" t="n">
        <v>100</v>
      </c>
      <c r="W1774" s="2" t="inlineStr">
        <is>
          <t>Classification</t>
        </is>
      </c>
    </row>
    <row r="1775">
      <c r="A1775" s="2" t="inlineStr">
        <is>
          <t>Downer</t>
        </is>
      </c>
      <c r="B1775" s="2" t="inlineStr">
        <is>
          <t>PG Power Wellington EU Subcontractors</t>
        </is>
      </c>
      <c r="C1775" s="2" t="inlineStr">
        <is>
          <t>Other</t>
        </is>
      </c>
      <c r="D1775" s="2" t="inlineStr">
        <is>
          <t>L9.DUN.70311</t>
        </is>
      </c>
      <c r="E1775" s="2" t="inlineStr">
        <is>
          <t>L9.DUN.70311</t>
        </is>
      </c>
      <c r="M1775" s="2" t="inlineStr">
        <is>
          <t>Auckland City</t>
        </is>
      </c>
      <c r="N1775" s="2" t="inlineStr">
        <is>
          <t>New Zealand</t>
        </is>
      </c>
      <c r="P1775" s="2" t="inlineStr">
        <is>
          <t>Operational Control</t>
        </is>
      </c>
      <c r="Q1775" s="2" t="inlineStr">
        <is>
          <t>Operational Control</t>
        </is>
      </c>
      <c r="R1775" s="2" t="inlineStr">
        <is>
          <t>Energy and Utilities (EU)</t>
        </is>
      </c>
      <c r="S1775" s="2" t="inlineStr">
        <is>
          <t>Downer</t>
        </is>
      </c>
      <c r="T1775" s="2" t="n">
        <v>100</v>
      </c>
      <c r="W1775" s="2" t="inlineStr">
        <is>
          <t>Classification</t>
        </is>
      </c>
    </row>
    <row r="1776">
      <c r="A1776" s="2" t="inlineStr">
        <is>
          <t>Downer</t>
        </is>
      </c>
      <c r="B1776" s="2" t="inlineStr">
        <is>
          <t>PG WEL Network EU Subcontractors</t>
        </is>
      </c>
      <c r="C1776" s="2" t="inlineStr">
        <is>
          <t>Other</t>
        </is>
      </c>
      <c r="D1776" s="2" t="inlineStr">
        <is>
          <t>L9.DUN.79313</t>
        </is>
      </c>
      <c r="E1776" s="2" t="inlineStr">
        <is>
          <t>L9.DUN.79313</t>
        </is>
      </c>
      <c r="M1776" s="2" t="inlineStr">
        <is>
          <t>Auckland City</t>
        </is>
      </c>
      <c r="N1776" s="2" t="inlineStr">
        <is>
          <t>New Zealand</t>
        </is>
      </c>
      <c r="P1776" s="2" t="inlineStr">
        <is>
          <t>Operational Control</t>
        </is>
      </c>
      <c r="Q1776" s="2" t="inlineStr">
        <is>
          <t>Operational Control</t>
        </is>
      </c>
      <c r="R1776" s="2" t="inlineStr">
        <is>
          <t>Energy and Utilities (EU)</t>
        </is>
      </c>
      <c r="S1776" s="2" t="inlineStr">
        <is>
          <t>Downer</t>
        </is>
      </c>
      <c r="T1776" s="2" t="n">
        <v>100</v>
      </c>
      <c r="W1776" s="2" t="inlineStr">
        <is>
          <t>Classification</t>
        </is>
      </c>
    </row>
    <row r="1777">
      <c r="A1777" s="2" t="inlineStr">
        <is>
          <t>Downer</t>
        </is>
      </c>
      <c r="B1777" s="2" t="inlineStr">
        <is>
          <t>Picton (12 - 14 Kent Street)</t>
        </is>
      </c>
      <c r="C1777" s="2" t="inlineStr">
        <is>
          <t>Depot</t>
        </is>
      </c>
      <c r="D1777" s="2" t="inlineStr">
        <is>
          <t>L9.DNZJ.91389</t>
        </is>
      </c>
      <c r="E1777" s="2" t="n">
        <v>91389</v>
      </c>
      <c r="G1777" s="2" t="inlineStr">
        <is>
          <t>UT-NZU-564424-Picton Depot
COR-NZHO.91389-Picton (12 - 14 Kent Street)
12A Kent Street  Picton 7220  Marlborough Region</t>
        </is>
      </c>
      <c r="H1777" s="2" t="inlineStr">
        <is>
          <t>12-14 Kent Street</t>
        </is>
      </c>
      <c r="I1777" s="2" t="inlineStr">
        <is>
          <t>Picton</t>
        </is>
      </c>
      <c r="J1777" s="2" t="inlineStr">
        <is>
          <t>Marlborough</t>
        </is>
      </c>
      <c r="K1777" s="2" t="n">
        <v>7220</v>
      </c>
      <c r="M1777" s="2" t="inlineStr">
        <is>
          <t>Picton</t>
        </is>
      </c>
      <c r="N1777" s="2" t="inlineStr">
        <is>
          <t>New Zealand</t>
        </is>
      </c>
      <c r="P1777" s="2" t="inlineStr">
        <is>
          <t>Operational Control</t>
        </is>
      </c>
      <c r="Q1777" s="2" t="inlineStr">
        <is>
          <t>Operational Control</t>
        </is>
      </c>
      <c r="R1777" s="2" t="inlineStr">
        <is>
          <t>Energy and Utilities (EU)</t>
        </is>
      </c>
      <c r="S1777" s="2" t="inlineStr">
        <is>
          <t>Downer</t>
        </is>
      </c>
      <c r="T1777" s="2" t="n">
        <v>100</v>
      </c>
      <c r="W1777" s="2" t="inlineStr">
        <is>
          <t>Classification</t>
        </is>
      </c>
    </row>
    <row r="1778">
      <c r="A1778" s="2" t="inlineStr">
        <is>
          <t>Downer</t>
        </is>
      </c>
      <c r="B1778" s="2" t="inlineStr">
        <is>
          <t>Picton Depot</t>
        </is>
      </c>
      <c r="C1778" s="2" t="inlineStr">
        <is>
          <t>Other</t>
        </is>
      </c>
      <c r="D1778" s="2" t="inlineStr">
        <is>
          <t>L9.DNZJ.55628</t>
        </is>
      </c>
      <c r="E1778" s="2" t="n">
        <v>55628</v>
      </c>
      <c r="H1778" s="2" t="inlineStr">
        <is>
          <t>18 Devon Street</t>
        </is>
      </c>
      <c r="I1778" s="2" t="inlineStr">
        <is>
          <t>Picton</t>
        </is>
      </c>
      <c r="J1778" s="2" t="inlineStr">
        <is>
          <t>Picton</t>
        </is>
      </c>
      <c r="K1778" s="2" t="n">
        <v>7220</v>
      </c>
      <c r="L1778" s="2" t="inlineStr">
        <is>
          <t>New Zealand</t>
        </is>
      </c>
      <c r="M1778" s="2" t="inlineStr">
        <is>
          <t>Picton</t>
        </is>
      </c>
      <c r="N1778" s="2" t="inlineStr">
        <is>
          <t>New Zealand</t>
        </is>
      </c>
      <c r="P1778" s="2" t="inlineStr">
        <is>
          <t>Operational Control</t>
        </is>
      </c>
      <c r="Q1778" s="2" t="inlineStr">
        <is>
          <t>Operational Control</t>
        </is>
      </c>
      <c r="R1778" s="2" t="inlineStr">
        <is>
          <t>Transport &amp; Infrastructure (T&amp;I)</t>
        </is>
      </c>
      <c r="S1778" s="2" t="inlineStr">
        <is>
          <t>Downer</t>
        </is>
      </c>
      <c r="T1778" s="2" t="n">
        <v>100</v>
      </c>
      <c r="W1778" s="2" t="inlineStr">
        <is>
          <t>Classification</t>
        </is>
      </c>
      <c r="X1778" s="2" t="n">
        <v>-41.2924</v>
      </c>
      <c r="Y1778" s="2" t="n">
        <v>174.0035</v>
      </c>
    </row>
    <row r="1779">
      <c r="A1779" s="2" t="inlineStr">
        <is>
          <t>Downer</t>
        </is>
      </c>
      <c r="B1779" s="2" t="inlineStr">
        <is>
          <t>Piling</t>
        </is>
      </c>
      <c r="C1779" s="2" t="inlineStr">
        <is>
          <t>Other</t>
        </is>
      </c>
      <c r="D1779" s="2" t="inlineStr">
        <is>
          <t>L9.DNZJ.8817</t>
        </is>
      </c>
      <c r="E1779" s="2" t="n">
        <v>8817</v>
      </c>
      <c r="F1779" s="2" t="n">
        <v>1093086</v>
      </c>
      <c r="M1779" s="2" t="inlineStr">
        <is>
          <t>Manurewa</t>
        </is>
      </c>
      <c r="N1779" s="2" t="inlineStr">
        <is>
          <t>New Zealand</t>
        </is>
      </c>
      <c r="P1779" s="2" t="inlineStr">
        <is>
          <t>Operational Control</t>
        </is>
      </c>
      <c r="Q1779" s="2" t="inlineStr">
        <is>
          <t>Operational Control</t>
        </is>
      </c>
      <c r="R1779" s="2" t="inlineStr">
        <is>
          <t>Transport &amp; Infrastructure (T&amp;I)</t>
        </is>
      </c>
      <c r="S1779" s="2" t="inlineStr">
        <is>
          <t>Downer</t>
        </is>
      </c>
      <c r="T1779" s="2" t="n">
        <v>100</v>
      </c>
      <c r="W1779" s="2" t="inlineStr">
        <is>
          <t>Classification</t>
        </is>
      </c>
    </row>
    <row r="1780">
      <c r="A1780" s="2" t="inlineStr">
        <is>
          <t>Downer</t>
        </is>
      </c>
      <c r="B1780" s="2" t="inlineStr">
        <is>
          <t>PINEHAVEN STREAM IMPROVEMENTS</t>
        </is>
      </c>
      <c r="C1780" s="2" t="inlineStr">
        <is>
          <t>Other</t>
        </is>
      </c>
      <c r="D1780" s="2" t="inlineStr">
        <is>
          <t>L9.DNZJ.DS2662</t>
        </is>
      </c>
      <c r="E1780" s="2" t="inlineStr">
        <is>
          <t>JP_DS2662</t>
        </is>
      </c>
      <c r="M1780" s="2" t="inlineStr">
        <is>
          <t>Manurewa</t>
        </is>
      </c>
      <c r="N1780" s="2" t="inlineStr">
        <is>
          <t>New Zealand</t>
        </is>
      </c>
      <c r="P1780" s="2" t="inlineStr">
        <is>
          <t>Operational Control</t>
        </is>
      </c>
      <c r="Q1780" s="2" t="inlineStr">
        <is>
          <t>Operational Control</t>
        </is>
      </c>
      <c r="R1780" s="2" t="inlineStr">
        <is>
          <t>Transport &amp; Infrastructure (T&amp;I)</t>
        </is>
      </c>
      <c r="S1780" s="2" t="inlineStr">
        <is>
          <t>Downer</t>
        </is>
      </c>
      <c r="T1780" s="2" t="n">
        <v>100</v>
      </c>
      <c r="W1780" s="2" t="inlineStr">
        <is>
          <t>Classification</t>
        </is>
      </c>
    </row>
    <row r="1781">
      <c r="A1781" s="2" t="inlineStr">
        <is>
          <t>Downer</t>
        </is>
      </c>
      <c r="B1781" s="2" t="inlineStr">
        <is>
          <t>Pipe Bursting &amp; SLip Lining EU Subcontractors</t>
        </is>
      </c>
      <c r="C1781" s="2" t="inlineStr">
        <is>
          <t>Other</t>
        </is>
      </c>
      <c r="D1781" s="2" t="inlineStr">
        <is>
          <t>L9.J.24160295</t>
        </is>
      </c>
      <c r="E1781" s="2" t="inlineStr">
        <is>
          <t>L9.J.24160295</t>
        </is>
      </c>
      <c r="M1781" s="2" t="inlineStr">
        <is>
          <t>North Ryde</t>
        </is>
      </c>
      <c r="N1781" s="2" t="inlineStr">
        <is>
          <t>Australia</t>
        </is>
      </c>
      <c r="P1781" s="2" t="inlineStr">
        <is>
          <t>Operational Control</t>
        </is>
      </c>
      <c r="Q1781" s="2" t="inlineStr">
        <is>
          <t>Operational Control</t>
        </is>
      </c>
      <c r="R1781" s="2" t="inlineStr">
        <is>
          <t>Energy and Utilities (EU)</t>
        </is>
      </c>
      <c r="S1781" s="2" t="inlineStr">
        <is>
          <t>Downer</t>
        </is>
      </c>
      <c r="T1781" s="2" t="n">
        <v>100</v>
      </c>
      <c r="W1781" s="2" t="inlineStr">
        <is>
          <t>Classification</t>
        </is>
      </c>
    </row>
    <row r="1782">
      <c r="A1782" s="2" t="inlineStr">
        <is>
          <t>Downer</t>
        </is>
      </c>
      <c r="B1782" s="2" t="inlineStr">
        <is>
          <t>Pipeline Renewal EU Subcontractors</t>
        </is>
      </c>
      <c r="C1782" s="2" t="inlineStr">
        <is>
          <t>Other</t>
        </is>
      </c>
      <c r="D1782" s="2" t="inlineStr">
        <is>
          <t>L9.J.24010015</t>
        </is>
      </c>
      <c r="E1782" s="2" t="inlineStr">
        <is>
          <t>L9.J.24010015</t>
        </is>
      </c>
      <c r="M1782" s="2" t="inlineStr">
        <is>
          <t>North Ryde</t>
        </is>
      </c>
      <c r="N1782" s="2" t="inlineStr">
        <is>
          <t>Australia</t>
        </is>
      </c>
      <c r="P1782" s="2" t="inlineStr">
        <is>
          <t>Operational Control</t>
        </is>
      </c>
      <c r="Q1782" s="2" t="inlineStr">
        <is>
          <t>Operational Control</t>
        </is>
      </c>
      <c r="R1782" s="2" t="inlineStr">
        <is>
          <t>Energy and Utilities (EU)</t>
        </is>
      </c>
      <c r="S1782" s="2" t="inlineStr">
        <is>
          <t>Downer</t>
        </is>
      </c>
      <c r="T1782" s="2" t="n">
        <v>100</v>
      </c>
      <c r="W1782" s="2" t="inlineStr">
        <is>
          <t>Classification</t>
        </is>
      </c>
    </row>
    <row r="1783">
      <c r="A1783" s="2" t="inlineStr">
        <is>
          <t>Downer</t>
        </is>
      </c>
      <c r="B1783" s="2" t="inlineStr">
        <is>
          <t>Pipetech - Fyshwick Depot</t>
        </is>
      </c>
      <c r="C1783" s="2" t="inlineStr">
        <is>
          <t>Depot</t>
        </is>
      </c>
      <c r="D1783" s="2" t="inlineStr">
        <is>
          <t>L9.J.30168101</t>
        </is>
      </c>
      <c r="E1783" s="2" t="n">
        <v>50</v>
      </c>
      <c r="G1783" s="2" t="inlineStr">
        <is>
          <t>51 Whyalla Street</t>
        </is>
      </c>
      <c r="H1783" s="2" t="inlineStr">
        <is>
          <t>40 Bunda Street</t>
        </is>
      </c>
      <c r="I1783" s="2" t="inlineStr">
        <is>
          <t>Canberra</t>
        </is>
      </c>
      <c r="J1783" s="2" t="inlineStr">
        <is>
          <t>ACT</t>
        </is>
      </c>
      <c r="K1783" s="2" t="n">
        <v>2600</v>
      </c>
      <c r="L1783" s="2" t="inlineStr">
        <is>
          <t>Australia</t>
        </is>
      </c>
      <c r="M1783" s="2" t="inlineStr">
        <is>
          <t>Australian Capital Territory</t>
        </is>
      </c>
      <c r="N1783" s="2" t="inlineStr">
        <is>
          <t>Australia</t>
        </is>
      </c>
      <c r="P1783" s="2" t="inlineStr">
        <is>
          <t>Operational Control</t>
        </is>
      </c>
      <c r="Q1783" s="2" t="inlineStr">
        <is>
          <t>Operational Control</t>
        </is>
      </c>
      <c r="R1783" s="2" t="inlineStr">
        <is>
          <t>Energy and Utilities (EU)</t>
        </is>
      </c>
      <c r="S1783" s="2" t="inlineStr">
        <is>
          <t>Downer</t>
        </is>
      </c>
      <c r="T1783" s="2" t="n">
        <v>100</v>
      </c>
      <c r="W1783" s="2" t="inlineStr">
        <is>
          <t>Classification</t>
        </is>
      </c>
      <c r="X1783" s="2" t="n">
        <v>-35.277896</v>
      </c>
      <c r="Y1783" s="2" t="n">
        <v>149.131217</v>
      </c>
      <c r="Z1783" s="2" t="n">
        <v>310</v>
      </c>
    </row>
    <row r="1784">
      <c r="A1784" s="2" t="inlineStr">
        <is>
          <t>Downer</t>
        </is>
      </c>
      <c r="B1784" s="2" t="inlineStr">
        <is>
          <t>Planning and Programming</t>
        </is>
      </c>
      <c r="C1784" s="2" t="inlineStr">
        <is>
          <t>Other</t>
        </is>
      </c>
      <c r="D1784" s="2" t="inlineStr">
        <is>
          <t>L9.DNZJ.8812</t>
        </is>
      </c>
      <c r="E1784" s="2" t="n">
        <v>8812</v>
      </c>
      <c r="M1784" s="2" t="inlineStr">
        <is>
          <t>Manurewa</t>
        </is>
      </c>
      <c r="N1784" s="2" t="inlineStr">
        <is>
          <t>New Zealand</t>
        </is>
      </c>
      <c r="P1784" s="2" t="inlineStr">
        <is>
          <t>Operational Control</t>
        </is>
      </c>
      <c r="Q1784" s="2" t="inlineStr">
        <is>
          <t>Operational Control</t>
        </is>
      </c>
      <c r="R1784" s="2" t="inlineStr">
        <is>
          <t>Transport &amp; Infrastructure (T&amp;I)</t>
        </is>
      </c>
      <c r="S1784" s="2" t="inlineStr">
        <is>
          <t>Downer</t>
        </is>
      </c>
      <c r="T1784" s="2" t="n">
        <v>100</v>
      </c>
      <c r="W1784" s="2" t="inlineStr">
        <is>
          <t>Classification</t>
        </is>
      </c>
    </row>
    <row r="1785">
      <c r="A1785" s="2" t="inlineStr">
        <is>
          <t>Downer</t>
        </is>
      </c>
      <c r="B1785" s="2" t="inlineStr">
        <is>
          <t>Plant - AC Stormwater Central</t>
        </is>
      </c>
      <c r="C1785" s="2" t="inlineStr">
        <is>
          <t>Other</t>
        </is>
      </c>
      <c r="D1785" s="2" t="inlineStr">
        <is>
          <t>L9.DNZJ.56803</t>
        </is>
      </c>
      <c r="E1785" s="2" t="n">
        <v>56804</v>
      </c>
      <c r="H1785" s="2" t="inlineStr">
        <is>
          <t>130 Kerrs Road</t>
        </is>
      </c>
      <c r="I1785" s="2" t="inlineStr">
        <is>
          <t>Wiri</t>
        </is>
      </c>
      <c r="J1785" s="2" t="inlineStr">
        <is>
          <t>Auckland</t>
        </is>
      </c>
      <c r="K1785" s="2" t="n">
        <v>2104</v>
      </c>
      <c r="L1785" s="2" t="inlineStr">
        <is>
          <t>New Zealand</t>
        </is>
      </c>
      <c r="M1785" s="2" t="inlineStr">
        <is>
          <t>Manurewa</t>
        </is>
      </c>
      <c r="N1785" s="2" t="inlineStr">
        <is>
          <t>New Zealand</t>
        </is>
      </c>
      <c r="P1785" s="2" t="inlineStr">
        <is>
          <t>Operational Control</t>
        </is>
      </c>
      <c r="Q1785" s="2" t="inlineStr">
        <is>
          <t>Operational Control</t>
        </is>
      </c>
      <c r="R1785" s="2" t="inlineStr">
        <is>
          <t>Energy and Utilities (EU)</t>
        </is>
      </c>
      <c r="S1785" s="2" t="inlineStr">
        <is>
          <t>Downer</t>
        </is>
      </c>
      <c r="T1785" s="2" t="n">
        <v>100</v>
      </c>
      <c r="W1785" s="2" t="inlineStr">
        <is>
          <t>Classification</t>
        </is>
      </c>
      <c r="X1785" s="2" t="n">
        <v>-37.0083</v>
      </c>
      <c r="Y1785" s="2" t="n">
        <v>174.8705</v>
      </c>
    </row>
    <row r="1786">
      <c r="A1786" s="2" t="inlineStr">
        <is>
          <t>Downer</t>
        </is>
      </c>
      <c r="B1786" s="2" t="inlineStr">
        <is>
          <t>Plant - AC Stormwater North</t>
        </is>
      </c>
      <c r="C1786" s="2" t="inlineStr">
        <is>
          <t>Other</t>
        </is>
      </c>
      <c r="D1786" s="2" t="inlineStr">
        <is>
          <t>L9.DNZJ.56803</t>
        </is>
      </c>
      <c r="E1786" s="2" t="n">
        <v>56803</v>
      </c>
      <c r="H1786" s="2" t="inlineStr">
        <is>
          <t>130 Kerrs Road</t>
        </is>
      </c>
      <c r="I1786" s="2" t="inlineStr">
        <is>
          <t>Wiri</t>
        </is>
      </c>
      <c r="J1786" s="2" t="inlineStr">
        <is>
          <t>Auckland</t>
        </is>
      </c>
      <c r="K1786" s="2" t="n">
        <v>2104</v>
      </c>
      <c r="L1786" s="2" t="inlineStr">
        <is>
          <t>New Zealand</t>
        </is>
      </c>
      <c r="M1786" s="2" t="inlineStr">
        <is>
          <t>Manurewa</t>
        </is>
      </c>
      <c r="N1786" s="2" t="inlineStr">
        <is>
          <t>New Zealand</t>
        </is>
      </c>
      <c r="P1786" s="2" t="inlineStr">
        <is>
          <t>Operational Control</t>
        </is>
      </c>
      <c r="Q1786" s="2" t="inlineStr">
        <is>
          <t>Operational Control</t>
        </is>
      </c>
      <c r="R1786" s="2" t="inlineStr">
        <is>
          <t>Energy and Utilities (EU)</t>
        </is>
      </c>
      <c r="S1786" s="2" t="inlineStr">
        <is>
          <t>Downer</t>
        </is>
      </c>
      <c r="T1786" s="2" t="n">
        <v>100</v>
      </c>
      <c r="W1786" s="2" t="inlineStr">
        <is>
          <t>Classification</t>
        </is>
      </c>
      <c r="X1786" s="2" t="n">
        <v>-37.0083</v>
      </c>
      <c r="Y1786" s="2" t="n">
        <v>174.8705</v>
      </c>
    </row>
    <row r="1787">
      <c r="A1787" s="2" t="inlineStr">
        <is>
          <t>Downer</t>
        </is>
      </c>
      <c r="B1787" s="2" t="inlineStr">
        <is>
          <t>Plant - Administration</t>
        </is>
      </c>
      <c r="C1787" s="2" t="inlineStr">
        <is>
          <t>Other</t>
        </is>
      </c>
      <c r="D1787" s="2" t="inlineStr">
        <is>
          <t>L9.DNZJ.8010</t>
        </is>
      </c>
      <c r="E1787" s="2" t="n">
        <v>8010</v>
      </c>
      <c r="M1787" s="2" t="inlineStr">
        <is>
          <t>Manurewa</t>
        </is>
      </c>
      <c r="N1787" s="2" t="inlineStr">
        <is>
          <t>New Zealand</t>
        </is>
      </c>
      <c r="P1787" s="2" t="inlineStr">
        <is>
          <t>Operational Control</t>
        </is>
      </c>
      <c r="Q1787" s="2" t="inlineStr">
        <is>
          <t>Operational Control</t>
        </is>
      </c>
      <c r="R1787" s="2" t="inlineStr">
        <is>
          <t>Transport &amp; Infrastructure (T&amp;I)</t>
        </is>
      </c>
      <c r="S1787" s="2" t="inlineStr">
        <is>
          <t>Downer</t>
        </is>
      </c>
      <c r="T1787" s="2" t="n">
        <v>100</v>
      </c>
      <c r="W1787" s="2" t="inlineStr">
        <is>
          <t>Classification</t>
        </is>
      </c>
    </row>
    <row r="1788">
      <c r="A1788" s="2" t="inlineStr">
        <is>
          <t>Downer</t>
        </is>
      </c>
      <c r="B1788" s="2" t="inlineStr">
        <is>
          <t>Plant - Automation Nth Is.</t>
        </is>
      </c>
      <c r="C1788" s="2" t="inlineStr">
        <is>
          <t>Other</t>
        </is>
      </c>
      <c r="D1788" s="2" t="inlineStr">
        <is>
          <t>L9.DNZJ.56150</t>
        </is>
      </c>
      <c r="E1788" s="2" t="n">
        <v>56819</v>
      </c>
      <c r="H1788" s="2" t="inlineStr">
        <is>
          <t>130 Kerrs Road</t>
        </is>
      </c>
      <c r="I1788" s="2" t="inlineStr">
        <is>
          <t>Wiri</t>
        </is>
      </c>
      <c r="J1788" s="2" t="inlineStr">
        <is>
          <t>Auckland</t>
        </is>
      </c>
      <c r="K1788" s="2" t="n">
        <v>2104</v>
      </c>
      <c r="L1788" s="2" t="inlineStr">
        <is>
          <t>New Zealand</t>
        </is>
      </c>
      <c r="M1788" s="2" t="inlineStr">
        <is>
          <t>Manurewa</t>
        </is>
      </c>
      <c r="N1788" s="2" t="inlineStr">
        <is>
          <t>New Zealand</t>
        </is>
      </c>
      <c r="P1788" s="2" t="inlineStr">
        <is>
          <t>Operational Control</t>
        </is>
      </c>
      <c r="Q1788" s="2" t="inlineStr">
        <is>
          <t>Operational Control</t>
        </is>
      </c>
      <c r="R1788" s="2" t="inlineStr">
        <is>
          <t>Energy and Utilities (EU)</t>
        </is>
      </c>
      <c r="S1788" s="2" t="inlineStr">
        <is>
          <t>Downer</t>
        </is>
      </c>
      <c r="T1788" s="2" t="n">
        <v>100</v>
      </c>
      <c r="W1788" s="2" t="inlineStr">
        <is>
          <t>Classification</t>
        </is>
      </c>
      <c r="X1788" s="2" t="n">
        <v>-37.0083</v>
      </c>
      <c r="Y1788" s="2" t="n">
        <v>174.8705</v>
      </c>
    </row>
    <row r="1789">
      <c r="A1789" s="2" t="inlineStr">
        <is>
          <t>Downer</t>
        </is>
      </c>
      <c r="B1789" s="2" t="inlineStr">
        <is>
          <t>Plant - Automation Sth Is.</t>
        </is>
      </c>
      <c r="C1789" s="2" t="inlineStr">
        <is>
          <t>Other</t>
        </is>
      </c>
      <c r="D1789" s="2" t="inlineStr">
        <is>
          <t>L9.DNZJ.56152</t>
        </is>
      </c>
      <c r="E1789" s="2" t="n">
        <v>56820</v>
      </c>
      <c r="H1789" s="2" t="inlineStr">
        <is>
          <t>130 Kerrs Road</t>
        </is>
      </c>
      <c r="I1789" s="2" t="inlineStr">
        <is>
          <t>Wiri</t>
        </is>
      </c>
      <c r="J1789" s="2" t="inlineStr">
        <is>
          <t>Auckland</t>
        </is>
      </c>
      <c r="K1789" s="2" t="n">
        <v>2104</v>
      </c>
      <c r="L1789" s="2" t="inlineStr">
        <is>
          <t>New Zealand</t>
        </is>
      </c>
      <c r="M1789" s="2" t="inlineStr">
        <is>
          <t>Manurewa</t>
        </is>
      </c>
      <c r="N1789" s="2" t="inlineStr">
        <is>
          <t>New Zealand</t>
        </is>
      </c>
      <c r="P1789" s="2" t="inlineStr">
        <is>
          <t>Operational Control</t>
        </is>
      </c>
      <c r="Q1789" s="2" t="inlineStr">
        <is>
          <t>Operational Control</t>
        </is>
      </c>
      <c r="R1789" s="2" t="inlineStr">
        <is>
          <t>Energy and Utilities (EU)</t>
        </is>
      </c>
      <c r="S1789" s="2" t="inlineStr">
        <is>
          <t>Downer</t>
        </is>
      </c>
      <c r="T1789" s="2" t="n">
        <v>100</v>
      </c>
      <c r="W1789" s="2" t="inlineStr">
        <is>
          <t>Classification</t>
        </is>
      </c>
      <c r="X1789" s="2" t="n">
        <v>-37.0083</v>
      </c>
      <c r="Y1789" s="2" t="n">
        <v>174.8705</v>
      </c>
    </row>
    <row r="1790">
      <c r="A1790" s="2" t="inlineStr">
        <is>
          <t>Downer</t>
        </is>
      </c>
      <c r="B1790" s="2" t="inlineStr">
        <is>
          <t>Plant - Const. Canterbury/WTC</t>
        </is>
      </c>
      <c r="C1790" s="2" t="inlineStr">
        <is>
          <t>Other</t>
        </is>
      </c>
      <c r="D1790" s="2" t="inlineStr">
        <is>
          <t>L9.DNZJ.56847</t>
        </is>
      </c>
      <c r="E1790" s="2" t="n">
        <v>56847</v>
      </c>
      <c r="H1790" s="2" t="inlineStr">
        <is>
          <t>130 Kerrs Road</t>
        </is>
      </c>
      <c r="I1790" s="2" t="inlineStr">
        <is>
          <t>Wiri</t>
        </is>
      </c>
      <c r="J1790" s="2" t="inlineStr">
        <is>
          <t>Auckland</t>
        </is>
      </c>
      <c r="K1790" s="2" t="n">
        <v>2104</v>
      </c>
      <c r="L1790" s="2" t="inlineStr">
        <is>
          <t>New Zealand</t>
        </is>
      </c>
      <c r="M1790" s="2" t="inlineStr">
        <is>
          <t>Manurewa</t>
        </is>
      </c>
      <c r="N1790" s="2" t="inlineStr">
        <is>
          <t>New Zealand</t>
        </is>
      </c>
      <c r="P1790" s="2" t="inlineStr">
        <is>
          <t>Operational Control</t>
        </is>
      </c>
      <c r="Q1790" s="2" t="inlineStr">
        <is>
          <t>Operational Control</t>
        </is>
      </c>
      <c r="R1790" s="2" t="inlineStr">
        <is>
          <t>Energy and Utilities (EU)</t>
        </is>
      </c>
      <c r="S1790" s="2" t="inlineStr">
        <is>
          <t>Downer</t>
        </is>
      </c>
      <c r="T1790" s="2" t="n">
        <v>100</v>
      </c>
      <c r="W1790" s="2" t="inlineStr">
        <is>
          <t>Classification</t>
        </is>
      </c>
      <c r="X1790" s="2" t="n">
        <v>-37.0083</v>
      </c>
      <c r="Y1790" s="2" t="n">
        <v>174.8705</v>
      </c>
    </row>
    <row r="1791">
      <c r="A1791" s="2" t="inlineStr">
        <is>
          <t>Downer</t>
        </is>
      </c>
      <c r="B1791" s="2" t="inlineStr">
        <is>
          <t>Plant - Const. Otago/Southlnd</t>
        </is>
      </c>
      <c r="C1791" s="2" t="inlineStr">
        <is>
          <t>Other</t>
        </is>
      </c>
      <c r="D1791" s="2" t="inlineStr">
        <is>
          <t>L9.DNZJ.56138</t>
        </is>
      </c>
      <c r="E1791" s="2" t="n">
        <v>56846</v>
      </c>
      <c r="H1791" s="2" t="inlineStr">
        <is>
          <t>130 Kerrs Road</t>
        </is>
      </c>
      <c r="I1791" s="2" t="inlineStr">
        <is>
          <t>Wiri</t>
        </is>
      </c>
      <c r="J1791" s="2" t="inlineStr">
        <is>
          <t>Auckland</t>
        </is>
      </c>
      <c r="K1791" s="2" t="n">
        <v>2104</v>
      </c>
      <c r="L1791" s="2" t="inlineStr">
        <is>
          <t>New Zealand</t>
        </is>
      </c>
      <c r="M1791" s="2" t="inlineStr">
        <is>
          <t>Manurewa</t>
        </is>
      </c>
      <c r="N1791" s="2" t="inlineStr">
        <is>
          <t>New Zealand</t>
        </is>
      </c>
      <c r="P1791" s="2" t="inlineStr">
        <is>
          <t>Operational Control</t>
        </is>
      </c>
      <c r="Q1791" s="2" t="inlineStr">
        <is>
          <t>Operational Control</t>
        </is>
      </c>
      <c r="R1791" s="2" t="inlineStr">
        <is>
          <t>Energy and Utilities (EU)</t>
        </is>
      </c>
      <c r="S1791" s="2" t="inlineStr">
        <is>
          <t>Downer</t>
        </is>
      </c>
      <c r="T1791" s="2" t="n">
        <v>100</v>
      </c>
      <c r="W1791" s="2" t="inlineStr">
        <is>
          <t>Classification</t>
        </is>
      </c>
      <c r="X1791" s="2" t="n">
        <v>-37.0083</v>
      </c>
      <c r="Y1791" s="2" t="n">
        <v>174.8705</v>
      </c>
    </row>
    <row r="1792">
      <c r="A1792" s="2" t="inlineStr">
        <is>
          <t>Downer</t>
        </is>
      </c>
      <c r="B1792" s="2" t="inlineStr">
        <is>
          <t>Plant - Const. Otago/Southlnd EU Subcontractors</t>
        </is>
      </c>
      <c r="C1792" s="2" t="inlineStr">
        <is>
          <t>Other</t>
        </is>
      </c>
      <c r="D1792" s="2" t="inlineStr">
        <is>
          <t>L9.DNZJ.56846</t>
        </is>
      </c>
      <c r="E1792" s="2" t="inlineStr">
        <is>
          <t>L9.DNZJ.56846</t>
        </is>
      </c>
      <c r="M1792" s="2" t="inlineStr">
        <is>
          <t>Auckland City</t>
        </is>
      </c>
      <c r="N1792" s="2" t="inlineStr">
        <is>
          <t>New Zealand</t>
        </is>
      </c>
      <c r="P1792" s="2" t="inlineStr">
        <is>
          <t>Operational Control</t>
        </is>
      </c>
      <c r="Q1792" s="2" t="inlineStr">
        <is>
          <t>Operational Control</t>
        </is>
      </c>
      <c r="R1792" s="2" t="inlineStr">
        <is>
          <t>Energy and Utilities (EU)</t>
        </is>
      </c>
      <c r="S1792" s="2" t="inlineStr">
        <is>
          <t>Downer</t>
        </is>
      </c>
      <c r="T1792" s="2" t="n">
        <v>100</v>
      </c>
      <c r="W1792" s="2" t="inlineStr">
        <is>
          <t>Classification</t>
        </is>
      </c>
    </row>
    <row r="1793">
      <c r="A1793" s="2" t="inlineStr">
        <is>
          <t>Downer</t>
        </is>
      </c>
      <c r="B1793" s="2" t="inlineStr">
        <is>
          <t>Plant - Cranes Auckland</t>
        </is>
      </c>
      <c r="C1793" s="2" t="inlineStr">
        <is>
          <t>Other</t>
        </is>
      </c>
      <c r="D1793" s="2" t="inlineStr">
        <is>
          <t>L9.DNZJ.54845</t>
        </is>
      </c>
      <c r="E1793" s="2" t="n">
        <v>54845</v>
      </c>
      <c r="G1793" s="2" t="inlineStr">
        <is>
          <t>Not in INX.</t>
        </is>
      </c>
      <c r="M1793" s="2" t="inlineStr">
        <is>
          <t>Auckland</t>
        </is>
      </c>
      <c r="N1793" s="2" t="inlineStr">
        <is>
          <t>New Zealand</t>
        </is>
      </c>
      <c r="P1793" s="2" t="inlineStr">
        <is>
          <t>Operational Control</t>
        </is>
      </c>
      <c r="Q1793" s="2" t="inlineStr">
        <is>
          <t>Operational Control</t>
        </is>
      </c>
      <c r="R1793" s="2" t="inlineStr">
        <is>
          <t>Transport &amp; Infrastructure (T&amp;I)</t>
        </is>
      </c>
      <c r="S1793" s="2" t="inlineStr">
        <is>
          <t>Downer</t>
        </is>
      </c>
      <c r="T1793" s="2" t="n">
        <v>100</v>
      </c>
      <c r="W1793" s="2" t="inlineStr">
        <is>
          <t>Classification</t>
        </is>
      </c>
    </row>
    <row r="1794">
      <c r="A1794" s="2" t="inlineStr">
        <is>
          <t>Downer</t>
        </is>
      </c>
      <c r="B1794" s="2" t="inlineStr">
        <is>
          <t>Plant - Engineering Services</t>
        </is>
      </c>
      <c r="C1794" s="2" t="inlineStr">
        <is>
          <t>Other</t>
        </is>
      </c>
      <c r="D1794" s="2" t="inlineStr">
        <is>
          <t>L9.DUN.20300</t>
        </is>
      </c>
      <c r="E1794" s="2" t="n">
        <v>56851</v>
      </c>
      <c r="M1794" s="2" t="inlineStr">
        <is>
          <t>Manurewa</t>
        </is>
      </c>
      <c r="N1794" s="2" t="inlineStr">
        <is>
          <t>New Zealand</t>
        </is>
      </c>
      <c r="P1794" s="2" t="inlineStr">
        <is>
          <t>Operational Control</t>
        </is>
      </c>
      <c r="Q1794" s="2" t="inlineStr">
        <is>
          <t>Operational Control</t>
        </is>
      </c>
      <c r="R1794" s="2" t="inlineStr">
        <is>
          <t>Energy and Utilities (EU)</t>
        </is>
      </c>
      <c r="S1794" s="2" t="inlineStr">
        <is>
          <t>Downer</t>
        </is>
      </c>
      <c r="T1794" s="2" t="n">
        <v>100</v>
      </c>
      <c r="W1794" s="2" t="inlineStr">
        <is>
          <t>Classification</t>
        </is>
      </c>
    </row>
    <row r="1795">
      <c r="A1795" s="2" t="inlineStr">
        <is>
          <t>Downer</t>
        </is>
      </c>
      <c r="B1795" s="2" t="inlineStr">
        <is>
          <t>Plant - ICC Piped Network Mtnc</t>
        </is>
      </c>
      <c r="C1795" s="2" t="inlineStr">
        <is>
          <t>Other</t>
        </is>
      </c>
      <c r="D1795" s="2" t="inlineStr">
        <is>
          <t>L9.DNZJ.56132</t>
        </is>
      </c>
      <c r="E1795" s="2" t="n">
        <v>56818</v>
      </c>
      <c r="H1795" s="2" t="inlineStr">
        <is>
          <t>130 Kerrs Road</t>
        </is>
      </c>
      <c r="I1795" s="2" t="inlineStr">
        <is>
          <t>Wiri</t>
        </is>
      </c>
      <c r="J1795" s="2" t="inlineStr">
        <is>
          <t>Auckland</t>
        </is>
      </c>
      <c r="K1795" s="2" t="n">
        <v>2104</v>
      </c>
      <c r="L1795" s="2" t="inlineStr">
        <is>
          <t>New Zealand</t>
        </is>
      </c>
      <c r="M1795" s="2" t="inlineStr">
        <is>
          <t>Manurewa</t>
        </is>
      </c>
      <c r="N1795" s="2" t="inlineStr">
        <is>
          <t>New Zealand</t>
        </is>
      </c>
      <c r="P1795" s="2" t="inlineStr">
        <is>
          <t>Operational Control</t>
        </is>
      </c>
      <c r="Q1795" s="2" t="inlineStr">
        <is>
          <t>Operational Control</t>
        </is>
      </c>
      <c r="R1795" s="2" t="inlineStr">
        <is>
          <t>Energy and Utilities (EU)</t>
        </is>
      </c>
      <c r="S1795" s="2" t="inlineStr">
        <is>
          <t>Downer</t>
        </is>
      </c>
      <c r="T1795" s="2" t="n">
        <v>100</v>
      </c>
      <c r="W1795" s="2" t="inlineStr">
        <is>
          <t>Classification</t>
        </is>
      </c>
      <c r="X1795" s="2" t="n">
        <v>-37.0083</v>
      </c>
      <c r="Y1795" s="2" t="n">
        <v>174.8705</v>
      </c>
    </row>
    <row r="1796">
      <c r="A1796" s="2" t="inlineStr">
        <is>
          <t>Downer</t>
        </is>
      </c>
      <c r="B1796" s="2" t="inlineStr">
        <is>
          <t>Plant - Kaipara</t>
        </is>
      </c>
      <c r="C1796" s="2" t="inlineStr">
        <is>
          <t>Other</t>
        </is>
      </c>
      <c r="D1796" s="2" t="inlineStr">
        <is>
          <t>L9.DNZJ.56111</t>
        </is>
      </c>
      <c r="E1796" s="2" t="n">
        <v>56802</v>
      </c>
      <c r="H1796" s="2" t="inlineStr">
        <is>
          <t>130 Kerrs Road</t>
        </is>
      </c>
      <c r="I1796" s="2" t="inlineStr">
        <is>
          <t>Wiri</t>
        </is>
      </c>
      <c r="J1796" s="2" t="inlineStr">
        <is>
          <t>Auckland</t>
        </is>
      </c>
      <c r="K1796" s="2" t="n">
        <v>2104</v>
      </c>
      <c r="L1796" s="2" t="inlineStr">
        <is>
          <t>New Zealand</t>
        </is>
      </c>
      <c r="M1796" s="2" t="inlineStr">
        <is>
          <t>Manurewa</t>
        </is>
      </c>
      <c r="N1796" s="2" t="inlineStr">
        <is>
          <t>New Zealand</t>
        </is>
      </c>
      <c r="P1796" s="2" t="inlineStr">
        <is>
          <t>Operational Control</t>
        </is>
      </c>
      <c r="Q1796" s="2" t="inlineStr">
        <is>
          <t>Operational Control</t>
        </is>
      </c>
      <c r="R1796" s="2" t="inlineStr">
        <is>
          <t>Energy and Utilities (EU)</t>
        </is>
      </c>
      <c r="S1796" s="2" t="inlineStr">
        <is>
          <t>Downer</t>
        </is>
      </c>
      <c r="T1796" s="2" t="n">
        <v>100</v>
      </c>
      <c r="W1796" s="2" t="inlineStr">
        <is>
          <t>Classification</t>
        </is>
      </c>
      <c r="X1796" s="2" t="n">
        <v>-37.0083</v>
      </c>
      <c r="Y1796" s="2" t="n">
        <v>174.8705</v>
      </c>
    </row>
    <row r="1797">
      <c r="A1797" s="2" t="inlineStr">
        <is>
          <t>Downer</t>
        </is>
      </c>
      <c r="B1797" s="2" t="inlineStr">
        <is>
          <t>Plant - Kaipara DC</t>
        </is>
      </c>
      <c r="C1797" s="2" t="inlineStr">
        <is>
          <t>Other</t>
        </is>
      </c>
      <c r="D1797" s="2" t="inlineStr">
        <is>
          <t>L9.DNZJ.54886</t>
        </is>
      </c>
      <c r="E1797" s="2" t="n">
        <v>54886</v>
      </c>
      <c r="G1797" s="2" t="inlineStr">
        <is>
          <t>Not in INX.</t>
        </is>
      </c>
      <c r="M1797" s="2" t="inlineStr">
        <is>
          <t>Northland</t>
        </is>
      </c>
      <c r="N1797" s="2" t="inlineStr">
        <is>
          <t>New Zealand</t>
        </is>
      </c>
      <c r="P1797" s="2" t="inlineStr">
        <is>
          <t>Operational Control</t>
        </is>
      </c>
      <c r="Q1797" s="2" t="inlineStr">
        <is>
          <t>Operational Control</t>
        </is>
      </c>
      <c r="R1797" s="2" t="inlineStr">
        <is>
          <t>Transport &amp; Infrastructure (T&amp;I)</t>
        </is>
      </c>
      <c r="S1797" s="2" t="inlineStr">
        <is>
          <t>Downer</t>
        </is>
      </c>
      <c r="T1797" s="2" t="n">
        <v>100</v>
      </c>
      <c r="W1797" s="2" t="inlineStr">
        <is>
          <t>Classification</t>
        </is>
      </c>
    </row>
    <row r="1798">
      <c r="A1798" s="2" t="inlineStr">
        <is>
          <t>Downer</t>
        </is>
      </c>
      <c r="B1798" s="2" t="inlineStr">
        <is>
          <t>Plant - Levin</t>
        </is>
      </c>
      <c r="C1798" s="2" t="inlineStr">
        <is>
          <t>Other</t>
        </is>
      </c>
      <c r="D1798" s="2" t="inlineStr">
        <is>
          <t>L9.DNZJ.561350</t>
        </is>
      </c>
      <c r="E1798" s="2" t="n">
        <v>56808</v>
      </c>
      <c r="H1798" s="2" t="inlineStr">
        <is>
          <t>130 Kerrs Road</t>
        </is>
      </c>
      <c r="I1798" s="2" t="inlineStr">
        <is>
          <t>Wiri</t>
        </is>
      </c>
      <c r="J1798" s="2" t="inlineStr">
        <is>
          <t>Auckland</t>
        </is>
      </c>
      <c r="K1798" s="2" t="n">
        <v>2104</v>
      </c>
      <c r="L1798" s="2" t="inlineStr">
        <is>
          <t>New Zealand</t>
        </is>
      </c>
      <c r="M1798" s="2" t="inlineStr">
        <is>
          <t>Manurewa</t>
        </is>
      </c>
      <c r="N1798" s="2" t="inlineStr">
        <is>
          <t>New Zealand</t>
        </is>
      </c>
      <c r="P1798" s="2" t="inlineStr">
        <is>
          <t>Operational Control</t>
        </is>
      </c>
      <c r="Q1798" s="2" t="inlineStr">
        <is>
          <t>Operational Control</t>
        </is>
      </c>
      <c r="R1798" s="2" t="inlineStr">
        <is>
          <t>Energy and Utilities (EU)</t>
        </is>
      </c>
      <c r="S1798" s="2" t="inlineStr">
        <is>
          <t>Downer</t>
        </is>
      </c>
      <c r="T1798" s="2" t="n">
        <v>100</v>
      </c>
      <c r="W1798" s="2" t="inlineStr">
        <is>
          <t>Classification</t>
        </is>
      </c>
      <c r="X1798" s="2" t="n">
        <v>-37.0083</v>
      </c>
      <c r="Y1798" s="2" t="n">
        <v>174.8705</v>
      </c>
    </row>
    <row r="1799">
      <c r="A1799" s="2" t="inlineStr">
        <is>
          <t>Downer</t>
        </is>
      </c>
      <c r="B1799" s="2" t="inlineStr">
        <is>
          <t>Plant – Microsurfacing</t>
        </is>
      </c>
      <c r="C1799" s="2" t="inlineStr">
        <is>
          <t>Other</t>
        </is>
      </c>
      <c r="D1799" s="2" t="inlineStr">
        <is>
          <t>L9.DNZJ.553443</t>
        </is>
      </c>
      <c r="E1799" s="2" t="n">
        <v>54848</v>
      </c>
      <c r="G1799" s="2" t="inlineStr">
        <is>
          <t>As per INX, allocate to prj: 
TI-NZT - NTH PRJ Microsurfacing
TI-NZT-553443 - Tauranga City FH Rejuves</t>
        </is>
      </c>
      <c r="M1799" s="2" t="inlineStr">
        <is>
          <t>Auckland</t>
        </is>
      </c>
      <c r="N1799" s="2" t="inlineStr">
        <is>
          <t>New Zealand</t>
        </is>
      </c>
      <c r="P1799" s="2" t="inlineStr">
        <is>
          <t>Operational Control</t>
        </is>
      </c>
      <c r="Q1799" s="2" t="inlineStr">
        <is>
          <t>Operational Control</t>
        </is>
      </c>
      <c r="R1799" s="2" t="inlineStr">
        <is>
          <t>Transport &amp; Infrastructure (T&amp;I)</t>
        </is>
      </c>
      <c r="S1799" s="2" t="inlineStr">
        <is>
          <t>Downer</t>
        </is>
      </c>
      <c r="T1799" s="2" t="n">
        <v>100</v>
      </c>
      <c r="W1799" s="2" t="inlineStr">
        <is>
          <t>Classification</t>
        </is>
      </c>
    </row>
    <row r="1800">
      <c r="A1800" s="2" t="inlineStr">
        <is>
          <t>Downer</t>
        </is>
      </c>
      <c r="B1800" s="2" t="inlineStr">
        <is>
          <t>Plant - Products Cranes</t>
        </is>
      </c>
      <c r="C1800" s="2" t="inlineStr">
        <is>
          <t>Other</t>
        </is>
      </c>
      <c r="D1800" s="2" t="inlineStr">
        <is>
          <t>L9.DNZJ.54844</t>
        </is>
      </c>
      <c r="E1800" s="2" t="n">
        <v>54844</v>
      </c>
      <c r="G1800" s="2" t="inlineStr">
        <is>
          <t>Not in INX.</t>
        </is>
      </c>
      <c r="M1800" s="2" t="inlineStr">
        <is>
          <t>Auckland</t>
        </is>
      </c>
      <c r="N1800" s="2" t="inlineStr">
        <is>
          <t>New Zealand</t>
        </is>
      </c>
      <c r="P1800" s="2" t="inlineStr">
        <is>
          <t>Operational Control</t>
        </is>
      </c>
      <c r="Q1800" s="2" t="inlineStr">
        <is>
          <t>Operational Control</t>
        </is>
      </c>
      <c r="R1800" s="2" t="inlineStr">
        <is>
          <t>Transport &amp; Infrastructure (T&amp;I)</t>
        </is>
      </c>
      <c r="S1800" s="2" t="inlineStr">
        <is>
          <t>Downer</t>
        </is>
      </c>
      <c r="T1800" s="2" t="n">
        <v>100</v>
      </c>
      <c r="W1800" s="2" t="inlineStr">
        <is>
          <t>Classification</t>
        </is>
      </c>
    </row>
    <row r="1801">
      <c r="A1801" s="2" t="inlineStr">
        <is>
          <t>Downer</t>
        </is>
      </c>
      <c r="B1801" s="2" t="inlineStr">
        <is>
          <t>Plant - Projects O&amp;M</t>
        </is>
      </c>
      <c r="C1801" s="2" t="inlineStr">
        <is>
          <t>Other</t>
        </is>
      </c>
      <c r="D1801" s="2" t="inlineStr">
        <is>
          <t>L9.DNZJ.56812</t>
        </is>
      </c>
      <c r="E1801" s="2" t="n">
        <v>56812</v>
      </c>
      <c r="H1801" s="2" t="inlineStr">
        <is>
          <t>130 Kerrs Road</t>
        </is>
      </c>
      <c r="I1801" s="2" t="inlineStr">
        <is>
          <t>Wiri</t>
        </is>
      </c>
      <c r="J1801" s="2" t="inlineStr">
        <is>
          <t>Auckland</t>
        </is>
      </c>
      <c r="K1801" s="2" t="n">
        <v>2104</v>
      </c>
      <c r="L1801" s="2" t="inlineStr">
        <is>
          <t>New Zealand</t>
        </is>
      </c>
      <c r="M1801" s="2" t="inlineStr">
        <is>
          <t>Manurewa</t>
        </is>
      </c>
      <c r="N1801" s="2" t="inlineStr">
        <is>
          <t>New Zealand</t>
        </is>
      </c>
      <c r="P1801" s="2" t="inlineStr">
        <is>
          <t>Operational Control</t>
        </is>
      </c>
      <c r="Q1801" s="2" t="inlineStr">
        <is>
          <t>Operational Control</t>
        </is>
      </c>
      <c r="R1801" s="2" t="inlineStr">
        <is>
          <t>Energy and Utilities (EU)</t>
        </is>
      </c>
      <c r="S1801" s="2" t="inlineStr">
        <is>
          <t>Downer</t>
        </is>
      </c>
      <c r="T1801" s="2" t="n">
        <v>100</v>
      </c>
      <c r="W1801" s="2" t="inlineStr">
        <is>
          <t>Classification</t>
        </is>
      </c>
      <c r="X1801" s="2" t="n">
        <v>-37.0083</v>
      </c>
      <c r="Y1801" s="2" t="n">
        <v>174.8705</v>
      </c>
    </row>
    <row r="1802">
      <c r="A1802" s="2" t="inlineStr">
        <is>
          <t>Downer</t>
        </is>
      </c>
      <c r="B1802" s="2" t="inlineStr">
        <is>
          <t>Plant - Projects O&amp;M EU Subcontractors</t>
        </is>
      </c>
      <c r="C1802" s="2" t="inlineStr">
        <is>
          <t>Other</t>
        </is>
      </c>
      <c r="D1802" s="2" t="inlineStr">
        <is>
          <t>L9.DNZJ.56812</t>
        </is>
      </c>
      <c r="E1802" s="2" t="inlineStr">
        <is>
          <t>L9.DNZJ.56812</t>
        </is>
      </c>
      <c r="F1802" s="2" t="inlineStr">
        <is>
          <t>L9.DNZJ.56812</t>
        </is>
      </c>
      <c r="M1802" s="2" t="inlineStr">
        <is>
          <t>Auckland</t>
        </is>
      </c>
      <c r="N1802" s="2" t="inlineStr">
        <is>
          <t>New Zealand</t>
        </is>
      </c>
      <c r="P1802" s="2" t="inlineStr">
        <is>
          <t>Operational Control</t>
        </is>
      </c>
      <c r="Q1802" s="2" t="inlineStr">
        <is>
          <t>Operational Control</t>
        </is>
      </c>
      <c r="R1802" s="2" t="inlineStr">
        <is>
          <t>Energy and Utilities (EU)</t>
        </is>
      </c>
      <c r="S1802" s="2" t="inlineStr">
        <is>
          <t>Downer</t>
        </is>
      </c>
      <c r="T1802" s="2" t="n">
        <v>100</v>
      </c>
      <c r="W1802" s="2" t="inlineStr">
        <is>
          <t>Classification</t>
        </is>
      </c>
    </row>
    <row r="1803">
      <c r="A1803" s="2" t="inlineStr">
        <is>
          <t>Downer</t>
        </is>
      </c>
      <c r="B1803" s="2" t="inlineStr">
        <is>
          <t>Plant - Southland</t>
        </is>
      </c>
      <c r="C1803" s="2" t="inlineStr">
        <is>
          <t>Other</t>
        </is>
      </c>
      <c r="D1803" s="2" t="inlineStr">
        <is>
          <t>L9.DNZJ.56811</t>
        </is>
      </c>
      <c r="E1803" s="2" t="n">
        <v>56811</v>
      </c>
      <c r="H1803" s="2" t="inlineStr">
        <is>
          <t>130 Kerrs Road</t>
        </is>
      </c>
      <c r="I1803" s="2" t="inlineStr">
        <is>
          <t>Wiri</t>
        </is>
      </c>
      <c r="J1803" s="2" t="inlineStr">
        <is>
          <t>Auckland</t>
        </is>
      </c>
      <c r="K1803" s="2" t="n">
        <v>2104</v>
      </c>
      <c r="L1803" s="2" t="inlineStr">
        <is>
          <t>New Zealand</t>
        </is>
      </c>
      <c r="M1803" s="2" t="inlineStr">
        <is>
          <t>Manurewa</t>
        </is>
      </c>
      <c r="N1803" s="2" t="inlineStr">
        <is>
          <t>New Zealand</t>
        </is>
      </c>
      <c r="P1803" s="2" t="inlineStr">
        <is>
          <t>Operational Control</t>
        </is>
      </c>
      <c r="Q1803" s="2" t="inlineStr">
        <is>
          <t>Operational Control</t>
        </is>
      </c>
      <c r="R1803" s="2" t="inlineStr">
        <is>
          <t>Energy and Utilities (EU)</t>
        </is>
      </c>
      <c r="S1803" s="2" t="inlineStr">
        <is>
          <t>Downer</t>
        </is>
      </c>
      <c r="T1803" s="2" t="n">
        <v>100</v>
      </c>
      <c r="W1803" s="2" t="inlineStr">
        <is>
          <t>Classification</t>
        </is>
      </c>
      <c r="X1803" s="2" t="n">
        <v>-37.0083</v>
      </c>
      <c r="Y1803" s="2" t="n">
        <v>174.8705</v>
      </c>
    </row>
    <row r="1804">
      <c r="A1804" s="2" t="inlineStr">
        <is>
          <t>Downer</t>
        </is>
      </c>
      <c r="B1804" s="2" t="inlineStr">
        <is>
          <t>Plant - Specialist Civil Con.</t>
        </is>
      </c>
      <c r="C1804" s="2" t="inlineStr">
        <is>
          <t>Other</t>
        </is>
      </c>
      <c r="D1804" s="2" t="inlineStr">
        <is>
          <t>L9.DNZJ.56839</t>
        </is>
      </c>
      <c r="E1804" s="2" t="n">
        <v>56839</v>
      </c>
      <c r="H1804" s="2" t="inlineStr">
        <is>
          <t>130 Kerrs Road</t>
        </is>
      </c>
      <c r="I1804" s="2" t="inlineStr">
        <is>
          <t>Wiri</t>
        </is>
      </c>
      <c r="J1804" s="2" t="inlineStr">
        <is>
          <t>Auckland</t>
        </is>
      </c>
      <c r="K1804" s="2" t="n">
        <v>2104</v>
      </c>
      <c r="L1804" s="2" t="inlineStr">
        <is>
          <t>New Zealand</t>
        </is>
      </c>
      <c r="M1804" s="2" t="inlineStr">
        <is>
          <t>Manurewa</t>
        </is>
      </c>
      <c r="N1804" s="2" t="inlineStr">
        <is>
          <t>New Zealand</t>
        </is>
      </c>
      <c r="P1804" s="2" t="inlineStr">
        <is>
          <t>Operational Control</t>
        </is>
      </c>
      <c r="Q1804" s="2" t="inlineStr">
        <is>
          <t>Operational Control</t>
        </is>
      </c>
      <c r="R1804" s="2" t="inlineStr">
        <is>
          <t>Energy and Utilities (EU)</t>
        </is>
      </c>
      <c r="S1804" s="2" t="inlineStr">
        <is>
          <t>Downer</t>
        </is>
      </c>
      <c r="T1804" s="2" t="n">
        <v>100</v>
      </c>
      <c r="W1804" s="2" t="inlineStr">
        <is>
          <t>Classification</t>
        </is>
      </c>
      <c r="X1804" s="2" t="n">
        <v>-37.0083</v>
      </c>
      <c r="Y1804" s="2" t="n">
        <v>174.8705</v>
      </c>
    </row>
    <row r="1805">
      <c r="A1805" s="2" t="inlineStr">
        <is>
          <t>Downer</t>
        </is>
      </c>
      <c r="B1805" s="2" t="inlineStr">
        <is>
          <t>Plant - Tasman</t>
        </is>
      </c>
      <c r="C1805" s="2" t="inlineStr">
        <is>
          <t>Other</t>
        </is>
      </c>
      <c r="D1805" s="2" t="inlineStr">
        <is>
          <t>L9.DNZJ.56125</t>
        </is>
      </c>
      <c r="E1805" s="2" t="n">
        <v>56810</v>
      </c>
      <c r="H1805" s="2" t="inlineStr">
        <is>
          <t>130 Kerrs Road</t>
        </is>
      </c>
      <c r="I1805" s="2" t="inlineStr">
        <is>
          <t>Wiri</t>
        </is>
      </c>
      <c r="J1805" s="2" t="inlineStr">
        <is>
          <t>Auckland</t>
        </is>
      </c>
      <c r="K1805" s="2" t="n">
        <v>2104</v>
      </c>
      <c r="L1805" s="2" t="inlineStr">
        <is>
          <t>New Zealand</t>
        </is>
      </c>
      <c r="M1805" s="2" t="inlineStr">
        <is>
          <t>Manurewa</t>
        </is>
      </c>
      <c r="N1805" s="2" t="inlineStr">
        <is>
          <t>New Zealand</t>
        </is>
      </c>
      <c r="P1805" s="2" t="inlineStr">
        <is>
          <t>Operational Control</t>
        </is>
      </c>
      <c r="Q1805" s="2" t="inlineStr">
        <is>
          <t>Operational Control</t>
        </is>
      </c>
      <c r="R1805" s="2" t="inlineStr">
        <is>
          <t>Energy and Utilities (EU)</t>
        </is>
      </c>
      <c r="S1805" s="2" t="inlineStr">
        <is>
          <t>Downer</t>
        </is>
      </c>
      <c r="T1805" s="2" t="n">
        <v>100</v>
      </c>
      <c r="W1805" s="2" t="inlineStr">
        <is>
          <t>Classification</t>
        </is>
      </c>
      <c r="X1805" s="2" t="n">
        <v>-37.0083</v>
      </c>
      <c r="Y1805" s="2" t="n">
        <v>174.8705</v>
      </c>
    </row>
    <row r="1806">
      <c r="A1806" s="2" t="inlineStr">
        <is>
          <t>Downer</t>
        </is>
      </c>
      <c r="B1806" s="2" t="inlineStr">
        <is>
          <t>Plant - Taupo 3 Waters</t>
        </is>
      </c>
      <c r="C1806" s="2" t="inlineStr">
        <is>
          <t>Other</t>
        </is>
      </c>
      <c r="D1806" s="2" t="inlineStr">
        <is>
          <t>L9.DNZJ.56714</t>
        </is>
      </c>
      <c r="E1806" s="2" t="n">
        <v>56814</v>
      </c>
      <c r="H1806" s="2" t="inlineStr">
        <is>
          <t>130 Kerrs Road</t>
        </is>
      </c>
      <c r="I1806" s="2" t="inlineStr">
        <is>
          <t>Wiri</t>
        </is>
      </c>
      <c r="J1806" s="2" t="inlineStr">
        <is>
          <t>Auckland</t>
        </is>
      </c>
      <c r="K1806" s="2" t="n">
        <v>2104</v>
      </c>
      <c r="L1806" s="2" t="inlineStr">
        <is>
          <t>New Zealand</t>
        </is>
      </c>
      <c r="M1806" s="2" t="inlineStr">
        <is>
          <t>Manurewa</t>
        </is>
      </c>
      <c r="N1806" s="2" t="inlineStr">
        <is>
          <t>New Zealand</t>
        </is>
      </c>
      <c r="P1806" s="2" t="inlineStr">
        <is>
          <t>Operational Control</t>
        </is>
      </c>
      <c r="Q1806" s="2" t="inlineStr">
        <is>
          <t>Operational Control</t>
        </is>
      </c>
      <c r="R1806" s="2" t="inlineStr">
        <is>
          <t>Energy and Utilities (EU)</t>
        </is>
      </c>
      <c r="S1806" s="2" t="inlineStr">
        <is>
          <t>Downer</t>
        </is>
      </c>
      <c r="T1806" s="2" t="n">
        <v>100</v>
      </c>
      <c r="W1806" s="2" t="inlineStr">
        <is>
          <t>Classification</t>
        </is>
      </c>
      <c r="X1806" s="2" t="n">
        <v>-37.0083</v>
      </c>
      <c r="Y1806" s="2" t="n">
        <v>174.8705</v>
      </c>
    </row>
    <row r="1807">
      <c r="A1807" s="2" t="inlineStr">
        <is>
          <t>Downer</t>
        </is>
      </c>
      <c r="B1807" s="2" t="inlineStr">
        <is>
          <t>Plant - Tauranga</t>
        </is>
      </c>
      <c r="C1807" s="2" t="inlineStr">
        <is>
          <t>Other</t>
        </is>
      </c>
      <c r="D1807" s="2" t="inlineStr">
        <is>
          <t>L9.DNZJ.56807</t>
        </is>
      </c>
      <c r="E1807" s="2" t="n">
        <v>56807</v>
      </c>
      <c r="H1807" s="2" t="inlineStr">
        <is>
          <t>130 Kerrs Road</t>
        </is>
      </c>
      <c r="I1807" s="2" t="inlineStr">
        <is>
          <t>Wiri</t>
        </is>
      </c>
      <c r="J1807" s="2" t="inlineStr">
        <is>
          <t>Auckland</t>
        </is>
      </c>
      <c r="K1807" s="2" t="n">
        <v>2104</v>
      </c>
      <c r="L1807" s="2" t="inlineStr">
        <is>
          <t>New Zealand</t>
        </is>
      </c>
      <c r="M1807" s="2" t="inlineStr">
        <is>
          <t>Manurewa</t>
        </is>
      </c>
      <c r="N1807" s="2" t="inlineStr">
        <is>
          <t>New Zealand</t>
        </is>
      </c>
      <c r="P1807" s="2" t="inlineStr">
        <is>
          <t>Operational Control</t>
        </is>
      </c>
      <c r="Q1807" s="2" t="inlineStr">
        <is>
          <t>Operational Control</t>
        </is>
      </c>
      <c r="R1807" s="2" t="inlineStr">
        <is>
          <t>Energy and Utilities (EU)</t>
        </is>
      </c>
      <c r="S1807" s="2" t="inlineStr">
        <is>
          <t>Downer</t>
        </is>
      </c>
      <c r="T1807" s="2" t="n">
        <v>100</v>
      </c>
      <c r="W1807" s="2" t="inlineStr">
        <is>
          <t>Classification</t>
        </is>
      </c>
      <c r="X1807" s="2" t="n">
        <v>-37.0083</v>
      </c>
      <c r="Y1807" s="2" t="n">
        <v>174.8705</v>
      </c>
    </row>
    <row r="1808">
      <c r="A1808" s="2" t="inlineStr">
        <is>
          <t>Downer</t>
        </is>
      </c>
      <c r="B1808" s="2" t="inlineStr">
        <is>
          <t>Plant - Water Const Nth Is.</t>
        </is>
      </c>
      <c r="C1808" s="2" t="inlineStr">
        <is>
          <t>Other</t>
        </is>
      </c>
      <c r="D1808" s="2" t="inlineStr">
        <is>
          <t>L9.DNZJ.56849</t>
        </is>
      </c>
      <c r="E1808" s="2" t="n">
        <v>56849</v>
      </c>
      <c r="H1808" s="2" t="inlineStr">
        <is>
          <t>130 Kerrs Road</t>
        </is>
      </c>
      <c r="I1808" s="2" t="inlineStr">
        <is>
          <t>Wiri</t>
        </is>
      </c>
      <c r="J1808" s="2" t="inlineStr">
        <is>
          <t>Auckland</t>
        </is>
      </c>
      <c r="K1808" s="2" t="n">
        <v>2104</v>
      </c>
      <c r="L1808" s="2" t="inlineStr">
        <is>
          <t>New Zealand</t>
        </is>
      </c>
      <c r="M1808" s="2" t="inlineStr">
        <is>
          <t>Manurewa</t>
        </is>
      </c>
      <c r="N1808" s="2" t="inlineStr">
        <is>
          <t>New Zealand</t>
        </is>
      </c>
      <c r="P1808" s="2" t="inlineStr">
        <is>
          <t>Operational Control</t>
        </is>
      </c>
      <c r="Q1808" s="2" t="inlineStr">
        <is>
          <t>Operational Control</t>
        </is>
      </c>
      <c r="R1808" s="2" t="inlineStr">
        <is>
          <t>Energy and Utilities (EU)</t>
        </is>
      </c>
      <c r="S1808" s="2" t="inlineStr">
        <is>
          <t>Downer</t>
        </is>
      </c>
      <c r="T1808" s="2" t="n">
        <v>100</v>
      </c>
      <c r="W1808" s="2" t="inlineStr">
        <is>
          <t>Classification</t>
        </is>
      </c>
      <c r="X1808" s="2" t="n">
        <v>-37.0083</v>
      </c>
      <c r="Y1808" s="2" t="n">
        <v>174.8705</v>
      </c>
    </row>
    <row r="1809">
      <c r="A1809" s="2" t="inlineStr">
        <is>
          <t>Downer</t>
        </is>
      </c>
      <c r="B1809" s="2" t="inlineStr">
        <is>
          <t>Plant - Watercare</t>
        </is>
      </c>
      <c r="C1809" s="2" t="inlineStr">
        <is>
          <t>Other</t>
        </is>
      </c>
      <c r="D1809" s="2" t="inlineStr">
        <is>
          <t>L9.DNZJ.56805</t>
        </is>
      </c>
      <c r="E1809" s="2" t="n">
        <v>56805</v>
      </c>
      <c r="H1809" s="2" t="inlineStr">
        <is>
          <t>130 Kerrs Road</t>
        </is>
      </c>
      <c r="I1809" s="2" t="inlineStr">
        <is>
          <t>Wiri</t>
        </is>
      </c>
      <c r="J1809" s="2" t="inlineStr">
        <is>
          <t>Auckland</t>
        </is>
      </c>
      <c r="K1809" s="2" t="n">
        <v>2104</v>
      </c>
      <c r="L1809" s="2" t="inlineStr">
        <is>
          <t>New Zealand</t>
        </is>
      </c>
      <c r="M1809" s="2" t="inlineStr">
        <is>
          <t>Manurewa</t>
        </is>
      </c>
      <c r="N1809" s="2" t="inlineStr">
        <is>
          <t>New Zealand</t>
        </is>
      </c>
      <c r="P1809" s="2" t="inlineStr">
        <is>
          <t>Operational Control</t>
        </is>
      </c>
      <c r="Q1809" s="2" t="inlineStr">
        <is>
          <t>Operational Control</t>
        </is>
      </c>
      <c r="R1809" s="2" t="inlineStr">
        <is>
          <t>Energy and Utilities (EU)</t>
        </is>
      </c>
      <c r="S1809" s="2" t="inlineStr">
        <is>
          <t>Downer</t>
        </is>
      </c>
      <c r="T1809" s="2" t="n">
        <v>100</v>
      </c>
      <c r="W1809" s="2" t="inlineStr">
        <is>
          <t>Classification</t>
        </is>
      </c>
      <c r="X1809" s="2" t="n">
        <v>-37.0083</v>
      </c>
      <c r="Y1809" s="2" t="n">
        <v>174.8705</v>
      </c>
    </row>
    <row r="1810">
      <c r="A1810" s="2" t="inlineStr">
        <is>
          <t>Downer</t>
        </is>
      </c>
      <c r="B1810" s="2" t="inlineStr">
        <is>
          <t>Plant - Whangarei</t>
        </is>
      </c>
      <c r="C1810" s="2" t="inlineStr">
        <is>
          <t>Other</t>
        </is>
      </c>
      <c r="D1810" s="2" t="inlineStr">
        <is>
          <t>L9.DNZJ.564418</t>
        </is>
      </c>
      <c r="E1810" s="2" t="n">
        <v>56801</v>
      </c>
      <c r="H1810" s="2" t="inlineStr">
        <is>
          <t>130 Kerrs Road</t>
        </is>
      </c>
      <c r="I1810" s="2" t="inlineStr">
        <is>
          <t>Wiri</t>
        </is>
      </c>
      <c r="J1810" s="2" t="inlineStr">
        <is>
          <t>Auckland</t>
        </is>
      </c>
      <c r="K1810" s="2" t="n">
        <v>2104</v>
      </c>
      <c r="L1810" s="2" t="inlineStr">
        <is>
          <t>New Zealand</t>
        </is>
      </c>
      <c r="M1810" s="2" t="inlineStr">
        <is>
          <t>Manurewa</t>
        </is>
      </c>
      <c r="N1810" s="2" t="inlineStr">
        <is>
          <t>New Zealand</t>
        </is>
      </c>
      <c r="P1810" s="2" t="inlineStr">
        <is>
          <t>Operational Control</t>
        </is>
      </c>
      <c r="Q1810" s="2" t="inlineStr">
        <is>
          <t>Operational Control</t>
        </is>
      </c>
      <c r="R1810" s="2" t="inlineStr">
        <is>
          <t>Energy and Utilities (EU)</t>
        </is>
      </c>
      <c r="S1810" s="2" t="inlineStr">
        <is>
          <t>Downer</t>
        </is>
      </c>
      <c r="T1810" s="2" t="n">
        <v>100</v>
      </c>
      <c r="W1810" s="2" t="inlineStr">
        <is>
          <t>Classification</t>
        </is>
      </c>
      <c r="X1810" s="2" t="n">
        <v>-37.0083</v>
      </c>
      <c r="Y1810" s="2" t="n">
        <v>174.8705</v>
      </c>
    </row>
    <row r="1811">
      <c r="A1811" s="2" t="inlineStr">
        <is>
          <t>Downer</t>
        </is>
      </c>
      <c r="B1811" s="2" t="inlineStr">
        <is>
          <t>Plant (Auckland Roadmarking)</t>
        </is>
      </c>
      <c r="C1811" s="2" t="inlineStr">
        <is>
          <t>Other</t>
        </is>
      </c>
      <c r="D1811" s="2" t="inlineStr">
        <is>
          <t>L9.DNZJ.55844</t>
        </is>
      </c>
      <c r="E1811" s="2" t="n">
        <v>55844</v>
      </c>
      <c r="H1811" s="2" t="inlineStr">
        <is>
          <t>130 Kerrs Road</t>
        </is>
      </c>
      <c r="I1811" s="2" t="inlineStr">
        <is>
          <t>Wiri</t>
        </is>
      </c>
      <c r="J1811" s="2" t="inlineStr">
        <is>
          <t>Auckland</t>
        </is>
      </c>
      <c r="K1811" s="2" t="n">
        <v>2104</v>
      </c>
      <c r="L1811" s="2" t="inlineStr">
        <is>
          <t>New Zealand</t>
        </is>
      </c>
      <c r="M1811" s="2" t="inlineStr">
        <is>
          <t>Manurewa</t>
        </is>
      </c>
      <c r="N1811" s="2" t="inlineStr">
        <is>
          <t>New Zealand</t>
        </is>
      </c>
      <c r="P1811" s="2" t="inlineStr">
        <is>
          <t>Operational Control</t>
        </is>
      </c>
      <c r="Q1811" s="2" t="inlineStr">
        <is>
          <t>Operational Control</t>
        </is>
      </c>
      <c r="R1811" s="2" t="inlineStr">
        <is>
          <t>Transport &amp; Infrastructure (T&amp;I)</t>
        </is>
      </c>
      <c r="S1811" s="2" t="inlineStr">
        <is>
          <t>Downer</t>
        </is>
      </c>
      <c r="T1811" s="2" t="n">
        <v>100</v>
      </c>
      <c r="W1811" s="2" t="inlineStr">
        <is>
          <t>Classification</t>
        </is>
      </c>
      <c r="X1811" s="2" t="n">
        <v>-37.0083</v>
      </c>
      <c r="Y1811" s="2" t="n">
        <v>174.8705</v>
      </c>
    </row>
    <row r="1812">
      <c r="A1812" s="2" t="inlineStr">
        <is>
          <t>Downer</t>
        </is>
      </c>
      <c r="B1812" s="2" t="inlineStr">
        <is>
          <t>Plant (BOP Traffic Control)</t>
        </is>
      </c>
      <c r="C1812" s="2" t="inlineStr">
        <is>
          <t>Other</t>
        </is>
      </c>
      <c r="D1812" s="2" t="inlineStr">
        <is>
          <t>L9.DNZJ.55810</t>
        </is>
      </c>
      <c r="E1812" s="2" t="n">
        <v>55810</v>
      </c>
      <c r="H1812" s="2" t="inlineStr">
        <is>
          <t>130 Kerrs Road</t>
        </is>
      </c>
      <c r="I1812" s="2" t="inlineStr">
        <is>
          <t>Wiri</t>
        </is>
      </c>
      <c r="J1812" s="2" t="inlineStr">
        <is>
          <t>Auckland</t>
        </is>
      </c>
      <c r="K1812" s="2" t="n">
        <v>2104</v>
      </c>
      <c r="L1812" s="2" t="inlineStr">
        <is>
          <t>New Zealand</t>
        </is>
      </c>
      <c r="M1812" s="2" t="inlineStr">
        <is>
          <t>Manurewa</t>
        </is>
      </c>
      <c r="N1812" s="2" t="inlineStr">
        <is>
          <t>New Zealand</t>
        </is>
      </c>
      <c r="P1812" s="2" t="inlineStr">
        <is>
          <t>Operational Control</t>
        </is>
      </c>
      <c r="Q1812" s="2" t="inlineStr">
        <is>
          <t>Operational Control</t>
        </is>
      </c>
      <c r="R1812" s="2" t="inlineStr">
        <is>
          <t>Transport &amp; Infrastructure (T&amp;I)</t>
        </is>
      </c>
      <c r="S1812" s="2" t="inlineStr">
        <is>
          <t>Downer</t>
        </is>
      </c>
      <c r="T1812" s="2" t="n">
        <v>100</v>
      </c>
      <c r="W1812" s="2" t="inlineStr">
        <is>
          <t>Classification</t>
        </is>
      </c>
      <c r="X1812" s="2" t="n">
        <v>-37.0083</v>
      </c>
      <c r="Y1812" s="2" t="n">
        <v>174.8705</v>
      </c>
    </row>
    <row r="1813">
      <c r="A1813" s="2" t="inlineStr">
        <is>
          <t>Downer</t>
        </is>
      </c>
      <c r="B1813" s="2" t="inlineStr">
        <is>
          <t>Plant (Cen Hawkes Bay Maint)</t>
        </is>
      </c>
      <c r="C1813" s="2" t="inlineStr">
        <is>
          <t>Plant</t>
        </is>
      </c>
      <c r="D1813" s="2" t="inlineStr">
        <is>
          <t>L9.DNZJ.54836</t>
        </is>
      </c>
      <c r="E1813" s="2" t="n">
        <v>54836</v>
      </c>
      <c r="F1813" s="2" t="n">
        <v>54836</v>
      </c>
      <c r="G1813" s="2" t="inlineStr">
        <is>
          <t>TI-NZT-54836 - Plant</t>
        </is>
      </c>
      <c r="M1813" s="2" t="inlineStr">
        <is>
          <t>Hawke's Bay</t>
        </is>
      </c>
      <c r="N1813" s="2" t="inlineStr">
        <is>
          <t>New Zealand</t>
        </is>
      </c>
      <c r="P1813" s="2" t="inlineStr">
        <is>
          <t>Operational Control</t>
        </is>
      </c>
      <c r="Q1813" s="2" t="inlineStr">
        <is>
          <t>Operational Control</t>
        </is>
      </c>
      <c r="R1813" s="2" t="inlineStr">
        <is>
          <t>Transport &amp; Infrastructure (T&amp;I)</t>
        </is>
      </c>
      <c r="S1813" s="2" t="inlineStr">
        <is>
          <t>Downer</t>
        </is>
      </c>
      <c r="T1813" s="2" t="n">
        <v>100</v>
      </c>
      <c r="W1813" s="2" t="inlineStr">
        <is>
          <t>Classification</t>
        </is>
      </c>
    </row>
    <row r="1814">
      <c r="A1814" s="2" t="inlineStr">
        <is>
          <t>Downer</t>
        </is>
      </c>
      <c r="B1814" s="2" t="inlineStr">
        <is>
          <t>Plant (CHCH Roadmarking)</t>
        </is>
      </c>
      <c r="C1814" s="2" t="inlineStr">
        <is>
          <t>Other</t>
        </is>
      </c>
      <c r="D1814" s="2" t="inlineStr">
        <is>
          <t>L9.DNZJ.55495</t>
        </is>
      </c>
      <c r="E1814" s="2" t="n">
        <v>55495</v>
      </c>
      <c r="H1814" s="2" t="inlineStr">
        <is>
          <t>130 Kerrs Road</t>
        </is>
      </c>
      <c r="I1814" s="2" t="inlineStr">
        <is>
          <t>Wiri</t>
        </is>
      </c>
      <c r="J1814" s="2" t="inlineStr">
        <is>
          <t>Auckland</t>
        </is>
      </c>
      <c r="K1814" s="2" t="n">
        <v>2104</v>
      </c>
      <c r="L1814" s="2" t="inlineStr">
        <is>
          <t>New Zealand</t>
        </is>
      </c>
      <c r="M1814" s="2" t="inlineStr">
        <is>
          <t>Manurewa</t>
        </is>
      </c>
      <c r="N1814" s="2" t="inlineStr">
        <is>
          <t>New Zealand</t>
        </is>
      </c>
      <c r="P1814" s="2" t="inlineStr">
        <is>
          <t>Operational Control</t>
        </is>
      </c>
      <c r="Q1814" s="2" t="inlineStr">
        <is>
          <t>Operational Control</t>
        </is>
      </c>
      <c r="R1814" s="2" t="inlineStr">
        <is>
          <t>Transport &amp; Infrastructure (T&amp;I)</t>
        </is>
      </c>
      <c r="S1814" s="2" t="inlineStr">
        <is>
          <t>Downer</t>
        </is>
      </c>
      <c r="T1814" s="2" t="n">
        <v>100</v>
      </c>
      <c r="W1814" s="2" t="inlineStr">
        <is>
          <t>Classification</t>
        </is>
      </c>
      <c r="X1814" s="2" t="n">
        <v>-37.0083</v>
      </c>
      <c r="Y1814" s="2" t="n">
        <v>174.8705</v>
      </c>
    </row>
    <row r="1815">
      <c r="A1815" s="2" t="inlineStr">
        <is>
          <t>Downer</t>
        </is>
      </c>
      <c r="B1815" s="2" t="inlineStr">
        <is>
          <t>Plant (Construction BOP)</t>
        </is>
      </c>
      <c r="C1815" s="2" t="inlineStr">
        <is>
          <t>Other</t>
        </is>
      </c>
      <c r="D1815" s="2" t="inlineStr">
        <is>
          <t>L9.DNZJ.55473</t>
        </is>
      </c>
      <c r="E1815" s="2" t="n">
        <v>55473</v>
      </c>
      <c r="H1815" s="2" t="inlineStr">
        <is>
          <t>130 Kerrs Road</t>
        </is>
      </c>
      <c r="I1815" s="2" t="inlineStr">
        <is>
          <t>Wiri</t>
        </is>
      </c>
      <c r="J1815" s="2" t="inlineStr">
        <is>
          <t>Auckland</t>
        </is>
      </c>
      <c r="K1815" s="2" t="n">
        <v>2104</v>
      </c>
      <c r="L1815" s="2" t="inlineStr">
        <is>
          <t>New Zealand</t>
        </is>
      </c>
      <c r="M1815" s="2" t="inlineStr">
        <is>
          <t>Manurewa</t>
        </is>
      </c>
      <c r="N1815" s="2" t="inlineStr">
        <is>
          <t>New Zealand</t>
        </is>
      </c>
      <c r="P1815" s="2" t="inlineStr">
        <is>
          <t>Operational Control</t>
        </is>
      </c>
      <c r="Q1815" s="2" t="inlineStr">
        <is>
          <t>Operational Control</t>
        </is>
      </c>
      <c r="R1815" s="2" t="inlineStr">
        <is>
          <t>Transport &amp; Infrastructure (T&amp;I)</t>
        </is>
      </c>
      <c r="S1815" s="2" t="inlineStr">
        <is>
          <t>Downer</t>
        </is>
      </c>
      <c r="T1815" s="2" t="n">
        <v>100</v>
      </c>
      <c r="W1815" s="2" t="inlineStr">
        <is>
          <t>Classification</t>
        </is>
      </c>
      <c r="X1815" s="2" t="n">
        <v>-37.0083</v>
      </c>
      <c r="Y1815" s="2" t="n">
        <v>174.8705</v>
      </c>
    </row>
    <row r="1816">
      <c r="A1816" s="2" t="inlineStr">
        <is>
          <t>Downer</t>
        </is>
      </c>
      <c r="B1816" s="2" t="inlineStr">
        <is>
          <t>Plant (Construction CHCH)</t>
        </is>
      </c>
      <c r="C1816" s="2" t="inlineStr">
        <is>
          <t>Other</t>
        </is>
      </c>
      <c r="D1816" s="2" t="inlineStr">
        <is>
          <t>L9.DNZJ.55492</t>
        </is>
      </c>
      <c r="E1816" s="2" t="n">
        <v>55492</v>
      </c>
      <c r="H1816" s="2" t="inlineStr">
        <is>
          <t>130 Kerrs Road</t>
        </is>
      </c>
      <c r="I1816" s="2" t="inlineStr">
        <is>
          <t>Wiri</t>
        </is>
      </c>
      <c r="J1816" s="2" t="inlineStr">
        <is>
          <t>Auckland</t>
        </is>
      </c>
      <c r="K1816" s="2" t="n">
        <v>2104</v>
      </c>
      <c r="L1816" s="2" t="inlineStr">
        <is>
          <t>New Zealand</t>
        </is>
      </c>
      <c r="M1816" s="2" t="inlineStr">
        <is>
          <t>Manurewa</t>
        </is>
      </c>
      <c r="N1816" s="2" t="inlineStr">
        <is>
          <t>New Zealand</t>
        </is>
      </c>
      <c r="P1816" s="2" t="inlineStr">
        <is>
          <t>Operational Control</t>
        </is>
      </c>
      <c r="Q1816" s="2" t="inlineStr">
        <is>
          <t>Operational Control</t>
        </is>
      </c>
      <c r="R1816" s="2" t="inlineStr">
        <is>
          <t>Transport &amp; Infrastructure (T&amp;I)</t>
        </is>
      </c>
      <c r="S1816" s="2" t="inlineStr">
        <is>
          <t>Downer</t>
        </is>
      </c>
      <c r="T1816" s="2" t="n">
        <v>100</v>
      </c>
      <c r="W1816" s="2" t="inlineStr">
        <is>
          <t>Classification</t>
        </is>
      </c>
      <c r="X1816" s="2" t="n">
        <v>-37.0083</v>
      </c>
      <c r="Y1816" s="2" t="n">
        <v>174.8705</v>
      </c>
    </row>
    <row r="1817">
      <c r="A1817" s="2" t="inlineStr">
        <is>
          <t>Downer</t>
        </is>
      </c>
      <c r="B1817" s="2" t="inlineStr">
        <is>
          <t>Plant (Construction CNI)</t>
        </is>
      </c>
      <c r="C1817" s="2" t="inlineStr">
        <is>
          <t>Other</t>
        </is>
      </c>
      <c r="D1817" s="2" t="inlineStr">
        <is>
          <t>L9.DNZJ.55473</t>
        </is>
      </c>
      <c r="E1817" s="2" t="n">
        <v>55475</v>
      </c>
      <c r="H1817" s="2" t="inlineStr">
        <is>
          <t>130 Kerrs Road</t>
        </is>
      </c>
      <c r="I1817" s="2" t="inlineStr">
        <is>
          <t>Wiri</t>
        </is>
      </c>
      <c r="J1817" s="2" t="inlineStr">
        <is>
          <t>Auckland</t>
        </is>
      </c>
      <c r="K1817" s="2" t="n">
        <v>2104</v>
      </c>
      <c r="L1817" s="2" t="inlineStr">
        <is>
          <t>New Zealand</t>
        </is>
      </c>
      <c r="M1817" s="2" t="inlineStr">
        <is>
          <t>Manurewa</t>
        </is>
      </c>
      <c r="N1817" s="2" t="inlineStr">
        <is>
          <t>New Zealand</t>
        </is>
      </c>
      <c r="P1817" s="2" t="inlineStr">
        <is>
          <t>Operational Control</t>
        </is>
      </c>
      <c r="Q1817" s="2" t="inlineStr">
        <is>
          <t>Operational Control</t>
        </is>
      </c>
      <c r="R1817" s="2" t="inlineStr">
        <is>
          <t>Transport &amp; Infrastructure (T&amp;I)</t>
        </is>
      </c>
      <c r="S1817" s="2" t="inlineStr">
        <is>
          <t>Downer</t>
        </is>
      </c>
      <c r="T1817" s="2" t="n">
        <v>100</v>
      </c>
      <c r="W1817" s="2" t="inlineStr">
        <is>
          <t>Classification</t>
        </is>
      </c>
      <c r="X1817" s="2" t="n">
        <v>-37.0083</v>
      </c>
      <c r="Y1817" s="2" t="n">
        <v>174.8705</v>
      </c>
    </row>
    <row r="1818">
      <c r="A1818" s="2" t="inlineStr">
        <is>
          <t>Downer</t>
        </is>
      </c>
      <c r="B1818" s="2" t="inlineStr">
        <is>
          <t>Plant (Construction Gisborne)</t>
        </is>
      </c>
      <c r="C1818" s="2" t="inlineStr">
        <is>
          <t>Other</t>
        </is>
      </c>
      <c r="D1818" s="2" t="inlineStr">
        <is>
          <t>L9.DNZJ.55485</t>
        </is>
      </c>
      <c r="E1818" s="2" t="n">
        <v>55485</v>
      </c>
      <c r="H1818" s="2" t="inlineStr">
        <is>
          <t>130 Kerrs Road</t>
        </is>
      </c>
      <c r="I1818" s="2" t="inlineStr">
        <is>
          <t>Wiri</t>
        </is>
      </c>
      <c r="J1818" s="2" t="inlineStr">
        <is>
          <t>Auckland</t>
        </is>
      </c>
      <c r="K1818" s="2" t="n">
        <v>2104</v>
      </c>
      <c r="L1818" s="2" t="inlineStr">
        <is>
          <t>New Zealand</t>
        </is>
      </c>
      <c r="M1818" s="2" t="inlineStr">
        <is>
          <t>Manurewa</t>
        </is>
      </c>
      <c r="N1818" s="2" t="inlineStr">
        <is>
          <t>New Zealand</t>
        </is>
      </c>
      <c r="P1818" s="2" t="inlineStr">
        <is>
          <t>Operational Control</t>
        </is>
      </c>
      <c r="Q1818" s="2" t="inlineStr">
        <is>
          <t>Operational Control</t>
        </is>
      </c>
      <c r="R1818" s="2" t="inlineStr">
        <is>
          <t>Transport &amp; Infrastructure (T&amp;I)</t>
        </is>
      </c>
      <c r="S1818" s="2" t="inlineStr">
        <is>
          <t>Downer</t>
        </is>
      </c>
      <c r="T1818" s="2" t="n">
        <v>100</v>
      </c>
      <c r="W1818" s="2" t="inlineStr">
        <is>
          <t>Classification</t>
        </is>
      </c>
      <c r="X1818" s="2" t="n">
        <v>-37.0083</v>
      </c>
      <c r="Y1818" s="2" t="n">
        <v>174.8705</v>
      </c>
    </row>
    <row r="1819">
      <c r="A1819" s="2" t="inlineStr">
        <is>
          <t>Downer</t>
        </is>
      </c>
      <c r="B1819" s="2" t="inlineStr">
        <is>
          <t>Plant (Construction HB)</t>
        </is>
      </c>
      <c r="C1819" s="2" t="inlineStr">
        <is>
          <t>Other</t>
        </is>
      </c>
      <c r="D1819" s="2" t="inlineStr">
        <is>
          <t>L9.DNZJ.55486</t>
        </is>
      </c>
      <c r="E1819" s="2" t="n">
        <v>55486</v>
      </c>
      <c r="H1819" s="2" t="inlineStr">
        <is>
          <t>130 Kerrs Road</t>
        </is>
      </c>
      <c r="I1819" s="2" t="inlineStr">
        <is>
          <t>Wiri</t>
        </is>
      </c>
      <c r="J1819" s="2" t="inlineStr">
        <is>
          <t>Auckland</t>
        </is>
      </c>
      <c r="K1819" s="2" t="n">
        <v>2104</v>
      </c>
      <c r="L1819" s="2" t="inlineStr">
        <is>
          <t>New Zealand</t>
        </is>
      </c>
      <c r="M1819" s="2" t="inlineStr">
        <is>
          <t>Manurewa</t>
        </is>
      </c>
      <c r="N1819" s="2" t="inlineStr">
        <is>
          <t>New Zealand</t>
        </is>
      </c>
      <c r="P1819" s="2" t="inlineStr">
        <is>
          <t>Operational Control</t>
        </is>
      </c>
      <c r="Q1819" s="2" t="inlineStr">
        <is>
          <t>Operational Control</t>
        </is>
      </c>
      <c r="R1819" s="2" t="inlineStr">
        <is>
          <t>Transport &amp; Infrastructure (T&amp;I)</t>
        </is>
      </c>
      <c r="S1819" s="2" t="inlineStr">
        <is>
          <t>Downer</t>
        </is>
      </c>
      <c r="T1819" s="2" t="n">
        <v>100</v>
      </c>
      <c r="W1819" s="2" t="inlineStr">
        <is>
          <t>Classification</t>
        </is>
      </c>
      <c r="X1819" s="2" t="n">
        <v>-37.0083</v>
      </c>
      <c r="Y1819" s="2" t="n">
        <v>174.8705</v>
      </c>
    </row>
    <row r="1820">
      <c r="A1820" s="2" t="inlineStr">
        <is>
          <t>Downer</t>
        </is>
      </c>
      <c r="B1820" s="2" t="inlineStr">
        <is>
          <t>Plant (Construction Otago)</t>
        </is>
      </c>
      <c r="C1820" s="2" t="inlineStr">
        <is>
          <t>Other</t>
        </is>
      </c>
      <c r="D1820" s="2" t="inlineStr">
        <is>
          <t>L9.DNZJ.55494</t>
        </is>
      </c>
      <c r="E1820" s="2" t="n">
        <v>55494</v>
      </c>
      <c r="H1820" s="2" t="inlineStr">
        <is>
          <t>130 Kerrs Road</t>
        </is>
      </c>
      <c r="I1820" s="2" t="inlineStr">
        <is>
          <t>Wiri</t>
        </is>
      </c>
      <c r="J1820" s="2" t="inlineStr">
        <is>
          <t>Auckland</t>
        </is>
      </c>
      <c r="K1820" s="2" t="n">
        <v>2104</v>
      </c>
      <c r="L1820" s="2" t="inlineStr">
        <is>
          <t>New Zealand</t>
        </is>
      </c>
      <c r="M1820" s="2" t="inlineStr">
        <is>
          <t>Manurewa</t>
        </is>
      </c>
      <c r="N1820" s="2" t="inlineStr">
        <is>
          <t>New Zealand</t>
        </is>
      </c>
      <c r="P1820" s="2" t="inlineStr">
        <is>
          <t>Operational Control</t>
        </is>
      </c>
      <c r="Q1820" s="2" t="inlineStr">
        <is>
          <t>Operational Control</t>
        </is>
      </c>
      <c r="R1820" s="2" t="inlineStr">
        <is>
          <t>Transport &amp; Infrastructure (T&amp;I)</t>
        </is>
      </c>
      <c r="S1820" s="2" t="inlineStr">
        <is>
          <t>Downer</t>
        </is>
      </c>
      <c r="T1820" s="2" t="n">
        <v>100</v>
      </c>
      <c r="W1820" s="2" t="inlineStr">
        <is>
          <t>Classification</t>
        </is>
      </c>
      <c r="X1820" s="2" t="n">
        <v>-37.0083</v>
      </c>
      <c r="Y1820" s="2" t="n">
        <v>174.8705</v>
      </c>
    </row>
    <row r="1821">
      <c r="A1821" s="2" t="inlineStr">
        <is>
          <t>Downer</t>
        </is>
      </c>
      <c r="B1821" s="2" t="inlineStr">
        <is>
          <t>Plant (Construction Taranaki)</t>
        </is>
      </c>
      <c r="C1821" s="2" t="inlineStr">
        <is>
          <t>Other</t>
        </is>
      </c>
      <c r="D1821" s="2" t="inlineStr">
        <is>
          <t>L9.DNZJ.55848</t>
        </is>
      </c>
      <c r="E1821" s="2" t="n">
        <v>55848</v>
      </c>
      <c r="H1821" s="2" t="inlineStr">
        <is>
          <t>130 Kerrs Road</t>
        </is>
      </c>
      <c r="I1821" s="2" t="inlineStr">
        <is>
          <t>Wiri</t>
        </is>
      </c>
      <c r="J1821" s="2" t="inlineStr">
        <is>
          <t>Auckland</t>
        </is>
      </c>
      <c r="K1821" s="2" t="n">
        <v>2104</v>
      </c>
      <c r="L1821" s="2" t="inlineStr">
        <is>
          <t>New Zealand</t>
        </is>
      </c>
      <c r="M1821" s="2" t="inlineStr">
        <is>
          <t>Manurewa</t>
        </is>
      </c>
      <c r="N1821" s="2" t="inlineStr">
        <is>
          <t>New Zealand</t>
        </is>
      </c>
      <c r="P1821" s="2" t="inlineStr">
        <is>
          <t>Operational Control</t>
        </is>
      </c>
      <c r="Q1821" s="2" t="inlineStr">
        <is>
          <t>Operational Control</t>
        </is>
      </c>
      <c r="R1821" s="2" t="inlineStr">
        <is>
          <t>Transport &amp; Infrastructure (T&amp;I)</t>
        </is>
      </c>
      <c r="S1821" s="2" t="inlineStr">
        <is>
          <t>Downer</t>
        </is>
      </c>
      <c r="T1821" s="2" t="n">
        <v>100</v>
      </c>
      <c r="W1821" s="2" t="inlineStr">
        <is>
          <t>Classification</t>
        </is>
      </c>
      <c r="X1821" s="2" t="n">
        <v>-37.0083</v>
      </c>
      <c r="Y1821" s="2" t="n">
        <v>174.8705</v>
      </c>
    </row>
    <row r="1822">
      <c r="A1822" s="2" t="inlineStr">
        <is>
          <t>Downer</t>
        </is>
      </c>
      <c r="B1822" s="2" t="inlineStr">
        <is>
          <t>Plant (Construction Waikato)</t>
        </is>
      </c>
      <c r="C1822" s="2" t="inlineStr">
        <is>
          <t>Other</t>
        </is>
      </c>
      <c r="D1822" s="2" t="inlineStr">
        <is>
          <t>L9.DNZJ.55472</t>
        </is>
      </c>
      <c r="E1822" s="2" t="n">
        <v>55472</v>
      </c>
      <c r="H1822" s="2" t="inlineStr">
        <is>
          <t>130 Kerrs Road</t>
        </is>
      </c>
      <c r="I1822" s="2" t="inlineStr">
        <is>
          <t>Wiri</t>
        </is>
      </c>
      <c r="J1822" s="2" t="inlineStr">
        <is>
          <t>Auckland</t>
        </is>
      </c>
      <c r="K1822" s="2" t="n">
        <v>2104</v>
      </c>
      <c r="L1822" s="2" t="inlineStr">
        <is>
          <t>New Zealand</t>
        </is>
      </c>
      <c r="M1822" s="2" t="inlineStr">
        <is>
          <t>Manurewa</t>
        </is>
      </c>
      <c r="N1822" s="2" t="inlineStr">
        <is>
          <t>New Zealand</t>
        </is>
      </c>
      <c r="P1822" s="2" t="inlineStr">
        <is>
          <t>Operational Control</t>
        </is>
      </c>
      <c r="Q1822" s="2" t="inlineStr">
        <is>
          <t>Operational Control</t>
        </is>
      </c>
      <c r="R1822" s="2" t="inlineStr">
        <is>
          <t>Transport &amp; Infrastructure (T&amp;I)</t>
        </is>
      </c>
      <c r="S1822" s="2" t="inlineStr">
        <is>
          <t>Downer</t>
        </is>
      </c>
      <c r="T1822" s="2" t="n">
        <v>100</v>
      </c>
      <c r="W1822" s="2" t="inlineStr">
        <is>
          <t>Classification</t>
        </is>
      </c>
      <c r="X1822" s="2" t="n">
        <v>-37.0083</v>
      </c>
      <c r="Y1822" s="2" t="n">
        <v>174.8705</v>
      </c>
    </row>
    <row r="1823">
      <c r="A1823" s="2" t="inlineStr">
        <is>
          <t>Downer</t>
        </is>
      </c>
      <c r="B1823" s="2" t="inlineStr">
        <is>
          <t>Plant (Construction Wgtn)</t>
        </is>
      </c>
      <c r="C1823" s="2" t="inlineStr">
        <is>
          <t>Other</t>
        </is>
      </c>
      <c r="D1823" s="2" t="inlineStr">
        <is>
          <t>L9.DNZJ.55815</t>
        </is>
      </c>
      <c r="E1823" s="2" t="n">
        <v>55815</v>
      </c>
      <c r="H1823" s="2" t="inlineStr">
        <is>
          <t>130 Kerrs Road</t>
        </is>
      </c>
      <c r="I1823" s="2" t="inlineStr">
        <is>
          <t>Wiri</t>
        </is>
      </c>
      <c r="J1823" s="2" t="inlineStr">
        <is>
          <t>Auckland</t>
        </is>
      </c>
      <c r="K1823" s="2" t="n">
        <v>2104</v>
      </c>
      <c r="L1823" s="2" t="inlineStr">
        <is>
          <t>New Zealand</t>
        </is>
      </c>
      <c r="M1823" s="2" t="inlineStr">
        <is>
          <t>Manurewa</t>
        </is>
      </c>
      <c r="N1823" s="2" t="inlineStr">
        <is>
          <t>New Zealand</t>
        </is>
      </c>
      <c r="P1823" s="2" t="inlineStr">
        <is>
          <t>Operational Control</t>
        </is>
      </c>
      <c r="Q1823" s="2" t="inlineStr">
        <is>
          <t>Operational Control</t>
        </is>
      </c>
      <c r="R1823" s="2" t="inlineStr">
        <is>
          <t>Transport &amp; Infrastructure (T&amp;I)</t>
        </is>
      </c>
      <c r="S1823" s="2" t="inlineStr">
        <is>
          <t>Downer</t>
        </is>
      </c>
      <c r="T1823" s="2" t="n">
        <v>100</v>
      </c>
      <c r="W1823" s="2" t="inlineStr">
        <is>
          <t>Classification</t>
        </is>
      </c>
      <c r="X1823" s="2" t="n">
        <v>-37.0083</v>
      </c>
      <c r="Y1823" s="2" t="n">
        <v>174.8705</v>
      </c>
    </row>
    <row r="1824">
      <c r="A1824" s="2" t="inlineStr">
        <is>
          <t>Downer</t>
        </is>
      </c>
      <c r="B1824" s="2" t="inlineStr">
        <is>
          <t>Plant (Construction Whanganui)</t>
        </is>
      </c>
      <c r="C1824" s="2" t="inlineStr">
        <is>
          <t>Other</t>
        </is>
      </c>
      <c r="D1824" s="2" t="inlineStr">
        <is>
          <t>L9.DNZJ.55479</t>
        </is>
      </c>
      <c r="E1824" s="2" t="n">
        <v>55479</v>
      </c>
      <c r="H1824" s="2" t="inlineStr">
        <is>
          <t>130 Kerrs Road</t>
        </is>
      </c>
      <c r="I1824" s="2" t="inlineStr">
        <is>
          <t>Wiri</t>
        </is>
      </c>
      <c r="J1824" s="2" t="inlineStr">
        <is>
          <t>Auckland</t>
        </is>
      </c>
      <c r="K1824" s="2" t="n">
        <v>2104</v>
      </c>
      <c r="L1824" s="2" t="inlineStr">
        <is>
          <t>New Zealand</t>
        </is>
      </c>
      <c r="M1824" s="2" t="inlineStr">
        <is>
          <t>Manurewa</t>
        </is>
      </c>
      <c r="N1824" s="2" t="inlineStr">
        <is>
          <t>New Zealand</t>
        </is>
      </c>
      <c r="P1824" s="2" t="inlineStr">
        <is>
          <t>Operational Control</t>
        </is>
      </c>
      <c r="Q1824" s="2" t="inlineStr">
        <is>
          <t>Operational Control</t>
        </is>
      </c>
      <c r="R1824" s="2" t="inlineStr">
        <is>
          <t>Transport &amp; Infrastructure (T&amp;I)</t>
        </is>
      </c>
      <c r="S1824" s="2" t="inlineStr">
        <is>
          <t>Downer</t>
        </is>
      </c>
      <c r="T1824" s="2" t="n">
        <v>100</v>
      </c>
      <c r="W1824" s="2" t="inlineStr">
        <is>
          <t>Classification</t>
        </is>
      </c>
      <c r="X1824" s="2" t="n">
        <v>-37.0083</v>
      </c>
      <c r="Y1824" s="2" t="n">
        <v>174.8705</v>
      </c>
    </row>
    <row r="1825">
      <c r="A1825" s="2" t="inlineStr">
        <is>
          <t>Downer</t>
        </is>
      </c>
      <c r="B1825" s="2" t="inlineStr">
        <is>
          <t>Plant (Gisborne LR)</t>
        </is>
      </c>
      <c r="C1825" s="2" t="inlineStr">
        <is>
          <t>Other</t>
        </is>
      </c>
      <c r="D1825" s="2" t="inlineStr">
        <is>
          <t>L9.DNZJ.55483</t>
        </is>
      </c>
      <c r="E1825" s="2" t="n">
        <v>55483</v>
      </c>
      <c r="H1825" s="2" t="inlineStr">
        <is>
          <t>130 Kerrs Road</t>
        </is>
      </c>
      <c r="I1825" s="2" t="inlineStr">
        <is>
          <t>Wiri</t>
        </is>
      </c>
      <c r="J1825" s="2" t="inlineStr">
        <is>
          <t>Auckland</t>
        </is>
      </c>
      <c r="K1825" s="2" t="n">
        <v>2104</v>
      </c>
      <c r="L1825" s="2" t="inlineStr">
        <is>
          <t>New Zealand</t>
        </is>
      </c>
      <c r="M1825" s="2" t="inlineStr">
        <is>
          <t>Manurewa</t>
        </is>
      </c>
      <c r="N1825" s="2" t="inlineStr">
        <is>
          <t>New Zealand</t>
        </is>
      </c>
      <c r="P1825" s="2" t="inlineStr">
        <is>
          <t>Operational Control</t>
        </is>
      </c>
      <c r="Q1825" s="2" t="inlineStr">
        <is>
          <t>Operational Control</t>
        </is>
      </c>
      <c r="R1825" s="2" t="inlineStr">
        <is>
          <t>Transport &amp; Infrastructure (T&amp;I)</t>
        </is>
      </c>
      <c r="S1825" s="2" t="inlineStr">
        <is>
          <t>Downer</t>
        </is>
      </c>
      <c r="T1825" s="2" t="n">
        <v>100</v>
      </c>
      <c r="W1825" s="2" t="inlineStr">
        <is>
          <t>Classification</t>
        </is>
      </c>
      <c r="X1825" s="2" t="n">
        <v>-37.0083</v>
      </c>
      <c r="Y1825" s="2" t="n">
        <v>174.8705</v>
      </c>
    </row>
    <row r="1826">
      <c r="A1826" s="2" t="inlineStr">
        <is>
          <t>Downer</t>
        </is>
      </c>
      <c r="B1826" s="2" t="inlineStr">
        <is>
          <t>Plant (Gisborne NOC)</t>
        </is>
      </c>
      <c r="C1826" s="2" t="inlineStr">
        <is>
          <t>Other</t>
        </is>
      </c>
      <c r="D1826" s="2" t="inlineStr">
        <is>
          <t>L9.DNZJ.55484</t>
        </is>
      </c>
      <c r="E1826" s="2" t="n">
        <v>55484</v>
      </c>
      <c r="H1826" s="2" t="inlineStr">
        <is>
          <t>130 Kerrs Road</t>
        </is>
      </c>
      <c r="I1826" s="2" t="inlineStr">
        <is>
          <t>Wiri</t>
        </is>
      </c>
      <c r="J1826" s="2" t="inlineStr">
        <is>
          <t>Auckland</t>
        </is>
      </c>
      <c r="K1826" s="2" t="n">
        <v>2104</v>
      </c>
      <c r="L1826" s="2" t="inlineStr">
        <is>
          <t>New Zealand</t>
        </is>
      </c>
      <c r="M1826" s="2" t="inlineStr">
        <is>
          <t>Manurewa</t>
        </is>
      </c>
      <c r="N1826" s="2" t="inlineStr">
        <is>
          <t>New Zealand</t>
        </is>
      </c>
      <c r="P1826" s="2" t="inlineStr">
        <is>
          <t>Operational Control</t>
        </is>
      </c>
      <c r="Q1826" s="2" t="inlineStr">
        <is>
          <t>Operational Control</t>
        </is>
      </c>
      <c r="R1826" s="2" t="inlineStr">
        <is>
          <t>Transport &amp; Infrastructure (T&amp;I)</t>
        </is>
      </c>
      <c r="S1826" s="2" t="inlineStr">
        <is>
          <t>Downer</t>
        </is>
      </c>
      <c r="T1826" s="2" t="n">
        <v>100</v>
      </c>
      <c r="W1826" s="2" t="inlineStr">
        <is>
          <t>Classification</t>
        </is>
      </c>
      <c r="X1826" s="2" t="n">
        <v>-37.0083</v>
      </c>
      <c r="Y1826" s="2" t="n">
        <v>174.8705</v>
      </c>
    </row>
    <row r="1827">
      <c r="A1827" s="2" t="inlineStr">
        <is>
          <t>Downer</t>
        </is>
      </c>
      <c r="B1827" s="2" t="inlineStr">
        <is>
          <t>Plant (Gisborne Other)</t>
        </is>
      </c>
      <c r="C1827" s="2" t="inlineStr">
        <is>
          <t>Other</t>
        </is>
      </c>
      <c r="D1827" s="2" t="inlineStr">
        <is>
          <t>L9.DNZJ.55850</t>
        </is>
      </c>
      <c r="E1827" s="2" t="n">
        <v>55850</v>
      </c>
      <c r="F1827" s="2" t="n">
        <v>900571</v>
      </c>
      <c r="H1827" s="2" t="inlineStr">
        <is>
          <t>130 Kerrs Road</t>
        </is>
      </c>
      <c r="I1827" s="2" t="inlineStr">
        <is>
          <t>Wiri</t>
        </is>
      </c>
      <c r="J1827" s="2" t="inlineStr">
        <is>
          <t>Auckland</t>
        </is>
      </c>
      <c r="K1827" s="2" t="n">
        <v>2104</v>
      </c>
      <c r="L1827" s="2" t="inlineStr">
        <is>
          <t>New Zealand</t>
        </is>
      </c>
      <c r="M1827" s="2" t="inlineStr">
        <is>
          <t>Manurewa</t>
        </is>
      </c>
      <c r="N1827" s="2" t="inlineStr">
        <is>
          <t>New Zealand</t>
        </is>
      </c>
      <c r="P1827" s="2" t="inlineStr">
        <is>
          <t>Operational Control</t>
        </is>
      </c>
      <c r="Q1827" s="2" t="inlineStr">
        <is>
          <t>Operational Control</t>
        </is>
      </c>
      <c r="R1827" s="2" t="inlineStr">
        <is>
          <t>Transport &amp; Infrastructure (T&amp;I)</t>
        </is>
      </c>
      <c r="S1827" s="2" t="inlineStr">
        <is>
          <t>Downer</t>
        </is>
      </c>
      <c r="T1827" s="2" t="n">
        <v>100</v>
      </c>
      <c r="W1827" s="2" t="inlineStr">
        <is>
          <t>Classification</t>
        </is>
      </c>
      <c r="X1827" s="2" t="n">
        <v>-37.0083</v>
      </c>
      <c r="Y1827" s="2" t="n">
        <v>174.8705</v>
      </c>
    </row>
    <row r="1828">
      <c r="A1828" s="2" t="inlineStr">
        <is>
          <t>Downer</t>
        </is>
      </c>
      <c r="B1828" s="2" t="inlineStr">
        <is>
          <t>Plant (Hamilton Alliance)</t>
        </is>
      </c>
      <c r="C1828" s="2" t="inlineStr">
        <is>
          <t>Other</t>
        </is>
      </c>
      <c r="D1828" s="2" t="inlineStr">
        <is>
          <t>L9.DNZJ.55806</t>
        </is>
      </c>
      <c r="E1828" s="2" t="n">
        <v>55806</v>
      </c>
      <c r="H1828" s="2" t="inlineStr">
        <is>
          <t>130 Kerrs Road</t>
        </is>
      </c>
      <c r="I1828" s="2" t="inlineStr">
        <is>
          <t>Wiri</t>
        </is>
      </c>
      <c r="J1828" s="2" t="inlineStr">
        <is>
          <t>Auckland</t>
        </is>
      </c>
      <c r="K1828" s="2" t="n">
        <v>2104</v>
      </c>
      <c r="L1828" s="2" t="inlineStr">
        <is>
          <t>New Zealand</t>
        </is>
      </c>
      <c r="M1828" s="2" t="inlineStr">
        <is>
          <t>Manurewa</t>
        </is>
      </c>
      <c r="N1828" s="2" t="inlineStr">
        <is>
          <t>New Zealand</t>
        </is>
      </c>
      <c r="P1828" s="2" t="inlineStr">
        <is>
          <t>Operational Control</t>
        </is>
      </c>
      <c r="Q1828" s="2" t="inlineStr">
        <is>
          <t>Operational Control</t>
        </is>
      </c>
      <c r="R1828" s="2" t="inlineStr">
        <is>
          <t>Transport &amp; Infrastructure (T&amp;I)</t>
        </is>
      </c>
      <c r="S1828" s="2" t="inlineStr">
        <is>
          <t>Downer</t>
        </is>
      </c>
      <c r="T1828" s="2" t="n">
        <v>100</v>
      </c>
      <c r="W1828" s="2" t="inlineStr">
        <is>
          <t>Classification</t>
        </is>
      </c>
      <c r="X1828" s="2" t="n">
        <v>-37.0083</v>
      </c>
      <c r="Y1828" s="2" t="n">
        <v>174.8705</v>
      </c>
    </row>
    <row r="1829">
      <c r="A1829" s="2" t="inlineStr">
        <is>
          <t>Downer</t>
        </is>
      </c>
      <c r="B1829" s="2" t="inlineStr">
        <is>
          <t>Plant (Hastings DC Maint)</t>
        </is>
      </c>
      <c r="C1829" s="2" t="inlineStr">
        <is>
          <t>Other</t>
        </is>
      </c>
      <c r="D1829" s="2" t="inlineStr">
        <is>
          <t>L9.DNZJ.55481</t>
        </is>
      </c>
      <c r="E1829" s="2" t="n">
        <v>55481</v>
      </c>
      <c r="G1829" s="2" t="inlineStr">
        <is>
          <t>previously named 'Plant (Hawkes Bay Maint)'. As per INX, latest name used is TI-NZT-55481 - Plant (Hastings DC Maint) (2024.07.08)</t>
        </is>
      </c>
      <c r="H1829" s="2" t="inlineStr">
        <is>
          <t>130 Kerrs Road</t>
        </is>
      </c>
      <c r="I1829" s="2" t="inlineStr">
        <is>
          <t>Wiri</t>
        </is>
      </c>
      <c r="J1829" s="2" t="inlineStr">
        <is>
          <t>Auckland</t>
        </is>
      </c>
      <c r="K1829" s="2" t="n">
        <v>2104</v>
      </c>
      <c r="L1829" s="2" t="inlineStr">
        <is>
          <t>New Zealand</t>
        </is>
      </c>
      <c r="M1829" s="2" t="inlineStr">
        <is>
          <t>Manurewa</t>
        </is>
      </c>
      <c r="N1829" s="2" t="inlineStr">
        <is>
          <t>New Zealand</t>
        </is>
      </c>
      <c r="P1829" s="2" t="inlineStr">
        <is>
          <t>Operational Control</t>
        </is>
      </c>
      <c r="Q1829" s="2" t="inlineStr">
        <is>
          <t>Operational Control</t>
        </is>
      </c>
      <c r="R1829" s="2" t="inlineStr">
        <is>
          <t>Transport &amp; Infrastructure (T&amp;I)</t>
        </is>
      </c>
      <c r="S1829" s="2" t="inlineStr">
        <is>
          <t>Downer</t>
        </is>
      </c>
      <c r="T1829" s="2" t="n">
        <v>100</v>
      </c>
      <c r="W1829" s="2" t="inlineStr">
        <is>
          <t>Classification</t>
        </is>
      </c>
      <c r="X1829" s="2" t="n">
        <v>-37.0083</v>
      </c>
      <c r="Y1829" s="2" t="n">
        <v>174.8705</v>
      </c>
    </row>
    <row r="1830">
      <c r="A1830" s="2" t="inlineStr">
        <is>
          <t>Downer</t>
        </is>
      </c>
      <c r="B1830" s="2" t="inlineStr">
        <is>
          <t>Plant (Hawkes Bay Other)</t>
        </is>
      </c>
      <c r="C1830" s="2" t="inlineStr">
        <is>
          <t>Other</t>
        </is>
      </c>
      <c r="D1830" s="2" t="inlineStr">
        <is>
          <t>L9.DNZJ.55851</t>
        </is>
      </c>
      <c r="E1830" s="2" t="n">
        <v>55851</v>
      </c>
      <c r="H1830" s="2" t="inlineStr">
        <is>
          <t>130 Kerrs Road</t>
        </is>
      </c>
      <c r="I1830" s="2" t="inlineStr">
        <is>
          <t>Wiri</t>
        </is>
      </c>
      <c r="J1830" s="2" t="inlineStr">
        <is>
          <t>Auckland</t>
        </is>
      </c>
      <c r="K1830" s="2" t="n">
        <v>2104</v>
      </c>
      <c r="L1830" s="2" t="inlineStr">
        <is>
          <t>New Zealand</t>
        </is>
      </c>
      <c r="M1830" s="2" t="inlineStr">
        <is>
          <t>Manurewa</t>
        </is>
      </c>
      <c r="N1830" s="2" t="inlineStr">
        <is>
          <t>New Zealand</t>
        </is>
      </c>
      <c r="P1830" s="2" t="inlineStr">
        <is>
          <t>Operational Control</t>
        </is>
      </c>
      <c r="Q1830" s="2" t="inlineStr">
        <is>
          <t>Operational Control</t>
        </is>
      </c>
      <c r="R1830" s="2" t="inlineStr">
        <is>
          <t>Transport &amp; Infrastructure (T&amp;I)</t>
        </is>
      </c>
      <c r="S1830" s="2" t="inlineStr">
        <is>
          <t>Downer</t>
        </is>
      </c>
      <c r="T1830" s="2" t="n">
        <v>100</v>
      </c>
      <c r="W1830" s="2" t="inlineStr">
        <is>
          <t>Classification</t>
        </is>
      </c>
      <c r="X1830" s="2" t="n">
        <v>-37.0083</v>
      </c>
      <c r="Y1830" s="2" t="n">
        <v>174.8705</v>
      </c>
    </row>
    <row r="1831">
      <c r="A1831" s="2" t="inlineStr">
        <is>
          <t>Downer</t>
        </is>
      </c>
      <c r="B1831" s="2" t="inlineStr">
        <is>
          <t>Plant (ITS)</t>
        </is>
      </c>
      <c r="C1831" s="2" t="inlineStr">
        <is>
          <t>Other</t>
        </is>
      </c>
      <c r="D1831" s="2" t="inlineStr">
        <is>
          <t>L9.DNZJ.54802</t>
        </is>
      </c>
      <c r="E1831" s="2" t="n">
        <v>54802</v>
      </c>
      <c r="H1831" s="2" t="inlineStr">
        <is>
          <t>130 Kerrs Road</t>
        </is>
      </c>
      <c r="I1831" s="2" t="inlineStr">
        <is>
          <t>Wiri</t>
        </is>
      </c>
      <c r="J1831" s="2" t="inlineStr">
        <is>
          <t>Auckland</t>
        </is>
      </c>
      <c r="K1831" s="2" t="n">
        <v>2104</v>
      </c>
      <c r="L1831" s="2" t="inlineStr">
        <is>
          <t>New Zealand</t>
        </is>
      </c>
      <c r="M1831" s="2" t="inlineStr">
        <is>
          <t>Manurewa</t>
        </is>
      </c>
      <c r="N1831" s="2" t="inlineStr">
        <is>
          <t>New Zealand</t>
        </is>
      </c>
      <c r="P1831" s="2" t="inlineStr">
        <is>
          <t>Operational Control</t>
        </is>
      </c>
      <c r="Q1831" s="2" t="inlineStr">
        <is>
          <t>Operational Control</t>
        </is>
      </c>
      <c r="R1831" s="2" t="inlineStr">
        <is>
          <t>Transport &amp; Infrastructure (T&amp;I)</t>
        </is>
      </c>
      <c r="S1831" s="2" t="inlineStr">
        <is>
          <t>Downer</t>
        </is>
      </c>
      <c r="T1831" s="2" t="n">
        <v>100</v>
      </c>
      <c r="W1831" s="2" t="inlineStr">
        <is>
          <t>Classification</t>
        </is>
      </c>
      <c r="X1831" s="2" t="n">
        <v>-37.0083</v>
      </c>
      <c r="Y1831" s="2" t="n">
        <v>174.8705</v>
      </c>
    </row>
    <row r="1832">
      <c r="A1832" s="2" t="inlineStr">
        <is>
          <t>Downer</t>
        </is>
      </c>
      <c r="B1832" s="2" t="inlineStr">
        <is>
          <t>Plant (Kaikoura)</t>
        </is>
      </c>
      <c r="C1832" s="2" t="inlineStr">
        <is>
          <t>Other</t>
        </is>
      </c>
      <c r="D1832" s="2" t="inlineStr">
        <is>
          <t>L9.DNZJ.55868</t>
        </is>
      </c>
      <c r="E1832" s="2" t="n">
        <v>55868</v>
      </c>
      <c r="H1832" s="2" t="inlineStr">
        <is>
          <t>130 Kerrs Road</t>
        </is>
      </c>
      <c r="I1832" s="2" t="inlineStr">
        <is>
          <t>Wiri</t>
        </is>
      </c>
      <c r="J1832" s="2" t="inlineStr">
        <is>
          <t>Auckland</t>
        </is>
      </c>
      <c r="K1832" s="2" t="n">
        <v>2104</v>
      </c>
      <c r="L1832" s="2" t="inlineStr">
        <is>
          <t>New Zealand</t>
        </is>
      </c>
      <c r="M1832" s="2" t="inlineStr">
        <is>
          <t>Manurewa</t>
        </is>
      </c>
      <c r="N1832" s="2" t="inlineStr">
        <is>
          <t>New Zealand</t>
        </is>
      </c>
      <c r="P1832" s="2" t="inlineStr">
        <is>
          <t>Operational Control</t>
        </is>
      </c>
      <c r="Q1832" s="2" t="inlineStr">
        <is>
          <t>Operational Control</t>
        </is>
      </c>
      <c r="R1832" s="2" t="inlineStr">
        <is>
          <t>Transport &amp; Infrastructure (T&amp;I)</t>
        </is>
      </c>
      <c r="S1832" s="2" t="inlineStr">
        <is>
          <t>Downer</t>
        </is>
      </c>
      <c r="T1832" s="2" t="n">
        <v>100</v>
      </c>
      <c r="W1832" s="2" t="inlineStr">
        <is>
          <t>Classification</t>
        </is>
      </c>
      <c r="X1832" s="2" t="n">
        <v>-37.0083</v>
      </c>
      <c r="Y1832" s="2" t="n">
        <v>174.8705</v>
      </c>
    </row>
    <row r="1833">
      <c r="A1833" s="2" t="inlineStr">
        <is>
          <t>Downer</t>
        </is>
      </c>
      <c r="B1833" s="2" t="inlineStr">
        <is>
          <t>Plant (LS Roadmarking)</t>
        </is>
      </c>
      <c r="C1833" s="2" t="inlineStr">
        <is>
          <t>Other</t>
        </is>
      </c>
      <c r="D1833" s="2" t="inlineStr">
        <is>
          <t>L9.DNZJ.55496</t>
        </is>
      </c>
      <c r="E1833" s="2" t="n">
        <v>55496</v>
      </c>
      <c r="H1833" s="2" t="inlineStr">
        <is>
          <t>130 Kerrs Road</t>
        </is>
      </c>
      <c r="I1833" s="2" t="inlineStr">
        <is>
          <t>Wiri</t>
        </is>
      </c>
      <c r="J1833" s="2" t="inlineStr">
        <is>
          <t>Auckland</t>
        </is>
      </c>
      <c r="K1833" s="2" t="n">
        <v>2104</v>
      </c>
      <c r="L1833" s="2" t="inlineStr">
        <is>
          <t>New Zealand</t>
        </is>
      </c>
      <c r="M1833" s="2" t="inlineStr">
        <is>
          <t>Manurewa</t>
        </is>
      </c>
      <c r="N1833" s="2" t="inlineStr">
        <is>
          <t>New Zealand</t>
        </is>
      </c>
      <c r="P1833" s="2" t="inlineStr">
        <is>
          <t>Operational Control</t>
        </is>
      </c>
      <c r="Q1833" s="2" t="inlineStr">
        <is>
          <t>Operational Control</t>
        </is>
      </c>
      <c r="R1833" s="2" t="inlineStr">
        <is>
          <t>Transport &amp; Infrastructure (T&amp;I)</t>
        </is>
      </c>
      <c r="S1833" s="2" t="inlineStr">
        <is>
          <t>Downer</t>
        </is>
      </c>
      <c r="T1833" s="2" t="n">
        <v>100</v>
      </c>
      <c r="W1833" s="2" t="inlineStr">
        <is>
          <t>Classification</t>
        </is>
      </c>
      <c r="X1833" s="2" t="n">
        <v>-37.0083</v>
      </c>
      <c r="Y1833" s="2" t="n">
        <v>174.8705</v>
      </c>
    </row>
    <row r="1834">
      <c r="A1834" s="2" t="inlineStr">
        <is>
          <t>Downer</t>
        </is>
      </c>
      <c r="B1834" s="2" t="inlineStr">
        <is>
          <t>Plant (Maintenance CHCH)</t>
        </is>
      </c>
      <c r="C1834" s="2" t="inlineStr">
        <is>
          <t>Other</t>
        </is>
      </c>
      <c r="D1834" s="2" t="inlineStr">
        <is>
          <t>L9.DNZJ.55880</t>
        </is>
      </c>
      <c r="E1834" s="2" t="n">
        <v>55880</v>
      </c>
      <c r="H1834" s="2" t="inlineStr">
        <is>
          <t>130 Kerrs Road</t>
        </is>
      </c>
      <c r="I1834" s="2" t="inlineStr">
        <is>
          <t>Wiri</t>
        </is>
      </c>
      <c r="J1834" s="2" t="inlineStr">
        <is>
          <t>Auckland</t>
        </is>
      </c>
      <c r="K1834" s="2" t="n">
        <v>2104</v>
      </c>
      <c r="L1834" s="2" t="inlineStr">
        <is>
          <t>New Zealand</t>
        </is>
      </c>
      <c r="M1834" s="2" t="inlineStr">
        <is>
          <t>Manurewa</t>
        </is>
      </c>
      <c r="N1834" s="2" t="inlineStr">
        <is>
          <t>New Zealand</t>
        </is>
      </c>
      <c r="P1834" s="2" t="inlineStr">
        <is>
          <t>Operational Control</t>
        </is>
      </c>
      <c r="Q1834" s="2" t="inlineStr">
        <is>
          <t>Operational Control</t>
        </is>
      </c>
      <c r="R1834" s="2" t="inlineStr">
        <is>
          <t>Transport &amp; Infrastructure (T&amp;I)</t>
        </is>
      </c>
      <c r="S1834" s="2" t="inlineStr">
        <is>
          <t>Downer</t>
        </is>
      </c>
      <c r="T1834" s="2" t="n">
        <v>100</v>
      </c>
      <c r="W1834" s="2" t="inlineStr">
        <is>
          <t>Classification</t>
        </is>
      </c>
      <c r="X1834" s="2" t="n">
        <v>-37.0083</v>
      </c>
      <c r="Y1834" s="2" t="n">
        <v>174.8705</v>
      </c>
    </row>
    <row r="1835">
      <c r="A1835" s="2" t="inlineStr">
        <is>
          <t>Downer</t>
        </is>
      </c>
      <c r="B1835" s="2" t="inlineStr">
        <is>
          <t>Plant (Manawatu Construction)</t>
        </is>
      </c>
      <c r="C1835" s="2" t="inlineStr">
        <is>
          <t>Other</t>
        </is>
      </c>
      <c r="D1835" s="2" t="inlineStr">
        <is>
          <t>L9.DNZJ.55858</t>
        </is>
      </c>
      <c r="E1835" s="2" t="n">
        <v>55858</v>
      </c>
      <c r="H1835" s="2" t="inlineStr">
        <is>
          <t>130 Kerrs Road</t>
        </is>
      </c>
      <c r="I1835" s="2" t="inlineStr">
        <is>
          <t>Wiri</t>
        </is>
      </c>
      <c r="J1835" s="2" t="inlineStr">
        <is>
          <t>Auckland</t>
        </is>
      </c>
      <c r="K1835" s="2" t="n">
        <v>2104</v>
      </c>
      <c r="L1835" s="2" t="inlineStr">
        <is>
          <t>New Zealand</t>
        </is>
      </c>
      <c r="M1835" s="2" t="inlineStr">
        <is>
          <t>Manurewa</t>
        </is>
      </c>
      <c r="N1835" s="2" t="inlineStr">
        <is>
          <t>New Zealand</t>
        </is>
      </c>
      <c r="P1835" s="2" t="inlineStr">
        <is>
          <t>Operational Control</t>
        </is>
      </c>
      <c r="Q1835" s="2" t="inlineStr">
        <is>
          <t>Operational Control</t>
        </is>
      </c>
      <c r="R1835" s="2" t="inlineStr">
        <is>
          <t>Transport &amp; Infrastructure (T&amp;I)</t>
        </is>
      </c>
      <c r="S1835" s="2" t="inlineStr">
        <is>
          <t>Downer</t>
        </is>
      </c>
      <c r="T1835" s="2" t="n">
        <v>100</v>
      </c>
      <c r="W1835" s="2" t="inlineStr">
        <is>
          <t>Classification</t>
        </is>
      </c>
      <c r="X1835" s="2" t="n">
        <v>-37.0083</v>
      </c>
      <c r="Y1835" s="2" t="n">
        <v>174.8705</v>
      </c>
    </row>
    <row r="1836">
      <c r="A1836" s="2" t="inlineStr">
        <is>
          <t>Downer</t>
        </is>
      </c>
      <c r="B1836" s="2" t="inlineStr">
        <is>
          <t>Plant (Milford Road Alliance)</t>
        </is>
      </c>
      <c r="C1836" s="2" t="inlineStr">
        <is>
          <t>Other</t>
        </is>
      </c>
      <c r="D1836" s="2" t="inlineStr">
        <is>
          <t>L9.DNZJ.55893</t>
        </is>
      </c>
      <c r="E1836" s="2" t="n">
        <v>55893</v>
      </c>
      <c r="H1836" s="2" t="inlineStr">
        <is>
          <t>130 Kerrs Road</t>
        </is>
      </c>
      <c r="I1836" s="2" t="inlineStr">
        <is>
          <t>Wiri</t>
        </is>
      </c>
      <c r="J1836" s="2" t="inlineStr">
        <is>
          <t>Auckland</t>
        </is>
      </c>
      <c r="K1836" s="2" t="n">
        <v>2104</v>
      </c>
      <c r="L1836" s="2" t="inlineStr">
        <is>
          <t>New Zealand</t>
        </is>
      </c>
      <c r="M1836" s="2" t="inlineStr">
        <is>
          <t>Manurewa</t>
        </is>
      </c>
      <c r="N1836" s="2" t="inlineStr">
        <is>
          <t>New Zealand</t>
        </is>
      </c>
      <c r="P1836" s="2" t="inlineStr">
        <is>
          <t>Operational Control</t>
        </is>
      </c>
      <c r="Q1836" s="2" t="inlineStr">
        <is>
          <t>Operational Control</t>
        </is>
      </c>
      <c r="R1836" s="2" t="inlineStr">
        <is>
          <t>Transport &amp; Infrastructure (T&amp;I)</t>
        </is>
      </c>
      <c r="S1836" s="2" t="inlineStr">
        <is>
          <t>Downer</t>
        </is>
      </c>
      <c r="T1836" s="2" t="n">
        <v>100</v>
      </c>
      <c r="W1836" s="2" t="inlineStr">
        <is>
          <t>Classification</t>
        </is>
      </c>
      <c r="X1836" s="2" t="n">
        <v>-37.0083</v>
      </c>
      <c r="Y1836" s="2" t="n">
        <v>174.8705</v>
      </c>
    </row>
    <row r="1837">
      <c r="A1837" s="2" t="inlineStr">
        <is>
          <t>Downer</t>
        </is>
      </c>
      <c r="B1837" s="2" t="inlineStr">
        <is>
          <t>Plant (Napier CC Alliance)</t>
        </is>
      </c>
      <c r="C1837" s="2" t="inlineStr">
        <is>
          <t>Other</t>
        </is>
      </c>
      <c r="D1837" s="2" t="inlineStr">
        <is>
          <t>L9.DNZJ.54823</t>
        </is>
      </c>
      <c r="E1837" s="2" t="n">
        <v>54823</v>
      </c>
      <c r="M1837" s="2" t="inlineStr">
        <is>
          <t>Manurewa</t>
        </is>
      </c>
      <c r="N1837" s="2" t="inlineStr">
        <is>
          <t>New Zealand</t>
        </is>
      </c>
      <c r="P1837" s="2" t="inlineStr">
        <is>
          <t>Operational Control</t>
        </is>
      </c>
      <c r="Q1837" s="2" t="inlineStr">
        <is>
          <t>Operational Control</t>
        </is>
      </c>
      <c r="R1837" s="2" t="inlineStr">
        <is>
          <t>Transport &amp; Infrastructure (T&amp;I)</t>
        </is>
      </c>
      <c r="S1837" s="2" t="inlineStr">
        <is>
          <t>Downer</t>
        </is>
      </c>
      <c r="T1837" s="2" t="n">
        <v>100</v>
      </c>
      <c r="W1837" s="2" t="inlineStr">
        <is>
          <t>Classification</t>
        </is>
      </c>
    </row>
    <row r="1838">
      <c r="A1838" s="2" t="inlineStr">
        <is>
          <t>Downer</t>
        </is>
      </c>
      <c r="B1838" s="2" t="inlineStr">
        <is>
          <t>Plant (NP Other)</t>
        </is>
      </c>
      <c r="C1838" s="2" t="inlineStr">
        <is>
          <t>Other</t>
        </is>
      </c>
      <c r="D1838" s="2" t="inlineStr">
        <is>
          <t>L9.DNZJ.55846</t>
        </is>
      </c>
      <c r="E1838" s="2" t="n">
        <v>55846</v>
      </c>
      <c r="H1838" s="2" t="inlineStr">
        <is>
          <t>130 Kerrs Road</t>
        </is>
      </c>
      <c r="I1838" s="2" t="inlineStr">
        <is>
          <t>Wiri</t>
        </is>
      </c>
      <c r="J1838" s="2" t="inlineStr">
        <is>
          <t>Auckland</t>
        </is>
      </c>
      <c r="K1838" s="2" t="n">
        <v>2104</v>
      </c>
      <c r="L1838" s="2" t="inlineStr">
        <is>
          <t>New Zealand</t>
        </is>
      </c>
      <c r="M1838" s="2" t="inlineStr">
        <is>
          <t>Manurewa</t>
        </is>
      </c>
      <c r="N1838" s="2" t="inlineStr">
        <is>
          <t>New Zealand</t>
        </is>
      </c>
      <c r="P1838" s="2" t="inlineStr">
        <is>
          <t>Operational Control</t>
        </is>
      </c>
      <c r="Q1838" s="2" t="inlineStr">
        <is>
          <t>Operational Control</t>
        </is>
      </c>
      <c r="R1838" s="2" t="inlineStr">
        <is>
          <t>Transport &amp; Infrastructure (T&amp;I)</t>
        </is>
      </c>
      <c r="S1838" s="2" t="inlineStr">
        <is>
          <t>Downer</t>
        </is>
      </c>
      <c r="T1838" s="2" t="n">
        <v>100</v>
      </c>
      <c r="W1838" s="2" t="inlineStr">
        <is>
          <t>Classification</t>
        </is>
      </c>
      <c r="X1838" s="2" t="n">
        <v>-37.0083</v>
      </c>
      <c r="Y1838" s="2" t="n">
        <v>174.8705</v>
      </c>
    </row>
    <row r="1839">
      <c r="A1839" s="2" t="inlineStr">
        <is>
          <t>Downer</t>
        </is>
      </c>
      <c r="B1839" s="2" t="inlineStr">
        <is>
          <t>Plant (NPDC)</t>
        </is>
      </c>
      <c r="C1839" s="2" t="inlineStr">
        <is>
          <t>Other</t>
        </is>
      </c>
      <c r="D1839" s="2" t="inlineStr">
        <is>
          <t>L9.DNZJ.55478</t>
        </is>
      </c>
      <c r="E1839" s="2" t="n">
        <v>55478</v>
      </c>
      <c r="H1839" s="2" t="inlineStr">
        <is>
          <t>130 Kerrs Road</t>
        </is>
      </c>
      <c r="I1839" s="2" t="inlineStr">
        <is>
          <t>Wiri</t>
        </is>
      </c>
      <c r="J1839" s="2" t="inlineStr">
        <is>
          <t>Auckland</t>
        </is>
      </c>
      <c r="K1839" s="2" t="n">
        <v>2104</v>
      </c>
      <c r="L1839" s="2" t="inlineStr">
        <is>
          <t>New Zealand</t>
        </is>
      </c>
      <c r="M1839" s="2" t="inlineStr">
        <is>
          <t>Manurewa</t>
        </is>
      </c>
      <c r="N1839" s="2" t="inlineStr">
        <is>
          <t>New Zealand</t>
        </is>
      </c>
      <c r="P1839" s="2" t="inlineStr">
        <is>
          <t>Operational Control</t>
        </is>
      </c>
      <c r="Q1839" s="2" t="inlineStr">
        <is>
          <t>Operational Control</t>
        </is>
      </c>
      <c r="R1839" s="2" t="inlineStr">
        <is>
          <t>Transport &amp; Infrastructure (T&amp;I)</t>
        </is>
      </c>
      <c r="S1839" s="2" t="inlineStr">
        <is>
          <t>Downer</t>
        </is>
      </c>
      <c r="T1839" s="2" t="n">
        <v>100</v>
      </c>
      <c r="W1839" s="2" t="inlineStr">
        <is>
          <t>Classification</t>
        </is>
      </c>
      <c r="X1839" s="2" t="n">
        <v>-37.0083</v>
      </c>
      <c r="Y1839" s="2" t="n">
        <v>174.8705</v>
      </c>
    </row>
    <row r="1840">
      <c r="A1840" s="2" t="inlineStr">
        <is>
          <t>Downer</t>
        </is>
      </c>
      <c r="B1840" s="2" t="inlineStr">
        <is>
          <t>Plant (NZTA Taranaki NOC)</t>
        </is>
      </c>
      <c r="C1840" s="2" t="inlineStr">
        <is>
          <t>Other</t>
        </is>
      </c>
      <c r="D1840" s="2" t="inlineStr">
        <is>
          <t>L9.DNZJ.55477</t>
        </is>
      </c>
      <c r="E1840" s="2" t="n">
        <v>55477</v>
      </c>
      <c r="H1840" s="2" t="inlineStr">
        <is>
          <t>130 Kerrs Road</t>
        </is>
      </c>
      <c r="I1840" s="2" t="inlineStr">
        <is>
          <t>Wiri</t>
        </is>
      </c>
      <c r="J1840" s="2" t="inlineStr">
        <is>
          <t>Auckland</t>
        </is>
      </c>
      <c r="K1840" s="2" t="n">
        <v>2104</v>
      </c>
      <c r="L1840" s="2" t="inlineStr">
        <is>
          <t>New Zealand</t>
        </is>
      </c>
      <c r="M1840" s="2" t="inlineStr">
        <is>
          <t>Manurewa</t>
        </is>
      </c>
      <c r="N1840" s="2" t="inlineStr">
        <is>
          <t>New Zealand</t>
        </is>
      </c>
      <c r="P1840" s="2" t="inlineStr">
        <is>
          <t>Operational Control</t>
        </is>
      </c>
      <c r="Q1840" s="2" t="inlineStr">
        <is>
          <t>Operational Control</t>
        </is>
      </c>
      <c r="R1840" s="2" t="inlineStr">
        <is>
          <t>Transport &amp; Infrastructure (T&amp;I)</t>
        </is>
      </c>
      <c r="S1840" s="2" t="inlineStr">
        <is>
          <t>Downer</t>
        </is>
      </c>
      <c r="T1840" s="2" t="n">
        <v>100</v>
      </c>
      <c r="W1840" s="2" t="inlineStr">
        <is>
          <t>Classification</t>
        </is>
      </c>
      <c r="X1840" s="2" t="n">
        <v>-37.0083</v>
      </c>
      <c r="Y1840" s="2" t="n">
        <v>174.8705</v>
      </c>
    </row>
    <row r="1841">
      <c r="A1841" s="2" t="inlineStr">
        <is>
          <t>Downer</t>
        </is>
      </c>
      <c r="B1841" s="2" t="inlineStr">
        <is>
          <t>Plant (Otago Maintenance)</t>
        </is>
      </c>
      <c r="C1841" s="2" t="inlineStr">
        <is>
          <t>Other</t>
        </is>
      </c>
      <c r="D1841" s="2" t="inlineStr">
        <is>
          <t>L9.DNZJ.55887</t>
        </is>
      </c>
      <c r="E1841" s="2" t="n">
        <v>55887</v>
      </c>
      <c r="H1841" s="2" t="inlineStr">
        <is>
          <t>130 Kerrs Road</t>
        </is>
      </c>
      <c r="I1841" s="2" t="inlineStr">
        <is>
          <t>Wiri</t>
        </is>
      </c>
      <c r="J1841" s="2" t="inlineStr">
        <is>
          <t>Auckland</t>
        </is>
      </c>
      <c r="K1841" s="2" t="n">
        <v>2104</v>
      </c>
      <c r="L1841" s="2" t="inlineStr">
        <is>
          <t>New Zealand</t>
        </is>
      </c>
      <c r="M1841" s="2" t="inlineStr">
        <is>
          <t>Manurewa</t>
        </is>
      </c>
      <c r="N1841" s="2" t="inlineStr">
        <is>
          <t>New Zealand</t>
        </is>
      </c>
      <c r="P1841" s="2" t="inlineStr">
        <is>
          <t>Operational Control</t>
        </is>
      </c>
      <c r="Q1841" s="2" t="inlineStr">
        <is>
          <t>Operational Control</t>
        </is>
      </c>
      <c r="R1841" s="2" t="inlineStr">
        <is>
          <t>Transport &amp; Infrastructure (T&amp;I)</t>
        </is>
      </c>
      <c r="S1841" s="2" t="inlineStr">
        <is>
          <t>Downer</t>
        </is>
      </c>
      <c r="T1841" s="2" t="n">
        <v>100</v>
      </c>
      <c r="W1841" s="2" t="inlineStr">
        <is>
          <t>Classification</t>
        </is>
      </c>
      <c r="X1841" s="2" t="n">
        <v>-37.0083</v>
      </c>
      <c r="Y1841" s="2" t="n">
        <v>174.8705</v>
      </c>
    </row>
    <row r="1842">
      <c r="A1842" s="2" t="inlineStr">
        <is>
          <t>Downer</t>
        </is>
      </c>
      <c r="B1842" s="2" t="inlineStr">
        <is>
          <t>Plant (Paeroa)</t>
        </is>
      </c>
      <c r="C1842" s="2" t="inlineStr">
        <is>
          <t>Other</t>
        </is>
      </c>
      <c r="D1842" s="2" t="inlineStr">
        <is>
          <t>L9.DNZJ.55813</t>
        </is>
      </c>
      <c r="E1842" s="2" t="n">
        <v>55813</v>
      </c>
      <c r="H1842" s="2" t="inlineStr">
        <is>
          <t>130 Kerrs Road</t>
        </is>
      </c>
      <c r="I1842" s="2" t="inlineStr">
        <is>
          <t>Wiri</t>
        </is>
      </c>
      <c r="J1842" s="2" t="inlineStr">
        <is>
          <t>Auckland</t>
        </is>
      </c>
      <c r="K1842" s="2" t="n">
        <v>2104</v>
      </c>
      <c r="L1842" s="2" t="inlineStr">
        <is>
          <t>New Zealand</t>
        </is>
      </c>
      <c r="M1842" s="2" t="inlineStr">
        <is>
          <t>Manurewa</t>
        </is>
      </c>
      <c r="N1842" s="2" t="inlineStr">
        <is>
          <t>New Zealand</t>
        </is>
      </c>
      <c r="P1842" s="2" t="inlineStr">
        <is>
          <t>Operational Control</t>
        </is>
      </c>
      <c r="Q1842" s="2" t="inlineStr">
        <is>
          <t>Operational Control</t>
        </is>
      </c>
      <c r="R1842" s="2" t="inlineStr">
        <is>
          <t>Transport &amp; Infrastructure (T&amp;I)</t>
        </is>
      </c>
      <c r="S1842" s="2" t="inlineStr">
        <is>
          <t>Downer</t>
        </is>
      </c>
      <c r="T1842" s="2" t="n">
        <v>100</v>
      </c>
      <c r="W1842" s="2" t="inlineStr">
        <is>
          <t>Classification</t>
        </is>
      </c>
      <c r="X1842" s="2" t="n">
        <v>-37.0083</v>
      </c>
      <c r="Y1842" s="2" t="n">
        <v>174.8705</v>
      </c>
    </row>
    <row r="1843">
      <c r="A1843" s="2" t="inlineStr">
        <is>
          <t>Downer</t>
        </is>
      </c>
      <c r="B1843" s="2" t="inlineStr">
        <is>
          <t>Plant (Pavement Services)</t>
        </is>
      </c>
      <c r="C1843" s="2" t="inlineStr">
        <is>
          <t>Other</t>
        </is>
      </c>
      <c r="D1843" s="2" t="inlineStr">
        <is>
          <t>L9.DNZJ.55839</t>
        </is>
      </c>
      <c r="E1843" s="2" t="n">
        <v>55839</v>
      </c>
      <c r="H1843" s="2" t="inlineStr">
        <is>
          <t>130 Kerrs Road</t>
        </is>
      </c>
      <c r="I1843" s="2" t="inlineStr">
        <is>
          <t>Wiri</t>
        </is>
      </c>
      <c r="J1843" s="2" t="inlineStr">
        <is>
          <t>Auckland</t>
        </is>
      </c>
      <c r="K1843" s="2" t="n">
        <v>2104</v>
      </c>
      <c r="L1843" s="2" t="inlineStr">
        <is>
          <t>New Zealand</t>
        </is>
      </c>
      <c r="M1843" s="2" t="inlineStr">
        <is>
          <t>Manurewa</t>
        </is>
      </c>
      <c r="N1843" s="2" t="inlineStr">
        <is>
          <t>New Zealand</t>
        </is>
      </c>
      <c r="P1843" s="2" t="inlineStr">
        <is>
          <t>Operational Control</t>
        </is>
      </c>
      <c r="Q1843" s="2" t="inlineStr">
        <is>
          <t>Operational Control</t>
        </is>
      </c>
      <c r="R1843" s="2" t="inlineStr">
        <is>
          <t>Transport &amp; Infrastructure (T&amp;I)</t>
        </is>
      </c>
      <c r="S1843" s="2" t="inlineStr">
        <is>
          <t>Downer</t>
        </is>
      </c>
      <c r="T1843" s="2" t="n">
        <v>100</v>
      </c>
      <c r="W1843" s="2" t="inlineStr">
        <is>
          <t>Classification</t>
        </is>
      </c>
      <c r="X1843" s="2" t="n">
        <v>-37.0083</v>
      </c>
      <c r="Y1843" s="2" t="n">
        <v>174.8705</v>
      </c>
    </row>
    <row r="1844">
      <c r="A1844" s="2" t="inlineStr">
        <is>
          <t>Downer</t>
        </is>
      </c>
      <c r="B1844" s="2" t="inlineStr">
        <is>
          <t>Plant (Paving - BOP)</t>
        </is>
      </c>
      <c r="C1844" s="2" t="inlineStr">
        <is>
          <t>Other</t>
        </is>
      </c>
      <c r="D1844" s="2" t="inlineStr">
        <is>
          <t>L9.DNZJ.54817</t>
        </is>
      </c>
      <c r="E1844" s="2" t="n">
        <v>54817</v>
      </c>
      <c r="H1844" s="2" t="inlineStr">
        <is>
          <t>130 Kerrs Road</t>
        </is>
      </c>
      <c r="I1844" s="2" t="inlineStr">
        <is>
          <t>Wiri</t>
        </is>
      </c>
      <c r="J1844" s="2" t="inlineStr">
        <is>
          <t>Auckland</t>
        </is>
      </c>
      <c r="K1844" s="2" t="n">
        <v>2104</v>
      </c>
      <c r="L1844" s="2" t="inlineStr">
        <is>
          <t>New Zealand</t>
        </is>
      </c>
      <c r="M1844" s="2" t="inlineStr">
        <is>
          <t>Manurewa</t>
        </is>
      </c>
      <c r="N1844" s="2" t="inlineStr">
        <is>
          <t>New Zealand</t>
        </is>
      </c>
      <c r="P1844" s="2" t="inlineStr">
        <is>
          <t>Operational Control</t>
        </is>
      </c>
      <c r="Q1844" s="2" t="inlineStr">
        <is>
          <t>Operational Control</t>
        </is>
      </c>
      <c r="R1844" s="2" t="inlineStr">
        <is>
          <t>Transport &amp; Infrastructure (T&amp;I)</t>
        </is>
      </c>
      <c r="S1844" s="2" t="inlineStr">
        <is>
          <t>Downer</t>
        </is>
      </c>
      <c r="T1844" s="2" t="n">
        <v>100</v>
      </c>
      <c r="W1844" s="2" t="inlineStr">
        <is>
          <t>Classification</t>
        </is>
      </c>
      <c r="X1844" s="2" t="n">
        <v>-37.0083</v>
      </c>
      <c r="Y1844" s="2" t="n">
        <v>174.8705</v>
      </c>
    </row>
    <row r="1845">
      <c r="A1845" s="2" t="inlineStr">
        <is>
          <t>Downer</t>
        </is>
      </c>
      <c r="B1845" s="2" t="inlineStr">
        <is>
          <t>Plant (Paving - CHCH)</t>
        </is>
      </c>
      <c r="C1845" s="2" t="inlineStr">
        <is>
          <t>Other</t>
        </is>
      </c>
      <c r="D1845" s="2" t="inlineStr">
        <is>
          <t>L9.DNZJ.55896</t>
        </is>
      </c>
      <c r="E1845" s="2" t="n">
        <v>55896</v>
      </c>
      <c r="H1845" s="2" t="inlineStr">
        <is>
          <t>130 Kerrs Road</t>
        </is>
      </c>
      <c r="I1845" s="2" t="inlineStr">
        <is>
          <t>Wiri</t>
        </is>
      </c>
      <c r="J1845" s="2" t="inlineStr">
        <is>
          <t>Auckland</t>
        </is>
      </c>
      <c r="K1845" s="2" t="n">
        <v>2104</v>
      </c>
      <c r="L1845" s="2" t="inlineStr">
        <is>
          <t>New Zealand</t>
        </is>
      </c>
      <c r="M1845" s="2" t="inlineStr">
        <is>
          <t>Manurewa</t>
        </is>
      </c>
      <c r="N1845" s="2" t="inlineStr">
        <is>
          <t>New Zealand</t>
        </is>
      </c>
      <c r="P1845" s="2" t="inlineStr">
        <is>
          <t>Operational Control</t>
        </is>
      </c>
      <c r="Q1845" s="2" t="inlineStr">
        <is>
          <t>Operational Control</t>
        </is>
      </c>
      <c r="R1845" s="2" t="inlineStr">
        <is>
          <t>Transport &amp; Infrastructure (T&amp;I)</t>
        </is>
      </c>
      <c r="S1845" s="2" t="inlineStr">
        <is>
          <t>Downer</t>
        </is>
      </c>
      <c r="T1845" s="2" t="n">
        <v>100</v>
      </c>
      <c r="W1845" s="2" t="inlineStr">
        <is>
          <t>Classification</t>
        </is>
      </c>
      <c r="X1845" s="2" t="n">
        <v>-37.0083</v>
      </c>
      <c r="Y1845" s="2" t="n">
        <v>174.8705</v>
      </c>
    </row>
    <row r="1846">
      <c r="A1846" s="2" t="inlineStr">
        <is>
          <t>Downer</t>
        </is>
      </c>
      <c r="B1846" s="2" t="inlineStr">
        <is>
          <t>Plant (Paving - Otago/Sthld)</t>
        </is>
      </c>
      <c r="C1846" s="2" t="inlineStr">
        <is>
          <t>Other</t>
        </is>
      </c>
      <c r="D1846" s="2" t="inlineStr">
        <is>
          <t>L9.DNZJ.55892</t>
        </is>
      </c>
      <c r="E1846" s="2" t="n">
        <v>55892</v>
      </c>
      <c r="H1846" s="2" t="inlineStr">
        <is>
          <t>130 Kerrs Road</t>
        </is>
      </c>
      <c r="I1846" s="2" t="inlineStr">
        <is>
          <t>Wiri</t>
        </is>
      </c>
      <c r="J1846" s="2" t="inlineStr">
        <is>
          <t>Auckland</t>
        </is>
      </c>
      <c r="K1846" s="2" t="n">
        <v>2104</v>
      </c>
      <c r="L1846" s="2" t="inlineStr">
        <is>
          <t>New Zealand</t>
        </is>
      </c>
      <c r="M1846" s="2" t="inlineStr">
        <is>
          <t>Manurewa</t>
        </is>
      </c>
      <c r="N1846" s="2" t="inlineStr">
        <is>
          <t>New Zealand</t>
        </is>
      </c>
      <c r="P1846" s="2" t="inlineStr">
        <is>
          <t>Operational Control</t>
        </is>
      </c>
      <c r="Q1846" s="2" t="inlineStr">
        <is>
          <t>Operational Control</t>
        </is>
      </c>
      <c r="R1846" s="2" t="inlineStr">
        <is>
          <t>Transport &amp; Infrastructure (T&amp;I)</t>
        </is>
      </c>
      <c r="S1846" s="2" t="inlineStr">
        <is>
          <t>Downer</t>
        </is>
      </c>
      <c r="T1846" s="2" t="n">
        <v>100</v>
      </c>
      <c r="W1846" s="2" t="inlineStr">
        <is>
          <t>Classification</t>
        </is>
      </c>
      <c r="X1846" s="2" t="n">
        <v>-37.0083</v>
      </c>
      <c r="Y1846" s="2" t="n">
        <v>174.8705</v>
      </c>
    </row>
    <row r="1847">
      <c r="A1847" s="2" t="inlineStr">
        <is>
          <t>Downer</t>
        </is>
      </c>
      <c r="B1847" s="2" t="inlineStr">
        <is>
          <t>Plant (Paving - Waikato)</t>
        </is>
      </c>
      <c r="C1847" s="2" t="inlineStr">
        <is>
          <t>Other</t>
        </is>
      </c>
      <c r="D1847" s="2" t="inlineStr">
        <is>
          <t>L9.DNZJ.55838</t>
        </is>
      </c>
      <c r="E1847" s="2" t="n">
        <v>55838</v>
      </c>
      <c r="H1847" s="2" t="inlineStr">
        <is>
          <t>130 Kerrs Road</t>
        </is>
      </c>
      <c r="I1847" s="2" t="inlineStr">
        <is>
          <t>Wiri</t>
        </is>
      </c>
      <c r="J1847" s="2" t="inlineStr">
        <is>
          <t>Auckland</t>
        </is>
      </c>
      <c r="K1847" s="2" t="n">
        <v>2104</v>
      </c>
      <c r="L1847" s="2" t="inlineStr">
        <is>
          <t>New Zealand</t>
        </is>
      </c>
      <c r="M1847" s="2" t="inlineStr">
        <is>
          <t>Manurewa</t>
        </is>
      </c>
      <c r="N1847" s="2" t="inlineStr">
        <is>
          <t>New Zealand</t>
        </is>
      </c>
      <c r="P1847" s="2" t="inlineStr">
        <is>
          <t>Operational Control</t>
        </is>
      </c>
      <c r="Q1847" s="2" t="inlineStr">
        <is>
          <t>Operational Control</t>
        </is>
      </c>
      <c r="R1847" s="2" t="inlineStr">
        <is>
          <t>Transport &amp; Infrastructure (T&amp;I)</t>
        </is>
      </c>
      <c r="S1847" s="2" t="inlineStr">
        <is>
          <t>Downer</t>
        </is>
      </c>
      <c r="T1847" s="2" t="n">
        <v>100</v>
      </c>
      <c r="W1847" s="2" t="inlineStr">
        <is>
          <t>Classification</t>
        </is>
      </c>
      <c r="X1847" s="2" t="n">
        <v>-37.0083</v>
      </c>
      <c r="Y1847" s="2" t="n">
        <v>174.8705</v>
      </c>
    </row>
    <row r="1848">
      <c r="A1848" s="2" t="inlineStr">
        <is>
          <t>Downer</t>
        </is>
      </c>
      <c r="B1848" s="2" t="inlineStr">
        <is>
          <t>Plant (Paving - Wellington)</t>
        </is>
      </c>
      <c r="C1848" s="2" t="inlineStr">
        <is>
          <t>Other</t>
        </is>
      </c>
      <c r="D1848" s="2" t="inlineStr">
        <is>
          <t>L9.DNZJ.55863</t>
        </is>
      </c>
      <c r="E1848" s="2" t="n">
        <v>55863</v>
      </c>
      <c r="H1848" s="2" t="inlineStr">
        <is>
          <t>130 Kerrs Road</t>
        </is>
      </c>
      <c r="I1848" s="2" t="inlineStr">
        <is>
          <t>Wiri</t>
        </is>
      </c>
      <c r="J1848" s="2" t="inlineStr">
        <is>
          <t>Auckland</t>
        </is>
      </c>
      <c r="K1848" s="2" t="n">
        <v>2104</v>
      </c>
      <c r="L1848" s="2" t="inlineStr">
        <is>
          <t>New Zealand</t>
        </is>
      </c>
      <c r="M1848" s="2" t="inlineStr">
        <is>
          <t>Manurewa</t>
        </is>
      </c>
      <c r="N1848" s="2" t="inlineStr">
        <is>
          <t>New Zealand</t>
        </is>
      </c>
      <c r="P1848" s="2" t="inlineStr">
        <is>
          <t>Operational Control</t>
        </is>
      </c>
      <c r="Q1848" s="2" t="inlineStr">
        <is>
          <t>Operational Control</t>
        </is>
      </c>
      <c r="R1848" s="2" t="inlineStr">
        <is>
          <t>Transport &amp; Infrastructure (T&amp;I)</t>
        </is>
      </c>
      <c r="S1848" s="2" t="inlineStr">
        <is>
          <t>Downer</t>
        </is>
      </c>
      <c r="T1848" s="2" t="n">
        <v>100</v>
      </c>
      <c r="W1848" s="2" t="inlineStr">
        <is>
          <t>Classification</t>
        </is>
      </c>
      <c r="X1848" s="2" t="n">
        <v>-37.0083</v>
      </c>
      <c r="Y1848" s="2" t="n">
        <v>174.8705</v>
      </c>
    </row>
    <row r="1849">
      <c r="A1849" s="2" t="inlineStr">
        <is>
          <t>Downer</t>
        </is>
      </c>
      <c r="B1849" s="2" t="inlineStr">
        <is>
          <t>Plant (PCC Wgtn)</t>
        </is>
      </c>
      <c r="C1849" s="2" t="inlineStr">
        <is>
          <t>Other</t>
        </is>
      </c>
      <c r="D1849" s="2" t="inlineStr">
        <is>
          <t>L9.DNZJ.55817</t>
        </is>
      </c>
      <c r="E1849" s="2" t="n">
        <v>55817</v>
      </c>
      <c r="H1849" s="2" t="inlineStr">
        <is>
          <t>130 Kerrs Road</t>
        </is>
      </c>
      <c r="I1849" s="2" t="inlineStr">
        <is>
          <t>Wiri</t>
        </is>
      </c>
      <c r="J1849" s="2" t="inlineStr">
        <is>
          <t>Auckland</t>
        </is>
      </c>
      <c r="K1849" s="2" t="n">
        <v>2104</v>
      </c>
      <c r="L1849" s="2" t="inlineStr">
        <is>
          <t>New Zealand</t>
        </is>
      </c>
      <c r="M1849" s="2" t="inlineStr">
        <is>
          <t>Manurewa</t>
        </is>
      </c>
      <c r="N1849" s="2" t="inlineStr">
        <is>
          <t>New Zealand</t>
        </is>
      </c>
      <c r="P1849" s="2" t="inlineStr">
        <is>
          <t>Operational Control</t>
        </is>
      </c>
      <c r="Q1849" s="2" t="inlineStr">
        <is>
          <t>Operational Control</t>
        </is>
      </c>
      <c r="R1849" s="2" t="inlineStr">
        <is>
          <t>Transport &amp; Infrastructure (T&amp;I)</t>
        </is>
      </c>
      <c r="S1849" s="2" t="inlineStr">
        <is>
          <t>Downer</t>
        </is>
      </c>
      <c r="T1849" s="2" t="n">
        <v>100</v>
      </c>
      <c r="W1849" s="2" t="inlineStr">
        <is>
          <t>Classification</t>
        </is>
      </c>
      <c r="X1849" s="2" t="n">
        <v>-37.0083</v>
      </c>
      <c r="Y1849" s="2" t="n">
        <v>174.8705</v>
      </c>
    </row>
    <row r="1850">
      <c r="A1850" s="2" t="inlineStr">
        <is>
          <t>Downer</t>
        </is>
      </c>
      <c r="B1850" s="2" t="inlineStr">
        <is>
          <t>Plant (Queenstown)</t>
        </is>
      </c>
      <c r="C1850" s="2" t="inlineStr">
        <is>
          <t>Other</t>
        </is>
      </c>
      <c r="D1850" s="2" t="inlineStr">
        <is>
          <t>L9.DNZJ.55885</t>
        </is>
      </c>
      <c r="E1850" s="2" t="n">
        <v>55885</v>
      </c>
      <c r="H1850" s="2" t="inlineStr">
        <is>
          <t>130 Kerrs Road</t>
        </is>
      </c>
      <c r="I1850" s="2" t="inlineStr">
        <is>
          <t>Wiri</t>
        </is>
      </c>
      <c r="J1850" s="2" t="inlineStr">
        <is>
          <t>Auckland</t>
        </is>
      </c>
      <c r="K1850" s="2" t="n">
        <v>2104</v>
      </c>
      <c r="L1850" s="2" t="inlineStr">
        <is>
          <t>New Zealand</t>
        </is>
      </c>
      <c r="M1850" s="2" t="inlineStr">
        <is>
          <t>Manurewa</t>
        </is>
      </c>
      <c r="N1850" s="2" t="inlineStr">
        <is>
          <t>New Zealand</t>
        </is>
      </c>
      <c r="P1850" s="2" t="inlineStr">
        <is>
          <t>Operational Control</t>
        </is>
      </c>
      <c r="Q1850" s="2" t="inlineStr">
        <is>
          <t>Operational Control</t>
        </is>
      </c>
      <c r="R1850" s="2" t="inlineStr">
        <is>
          <t>Transport &amp; Infrastructure (T&amp;I)</t>
        </is>
      </c>
      <c r="S1850" s="2" t="inlineStr">
        <is>
          <t>Downer</t>
        </is>
      </c>
      <c r="T1850" s="2" t="n">
        <v>100</v>
      </c>
      <c r="W1850" s="2" t="inlineStr">
        <is>
          <t>Classification</t>
        </is>
      </c>
      <c r="X1850" s="2" t="n">
        <v>-37.0083</v>
      </c>
      <c r="Y1850" s="2" t="n">
        <v>174.8705</v>
      </c>
    </row>
    <row r="1851">
      <c r="A1851" s="2" t="inlineStr">
        <is>
          <t>Downer</t>
        </is>
      </c>
      <c r="B1851" s="2" t="inlineStr">
        <is>
          <t>Plant (Rangitikei)</t>
        </is>
      </c>
      <c r="C1851" s="2" t="inlineStr">
        <is>
          <t>Other</t>
        </is>
      </c>
      <c r="D1851" s="2" t="inlineStr">
        <is>
          <t>L9.DNZJ.54876</t>
        </is>
      </c>
      <c r="E1851" s="2" t="n">
        <v>54876</v>
      </c>
      <c r="M1851" s="2" t="inlineStr">
        <is>
          <t>Whangarei</t>
        </is>
      </c>
      <c r="N1851" s="2" t="inlineStr">
        <is>
          <t>New Zealand</t>
        </is>
      </c>
      <c r="P1851" s="2" t="inlineStr">
        <is>
          <t>Operational Control</t>
        </is>
      </c>
      <c r="Q1851" s="2" t="inlineStr">
        <is>
          <t>Operational Control</t>
        </is>
      </c>
      <c r="R1851" s="2" t="inlineStr">
        <is>
          <t>Transport &amp; Infrastructure (T&amp;I)</t>
        </is>
      </c>
      <c r="S1851" s="2" t="inlineStr">
        <is>
          <t>Downer</t>
        </is>
      </c>
      <c r="T1851" s="2" t="n">
        <v>100</v>
      </c>
      <c r="W1851" s="2" t="inlineStr">
        <is>
          <t>Classification</t>
        </is>
      </c>
    </row>
    <row r="1852">
      <c r="A1852" s="2" t="inlineStr">
        <is>
          <t>Downer</t>
        </is>
      </c>
      <c r="B1852" s="2" t="inlineStr">
        <is>
          <t>Plant (RM Wgtn)</t>
        </is>
      </c>
      <c r="C1852" s="2" t="inlineStr">
        <is>
          <t>Other</t>
        </is>
      </c>
      <c r="D1852" s="2" t="inlineStr">
        <is>
          <t>L9.DNZJ.55819</t>
        </is>
      </c>
      <c r="E1852" s="2" t="n">
        <v>55819</v>
      </c>
      <c r="H1852" s="2" t="inlineStr">
        <is>
          <t>130 Kerrs Road</t>
        </is>
      </c>
      <c r="I1852" s="2" t="inlineStr">
        <is>
          <t>Wiri</t>
        </is>
      </c>
      <c r="J1852" s="2" t="inlineStr">
        <is>
          <t>Auckland</t>
        </is>
      </c>
      <c r="K1852" s="2" t="n">
        <v>2104</v>
      </c>
      <c r="L1852" s="2" t="inlineStr">
        <is>
          <t>New Zealand</t>
        </is>
      </c>
      <c r="M1852" s="2" t="inlineStr">
        <is>
          <t>Manurewa</t>
        </is>
      </c>
      <c r="N1852" s="2" t="inlineStr">
        <is>
          <t>New Zealand</t>
        </is>
      </c>
      <c r="P1852" s="2" t="inlineStr">
        <is>
          <t>Operational Control</t>
        </is>
      </c>
      <c r="Q1852" s="2" t="inlineStr">
        <is>
          <t>Operational Control</t>
        </is>
      </c>
      <c r="R1852" s="2" t="inlineStr">
        <is>
          <t>Transport &amp; Infrastructure (T&amp;I)</t>
        </is>
      </c>
      <c r="S1852" s="2" t="inlineStr">
        <is>
          <t>Downer</t>
        </is>
      </c>
      <c r="T1852" s="2" t="n">
        <v>100</v>
      </c>
      <c r="W1852" s="2" t="inlineStr">
        <is>
          <t>Classification</t>
        </is>
      </c>
      <c r="X1852" s="2" t="n">
        <v>-37.0083</v>
      </c>
      <c r="Y1852" s="2" t="n">
        <v>174.8705</v>
      </c>
    </row>
    <row r="1853">
      <c r="A1853" s="2" t="inlineStr">
        <is>
          <t>Downer</t>
        </is>
      </c>
      <c r="B1853" s="2" t="inlineStr">
        <is>
          <t>Plant (Roadmarking Nthland)</t>
        </is>
      </c>
      <c r="C1853" s="2" t="inlineStr">
        <is>
          <t>Other</t>
        </is>
      </c>
      <c r="D1853" s="2" t="inlineStr">
        <is>
          <t>L9.DNZJ.55827</t>
        </is>
      </c>
      <c r="E1853" s="2" t="n">
        <v>55827</v>
      </c>
      <c r="H1853" s="2" t="inlineStr">
        <is>
          <t>130 Kerrs Road</t>
        </is>
      </c>
      <c r="I1853" s="2" t="inlineStr">
        <is>
          <t>Wiri</t>
        </is>
      </c>
      <c r="J1853" s="2" t="inlineStr">
        <is>
          <t>Auckland</t>
        </is>
      </c>
      <c r="K1853" s="2" t="n">
        <v>2104</v>
      </c>
      <c r="L1853" s="2" t="inlineStr">
        <is>
          <t>New Zealand</t>
        </is>
      </c>
      <c r="M1853" s="2" t="inlineStr">
        <is>
          <t>Manurewa</t>
        </is>
      </c>
      <c r="N1853" s="2" t="inlineStr">
        <is>
          <t>New Zealand</t>
        </is>
      </c>
      <c r="P1853" s="2" t="inlineStr">
        <is>
          <t>Operational Control</t>
        </is>
      </c>
      <c r="Q1853" s="2" t="inlineStr">
        <is>
          <t>Operational Control</t>
        </is>
      </c>
      <c r="R1853" s="2" t="inlineStr">
        <is>
          <t>Transport &amp; Infrastructure (T&amp;I)</t>
        </is>
      </c>
      <c r="S1853" s="2" t="inlineStr">
        <is>
          <t>Downer</t>
        </is>
      </c>
      <c r="T1853" s="2" t="n">
        <v>100</v>
      </c>
      <c r="W1853" s="2" t="inlineStr">
        <is>
          <t>Classification</t>
        </is>
      </c>
      <c r="X1853" s="2" t="n">
        <v>-37.0083</v>
      </c>
      <c r="Y1853" s="2" t="n">
        <v>174.8705</v>
      </c>
    </row>
    <row r="1854">
      <c r="A1854" s="2" t="inlineStr">
        <is>
          <t>Downer</t>
        </is>
      </c>
      <c r="B1854" s="2" t="inlineStr">
        <is>
          <t>Plant (Roadmarking TKI)</t>
        </is>
      </c>
      <c r="C1854" s="2" t="inlineStr">
        <is>
          <t>Other</t>
        </is>
      </c>
      <c r="D1854" s="2" t="inlineStr">
        <is>
          <t>L9.DNZJ.55487</t>
        </is>
      </c>
      <c r="E1854" s="2" t="n">
        <v>55487</v>
      </c>
      <c r="H1854" s="2" t="inlineStr">
        <is>
          <t>130 Kerrs Road</t>
        </is>
      </c>
      <c r="I1854" s="2" t="inlineStr">
        <is>
          <t>Wiri</t>
        </is>
      </c>
      <c r="J1854" s="2" t="inlineStr">
        <is>
          <t>Auckland</t>
        </is>
      </c>
      <c r="K1854" s="2" t="n">
        <v>2104</v>
      </c>
      <c r="L1854" s="2" t="inlineStr">
        <is>
          <t>New Zealand</t>
        </is>
      </c>
      <c r="M1854" s="2" t="inlineStr">
        <is>
          <t>Manurewa</t>
        </is>
      </c>
      <c r="N1854" s="2" t="inlineStr">
        <is>
          <t>New Zealand</t>
        </is>
      </c>
      <c r="P1854" s="2" t="inlineStr">
        <is>
          <t>Operational Control</t>
        </is>
      </c>
      <c r="Q1854" s="2" t="inlineStr">
        <is>
          <t>Operational Control</t>
        </is>
      </c>
      <c r="R1854" s="2" t="inlineStr">
        <is>
          <t>Transport &amp; Infrastructure (T&amp;I)</t>
        </is>
      </c>
      <c r="S1854" s="2" t="inlineStr">
        <is>
          <t>Downer</t>
        </is>
      </c>
      <c r="T1854" s="2" t="n">
        <v>100</v>
      </c>
      <c r="W1854" s="2" t="inlineStr">
        <is>
          <t>Classification</t>
        </is>
      </c>
      <c r="X1854" s="2" t="n">
        <v>-37.0083</v>
      </c>
      <c r="Y1854" s="2" t="n">
        <v>174.8705</v>
      </c>
    </row>
    <row r="1855">
      <c r="A1855" s="2" t="inlineStr">
        <is>
          <t>Downer</t>
        </is>
      </c>
      <c r="B1855" s="2" t="inlineStr">
        <is>
          <t>Plant (Roadmarking)</t>
        </is>
      </c>
      <c r="C1855" s="2" t="inlineStr">
        <is>
          <t>Other</t>
        </is>
      </c>
      <c r="D1855" s="2" t="inlineStr">
        <is>
          <t>L9.DNZJ.55476</t>
        </is>
      </c>
      <c r="E1855" s="2" t="n">
        <v>55476</v>
      </c>
      <c r="H1855" s="2" t="inlineStr">
        <is>
          <t>130 Kerrs Road</t>
        </is>
      </c>
      <c r="I1855" s="2" t="inlineStr">
        <is>
          <t>Wiri</t>
        </is>
      </c>
      <c r="J1855" s="2" t="inlineStr">
        <is>
          <t>Auckland</t>
        </is>
      </c>
      <c r="K1855" s="2" t="n">
        <v>2104</v>
      </c>
      <c r="L1855" s="2" t="inlineStr">
        <is>
          <t>New Zealand</t>
        </is>
      </c>
      <c r="M1855" s="2" t="inlineStr">
        <is>
          <t>Manurewa</t>
        </is>
      </c>
      <c r="N1855" s="2" t="inlineStr">
        <is>
          <t>New Zealand</t>
        </is>
      </c>
      <c r="P1855" s="2" t="inlineStr">
        <is>
          <t>Operational Control</t>
        </is>
      </c>
      <c r="Q1855" s="2" t="inlineStr">
        <is>
          <t>Operational Control</t>
        </is>
      </c>
      <c r="R1855" s="2" t="inlineStr">
        <is>
          <t>Transport &amp; Infrastructure (T&amp;I)</t>
        </is>
      </c>
      <c r="S1855" s="2" t="inlineStr">
        <is>
          <t>Downer</t>
        </is>
      </c>
      <c r="T1855" s="2" t="n">
        <v>100</v>
      </c>
      <c r="W1855" s="2" t="inlineStr">
        <is>
          <t>Classification</t>
        </is>
      </c>
      <c r="X1855" s="2" t="n">
        <v>-37.0083</v>
      </c>
      <c r="Y1855" s="2" t="n">
        <v>174.8705</v>
      </c>
    </row>
    <row r="1856">
      <c r="A1856" s="2" t="inlineStr">
        <is>
          <t>Downer</t>
        </is>
      </c>
      <c r="B1856" s="2" t="inlineStr">
        <is>
          <t>Plant (Sealing - CHCH)</t>
        </is>
      </c>
      <c r="C1856" s="2" t="inlineStr">
        <is>
          <t>Other</t>
        </is>
      </c>
      <c r="D1856" s="2" t="inlineStr">
        <is>
          <t>L9.DNZJ.55898</t>
        </is>
      </c>
      <c r="E1856" s="2" t="n">
        <v>55898</v>
      </c>
      <c r="H1856" s="2" t="inlineStr">
        <is>
          <t>130 Kerrs Road</t>
        </is>
      </c>
      <c r="I1856" s="2" t="inlineStr">
        <is>
          <t>Wiri</t>
        </is>
      </c>
      <c r="J1856" s="2" t="inlineStr">
        <is>
          <t>Auckland</t>
        </is>
      </c>
      <c r="K1856" s="2" t="n">
        <v>2104</v>
      </c>
      <c r="L1856" s="2" t="inlineStr">
        <is>
          <t>New Zealand</t>
        </is>
      </c>
      <c r="M1856" s="2" t="inlineStr">
        <is>
          <t>Manurewa</t>
        </is>
      </c>
      <c r="N1856" s="2" t="inlineStr">
        <is>
          <t>New Zealand</t>
        </is>
      </c>
      <c r="P1856" s="2" t="inlineStr">
        <is>
          <t>Operational Control</t>
        </is>
      </c>
      <c r="Q1856" s="2" t="inlineStr">
        <is>
          <t>Operational Control</t>
        </is>
      </c>
      <c r="R1856" s="2" t="inlineStr">
        <is>
          <t>Transport &amp; Infrastructure (T&amp;I)</t>
        </is>
      </c>
      <c r="S1856" s="2" t="inlineStr">
        <is>
          <t>Downer</t>
        </is>
      </c>
      <c r="T1856" s="2" t="n">
        <v>100</v>
      </c>
      <c r="W1856" s="2" t="inlineStr">
        <is>
          <t>Classification</t>
        </is>
      </c>
      <c r="X1856" s="2" t="n">
        <v>-37.0083</v>
      </c>
      <c r="Y1856" s="2" t="n">
        <v>174.8705</v>
      </c>
    </row>
    <row r="1857">
      <c r="A1857" s="2" t="inlineStr">
        <is>
          <t>Downer</t>
        </is>
      </c>
      <c r="B1857" s="2" t="inlineStr">
        <is>
          <t>Plant (Sealing - Hawkes Bay)</t>
        </is>
      </c>
      <c r="C1857" s="2" t="inlineStr">
        <is>
          <t>Other</t>
        </is>
      </c>
      <c r="D1857" s="2" t="inlineStr">
        <is>
          <t>L9.DNZJ.55862</t>
        </is>
      </c>
      <c r="E1857" s="2" t="n">
        <v>55862</v>
      </c>
      <c r="H1857" s="2" t="inlineStr">
        <is>
          <t>130 Kerrs Road</t>
        </is>
      </c>
      <c r="I1857" s="2" t="inlineStr">
        <is>
          <t>Wiri</t>
        </is>
      </c>
      <c r="J1857" s="2" t="inlineStr">
        <is>
          <t>Auckland</t>
        </is>
      </c>
      <c r="K1857" s="2" t="n">
        <v>2104</v>
      </c>
      <c r="L1857" s="2" t="inlineStr">
        <is>
          <t>New Zealand</t>
        </is>
      </c>
      <c r="M1857" s="2" t="inlineStr">
        <is>
          <t>Manurewa</t>
        </is>
      </c>
      <c r="N1857" s="2" t="inlineStr">
        <is>
          <t>New Zealand</t>
        </is>
      </c>
      <c r="P1857" s="2" t="inlineStr">
        <is>
          <t>Operational Control</t>
        </is>
      </c>
      <c r="Q1857" s="2" t="inlineStr">
        <is>
          <t>Operational Control</t>
        </is>
      </c>
      <c r="R1857" s="2" t="inlineStr">
        <is>
          <t>Transport &amp; Infrastructure (T&amp;I)</t>
        </is>
      </c>
      <c r="S1857" s="2" t="inlineStr">
        <is>
          <t>Downer</t>
        </is>
      </c>
      <c r="T1857" s="2" t="n">
        <v>100</v>
      </c>
      <c r="W1857" s="2" t="inlineStr">
        <is>
          <t>Classification</t>
        </is>
      </c>
      <c r="X1857" s="2" t="n">
        <v>-37.0083</v>
      </c>
      <c r="Y1857" s="2" t="n">
        <v>174.8705</v>
      </c>
    </row>
    <row r="1858">
      <c r="A1858" s="2" t="inlineStr">
        <is>
          <t>Downer</t>
        </is>
      </c>
      <c r="B1858" s="2" t="inlineStr">
        <is>
          <t>Plant (Sealing - Otago/South)</t>
        </is>
      </c>
      <c r="C1858" s="2" t="inlineStr">
        <is>
          <t>Other</t>
        </is>
      </c>
      <c r="D1858" s="2" t="inlineStr">
        <is>
          <t>L9.DNZJ.55895</t>
        </is>
      </c>
      <c r="E1858" s="2" t="n">
        <v>55895</v>
      </c>
      <c r="H1858" s="2" t="inlineStr">
        <is>
          <t>130 Kerrs Road</t>
        </is>
      </c>
      <c r="I1858" s="2" t="inlineStr">
        <is>
          <t>Wiri</t>
        </is>
      </c>
      <c r="J1858" s="2" t="inlineStr">
        <is>
          <t>Auckland</t>
        </is>
      </c>
      <c r="K1858" s="2" t="n">
        <v>2104</v>
      </c>
      <c r="L1858" s="2" t="inlineStr">
        <is>
          <t>New Zealand</t>
        </is>
      </c>
      <c r="M1858" s="2" t="inlineStr">
        <is>
          <t>Manurewa</t>
        </is>
      </c>
      <c r="N1858" s="2" t="inlineStr">
        <is>
          <t>New Zealand</t>
        </is>
      </c>
      <c r="P1858" s="2" t="inlineStr">
        <is>
          <t>Operational Control</t>
        </is>
      </c>
      <c r="Q1858" s="2" t="inlineStr">
        <is>
          <t>Operational Control</t>
        </is>
      </c>
      <c r="R1858" s="2" t="inlineStr">
        <is>
          <t>Transport &amp; Infrastructure (T&amp;I)</t>
        </is>
      </c>
      <c r="S1858" s="2" t="inlineStr">
        <is>
          <t>Downer</t>
        </is>
      </c>
      <c r="T1858" s="2" t="n">
        <v>100</v>
      </c>
      <c r="W1858" s="2" t="inlineStr">
        <is>
          <t>Classification</t>
        </is>
      </c>
      <c r="X1858" s="2" t="n">
        <v>-37.0083</v>
      </c>
      <c r="Y1858" s="2" t="n">
        <v>174.8705</v>
      </c>
    </row>
    <row r="1859">
      <c r="A1859" s="2" t="inlineStr">
        <is>
          <t>Downer</t>
        </is>
      </c>
      <c r="B1859" s="2" t="inlineStr">
        <is>
          <t>Plant (Sealing - Taranaki)</t>
        </is>
      </c>
      <c r="C1859" s="2" t="inlineStr">
        <is>
          <t>Other</t>
        </is>
      </c>
      <c r="D1859" s="2" t="inlineStr">
        <is>
          <t>L9.DNZJ.55860</t>
        </is>
      </c>
      <c r="E1859" s="2" t="n">
        <v>55860</v>
      </c>
      <c r="H1859" s="2" t="inlineStr">
        <is>
          <t>130 Kerrs Road</t>
        </is>
      </c>
      <c r="I1859" s="2" t="inlineStr">
        <is>
          <t>Wiri</t>
        </is>
      </c>
      <c r="J1859" s="2" t="inlineStr">
        <is>
          <t>Auckland</t>
        </is>
      </c>
      <c r="K1859" s="2" t="n">
        <v>2104</v>
      </c>
      <c r="L1859" s="2" t="inlineStr">
        <is>
          <t>New Zealand</t>
        </is>
      </c>
      <c r="M1859" s="2" t="inlineStr">
        <is>
          <t>Manurewa</t>
        </is>
      </c>
      <c r="N1859" s="2" t="inlineStr">
        <is>
          <t>New Zealand</t>
        </is>
      </c>
      <c r="P1859" s="2" t="inlineStr">
        <is>
          <t>Operational Control</t>
        </is>
      </c>
      <c r="Q1859" s="2" t="inlineStr">
        <is>
          <t>Operational Control</t>
        </is>
      </c>
      <c r="R1859" s="2" t="inlineStr">
        <is>
          <t>Transport &amp; Infrastructure (T&amp;I)</t>
        </is>
      </c>
      <c r="S1859" s="2" t="inlineStr">
        <is>
          <t>Downer</t>
        </is>
      </c>
      <c r="T1859" s="2" t="n">
        <v>100</v>
      </c>
      <c r="W1859" s="2" t="inlineStr">
        <is>
          <t>Classification</t>
        </is>
      </c>
      <c r="X1859" s="2" t="n">
        <v>-37.0083</v>
      </c>
      <c r="Y1859" s="2" t="n">
        <v>174.8705</v>
      </c>
    </row>
    <row r="1860">
      <c r="A1860" s="2" t="inlineStr">
        <is>
          <t>Downer</t>
        </is>
      </c>
      <c r="B1860" s="2" t="inlineStr">
        <is>
          <t>Plant (Sealing - Tasman)</t>
        </is>
      </c>
      <c r="C1860" s="2" t="inlineStr">
        <is>
          <t>Other</t>
        </is>
      </c>
      <c r="D1860" s="2" t="inlineStr">
        <is>
          <t>L9.DNZJ.55894</t>
        </is>
      </c>
      <c r="E1860" s="2" t="n">
        <v>55894</v>
      </c>
      <c r="M1860" s="2" t="inlineStr">
        <is>
          <t>Auckland</t>
        </is>
      </c>
      <c r="N1860" s="2" t="inlineStr">
        <is>
          <t>New Zealand</t>
        </is>
      </c>
      <c r="P1860" s="2" t="inlineStr">
        <is>
          <t>Operational Control</t>
        </is>
      </c>
      <c r="Q1860" s="2" t="inlineStr">
        <is>
          <t>Operational Control</t>
        </is>
      </c>
      <c r="R1860" s="2" t="inlineStr">
        <is>
          <t>Transport &amp; Infrastructure (T&amp;I)</t>
        </is>
      </c>
      <c r="S1860" s="2" t="inlineStr">
        <is>
          <t>Downer</t>
        </is>
      </c>
      <c r="T1860" s="2" t="n">
        <v>100</v>
      </c>
      <c r="W1860" s="2" t="inlineStr">
        <is>
          <t>Classification</t>
        </is>
      </c>
    </row>
    <row r="1861">
      <c r="A1861" s="2" t="inlineStr">
        <is>
          <t>Downer</t>
        </is>
      </c>
      <c r="B1861" s="2" t="inlineStr">
        <is>
          <t>Plant (Sealing - Waikato)</t>
        </is>
      </c>
      <c r="C1861" s="2" t="inlineStr">
        <is>
          <t>Other</t>
        </is>
      </c>
      <c r="D1861" s="2" t="inlineStr">
        <is>
          <t>L9.DNZJ.55833</t>
        </is>
      </c>
      <c r="E1861" s="2" t="n">
        <v>55833</v>
      </c>
      <c r="H1861" s="2" t="inlineStr">
        <is>
          <t>130 Kerrs Road</t>
        </is>
      </c>
      <c r="I1861" s="2" t="inlineStr">
        <is>
          <t>Wiri</t>
        </is>
      </c>
      <c r="J1861" s="2" t="inlineStr">
        <is>
          <t>Auckland</t>
        </is>
      </c>
      <c r="K1861" s="2" t="n">
        <v>2104</v>
      </c>
      <c r="L1861" s="2" t="inlineStr">
        <is>
          <t>New Zealand</t>
        </is>
      </c>
      <c r="M1861" s="2" t="inlineStr">
        <is>
          <t>Manurewa</t>
        </is>
      </c>
      <c r="N1861" s="2" t="inlineStr">
        <is>
          <t>New Zealand</t>
        </is>
      </c>
      <c r="P1861" s="2" t="inlineStr">
        <is>
          <t>Operational Control</t>
        </is>
      </c>
      <c r="Q1861" s="2" t="inlineStr">
        <is>
          <t>Operational Control</t>
        </is>
      </c>
      <c r="R1861" s="2" t="inlineStr">
        <is>
          <t>Transport &amp; Infrastructure (T&amp;I)</t>
        </is>
      </c>
      <c r="S1861" s="2" t="inlineStr">
        <is>
          <t>Downer</t>
        </is>
      </c>
      <c r="T1861" s="2" t="n">
        <v>100</v>
      </c>
      <c r="W1861" s="2" t="inlineStr">
        <is>
          <t>Classification</t>
        </is>
      </c>
      <c r="X1861" s="2" t="n">
        <v>-37.0083</v>
      </c>
      <c r="Y1861" s="2" t="n">
        <v>174.8705</v>
      </c>
    </row>
    <row r="1862">
      <c r="A1862" s="2" t="inlineStr">
        <is>
          <t>Downer</t>
        </is>
      </c>
      <c r="B1862" s="2" t="inlineStr">
        <is>
          <t>Plant (Sealing - Whanganui)</t>
        </is>
      </c>
      <c r="C1862" s="2" t="inlineStr">
        <is>
          <t>Other</t>
        </is>
      </c>
      <c r="D1862" s="2" t="inlineStr">
        <is>
          <t>L9.DNZJ.55206</t>
        </is>
      </c>
      <c r="E1862" s="2" t="n">
        <v>55206</v>
      </c>
      <c r="M1862" s="2" t="inlineStr">
        <is>
          <t>Manurewa</t>
        </is>
      </c>
      <c r="N1862" s="2" t="inlineStr">
        <is>
          <t>New Zealand</t>
        </is>
      </c>
      <c r="P1862" s="2" t="inlineStr">
        <is>
          <t>Operational Control</t>
        </is>
      </c>
      <c r="Q1862" s="2" t="inlineStr">
        <is>
          <t>Operational Control</t>
        </is>
      </c>
      <c r="R1862" s="2" t="inlineStr">
        <is>
          <t>Transport &amp; Infrastructure (T&amp;I)</t>
        </is>
      </c>
      <c r="S1862" s="2" t="inlineStr">
        <is>
          <t>Downer</t>
        </is>
      </c>
      <c r="T1862" s="2" t="n">
        <v>100</v>
      </c>
      <c r="W1862" s="2" t="inlineStr">
        <is>
          <t>Classification</t>
        </is>
      </c>
    </row>
    <row r="1863">
      <c r="A1863" s="2" t="inlineStr">
        <is>
          <t>Downer</t>
        </is>
      </c>
      <c r="B1863" s="2" t="inlineStr">
        <is>
          <t>Plant (Sealing Tararua)</t>
        </is>
      </c>
      <c r="C1863" s="2" t="inlineStr">
        <is>
          <t>Other</t>
        </is>
      </c>
      <c r="D1863" s="2" t="inlineStr">
        <is>
          <t>L9.DNZJ.55865</t>
        </is>
      </c>
      <c r="E1863" s="2" t="n">
        <v>55865</v>
      </c>
      <c r="H1863" s="2" t="inlineStr">
        <is>
          <t>130 Kerrs Road</t>
        </is>
      </c>
      <c r="I1863" s="2" t="inlineStr">
        <is>
          <t>Wiri</t>
        </is>
      </c>
      <c r="J1863" s="2" t="inlineStr">
        <is>
          <t>Auckland</t>
        </is>
      </c>
      <c r="K1863" s="2" t="n">
        <v>2104</v>
      </c>
      <c r="L1863" s="2" t="inlineStr">
        <is>
          <t>New Zealand</t>
        </is>
      </c>
      <c r="M1863" s="2" t="inlineStr">
        <is>
          <t>Manurewa</t>
        </is>
      </c>
      <c r="N1863" s="2" t="inlineStr">
        <is>
          <t>New Zealand</t>
        </is>
      </c>
      <c r="P1863" s="2" t="inlineStr">
        <is>
          <t>Operational Control</t>
        </is>
      </c>
      <c r="Q1863" s="2" t="inlineStr">
        <is>
          <t>Operational Control</t>
        </is>
      </c>
      <c r="R1863" s="2" t="inlineStr">
        <is>
          <t>Transport &amp; Infrastructure (T&amp;I)</t>
        </is>
      </c>
      <c r="S1863" s="2" t="inlineStr">
        <is>
          <t>Downer</t>
        </is>
      </c>
      <c r="T1863" s="2" t="n">
        <v>100</v>
      </c>
      <c r="W1863" s="2" t="inlineStr">
        <is>
          <t>Classification</t>
        </is>
      </c>
      <c r="X1863" s="2" t="n">
        <v>-37.0083</v>
      </c>
      <c r="Y1863" s="2" t="n">
        <v>174.8705</v>
      </c>
    </row>
    <row r="1864">
      <c r="A1864" s="2" t="inlineStr">
        <is>
          <t>Downer</t>
        </is>
      </c>
      <c r="B1864" s="2" t="inlineStr">
        <is>
          <t>Plant (Services Wgtn)</t>
        </is>
      </c>
      <c r="C1864" s="2" t="inlineStr">
        <is>
          <t>Plant</t>
        </is>
      </c>
      <c r="D1864" s="2" t="inlineStr">
        <is>
          <t>L9.DNZJ.54741</t>
        </is>
      </c>
      <c r="E1864" s="2" t="n">
        <v>54841</v>
      </c>
      <c r="M1864" s="2" t="inlineStr">
        <is>
          <t>Wellington</t>
        </is>
      </c>
      <c r="N1864" s="2" t="inlineStr">
        <is>
          <t>New Zealand</t>
        </is>
      </c>
      <c r="P1864" s="2" t="inlineStr">
        <is>
          <t>Operational Control</t>
        </is>
      </c>
      <c r="Q1864" s="2" t="inlineStr">
        <is>
          <t>Operational Control</t>
        </is>
      </c>
      <c r="R1864" s="2" t="inlineStr">
        <is>
          <t>Transport &amp; Infrastructure (T&amp;I)</t>
        </is>
      </c>
      <c r="S1864" s="2" t="inlineStr">
        <is>
          <t>Downer</t>
        </is>
      </c>
      <c r="T1864" s="2" t="n">
        <v>100</v>
      </c>
      <c r="W1864" s="2" t="inlineStr">
        <is>
          <t>Classification</t>
        </is>
      </c>
    </row>
    <row r="1865">
      <c r="A1865" s="2" t="inlineStr">
        <is>
          <t>Downer</t>
        </is>
      </c>
      <c r="B1865" s="2" t="inlineStr">
        <is>
          <t>Plant (South Canterbury)</t>
        </is>
      </c>
      <c r="C1865" s="2" t="inlineStr">
        <is>
          <t>Other</t>
        </is>
      </c>
      <c r="D1865" s="2" t="inlineStr">
        <is>
          <t>L9.DNZJ.55882</t>
        </is>
      </c>
      <c r="E1865" s="2" t="n">
        <v>55882</v>
      </c>
      <c r="H1865" s="2" t="inlineStr">
        <is>
          <t>130 Kerrs Road</t>
        </is>
      </c>
      <c r="I1865" s="2" t="inlineStr">
        <is>
          <t>Wiri</t>
        </is>
      </c>
      <c r="J1865" s="2" t="inlineStr">
        <is>
          <t>Auckland</t>
        </is>
      </c>
      <c r="K1865" s="2" t="n">
        <v>2104</v>
      </c>
      <c r="L1865" s="2" t="inlineStr">
        <is>
          <t>New Zealand</t>
        </is>
      </c>
      <c r="M1865" s="2" t="inlineStr">
        <is>
          <t>Manurewa</t>
        </is>
      </c>
      <c r="N1865" s="2" t="inlineStr">
        <is>
          <t>New Zealand</t>
        </is>
      </c>
      <c r="P1865" s="2" t="inlineStr">
        <is>
          <t>Operational Control</t>
        </is>
      </c>
      <c r="Q1865" s="2" t="inlineStr">
        <is>
          <t>Operational Control</t>
        </is>
      </c>
      <c r="R1865" s="2" t="inlineStr">
        <is>
          <t>Transport &amp; Infrastructure (T&amp;I)</t>
        </is>
      </c>
      <c r="S1865" s="2" t="inlineStr">
        <is>
          <t>Downer</t>
        </is>
      </c>
      <c r="T1865" s="2" t="n">
        <v>100</v>
      </c>
      <c r="W1865" s="2" t="inlineStr">
        <is>
          <t>Classification</t>
        </is>
      </c>
      <c r="X1865" s="2" t="n">
        <v>-37.0083</v>
      </c>
      <c r="Y1865" s="2" t="n">
        <v>174.8705</v>
      </c>
    </row>
    <row r="1866">
      <c r="A1866" s="2" t="inlineStr">
        <is>
          <t>Downer</t>
        </is>
      </c>
      <c r="B1866" s="2" t="inlineStr">
        <is>
          <t>Plant (South/Central Const.)</t>
        </is>
      </c>
      <c r="C1866" s="2" t="inlineStr">
        <is>
          <t>Other</t>
        </is>
      </c>
      <c r="D1866" s="2" t="inlineStr">
        <is>
          <t>L9.DNZJ.55889</t>
        </is>
      </c>
      <c r="E1866" s="2" t="n">
        <v>55889</v>
      </c>
      <c r="H1866" s="2" t="inlineStr">
        <is>
          <t>130 Kerrs Road</t>
        </is>
      </c>
      <c r="I1866" s="2" t="inlineStr">
        <is>
          <t>Wiri</t>
        </is>
      </c>
      <c r="J1866" s="2" t="inlineStr">
        <is>
          <t>Auckland</t>
        </is>
      </c>
      <c r="K1866" s="2" t="n">
        <v>2104</v>
      </c>
      <c r="L1866" s="2" t="inlineStr">
        <is>
          <t>New Zealand</t>
        </is>
      </c>
      <c r="M1866" s="2" t="inlineStr">
        <is>
          <t>Manurewa</t>
        </is>
      </c>
      <c r="N1866" s="2" t="inlineStr">
        <is>
          <t>New Zealand</t>
        </is>
      </c>
      <c r="P1866" s="2" t="inlineStr">
        <is>
          <t>Operational Control</t>
        </is>
      </c>
      <c r="Q1866" s="2" t="inlineStr">
        <is>
          <t>Operational Control</t>
        </is>
      </c>
      <c r="R1866" s="2" t="inlineStr">
        <is>
          <t>Transport &amp; Infrastructure (T&amp;I)</t>
        </is>
      </c>
      <c r="S1866" s="2" t="inlineStr">
        <is>
          <t>Downer</t>
        </is>
      </c>
      <c r="T1866" s="2" t="n">
        <v>100</v>
      </c>
      <c r="W1866" s="2" t="inlineStr">
        <is>
          <t>Classification</t>
        </is>
      </c>
      <c r="X1866" s="2" t="n">
        <v>-37.0083</v>
      </c>
      <c r="Y1866" s="2" t="n">
        <v>174.8705</v>
      </c>
    </row>
    <row r="1867">
      <c r="A1867" s="2" t="inlineStr">
        <is>
          <t>Downer</t>
        </is>
      </c>
      <c r="B1867" s="2" t="inlineStr">
        <is>
          <t>Plant (Taranaki Traffic Serv)</t>
        </is>
      </c>
      <c r="C1867" s="2" t="inlineStr">
        <is>
          <t>Other</t>
        </is>
      </c>
      <c r="D1867" s="2" t="inlineStr">
        <is>
          <t>L9.DNZJ.55499</t>
        </is>
      </c>
      <c r="E1867" s="2" t="n">
        <v>55499</v>
      </c>
      <c r="H1867" s="2" t="inlineStr">
        <is>
          <t>130 Kerrs Road</t>
        </is>
      </c>
      <c r="I1867" s="2" t="inlineStr">
        <is>
          <t>Wiri</t>
        </is>
      </c>
      <c r="J1867" s="2" t="inlineStr">
        <is>
          <t>Auckland</t>
        </is>
      </c>
      <c r="K1867" s="2" t="n">
        <v>2104</v>
      </c>
      <c r="L1867" s="2" t="inlineStr">
        <is>
          <t>New Zealand</t>
        </is>
      </c>
      <c r="M1867" s="2" t="inlineStr">
        <is>
          <t>Manurewa</t>
        </is>
      </c>
      <c r="N1867" s="2" t="inlineStr">
        <is>
          <t>New Zealand</t>
        </is>
      </c>
      <c r="P1867" s="2" t="inlineStr">
        <is>
          <t>Operational Control</t>
        </is>
      </c>
      <c r="Q1867" s="2" t="inlineStr">
        <is>
          <t>Operational Control</t>
        </is>
      </c>
      <c r="R1867" s="2" t="inlineStr">
        <is>
          <t>Transport &amp; Infrastructure (T&amp;I)</t>
        </is>
      </c>
      <c r="S1867" s="2" t="inlineStr">
        <is>
          <t>Downer</t>
        </is>
      </c>
      <c r="T1867" s="2" t="n">
        <v>100</v>
      </c>
      <c r="W1867" s="2" t="inlineStr">
        <is>
          <t>Classification</t>
        </is>
      </c>
      <c r="X1867" s="2" t="n">
        <v>-37.0083</v>
      </c>
      <c r="Y1867" s="2" t="n">
        <v>174.8705</v>
      </c>
    </row>
    <row r="1868">
      <c r="A1868" s="2" t="inlineStr">
        <is>
          <t>Downer</t>
        </is>
      </c>
      <c r="B1868" s="2" t="inlineStr">
        <is>
          <t>Plant (Tararua)</t>
        </is>
      </c>
      <c r="C1868" s="2" t="inlineStr">
        <is>
          <t>Other</t>
        </is>
      </c>
      <c r="D1868" s="2" t="inlineStr">
        <is>
          <t>L9.DNZJ.55855</t>
        </is>
      </c>
      <c r="E1868" s="2" t="n">
        <v>55855</v>
      </c>
      <c r="H1868" s="2" t="inlineStr">
        <is>
          <t>130 Kerrs Road</t>
        </is>
      </c>
      <c r="I1868" s="2" t="inlineStr">
        <is>
          <t>Wiri</t>
        </is>
      </c>
      <c r="J1868" s="2" t="inlineStr">
        <is>
          <t>Auckland</t>
        </is>
      </c>
      <c r="K1868" s="2" t="n">
        <v>2104</v>
      </c>
      <c r="L1868" s="2" t="inlineStr">
        <is>
          <t>New Zealand</t>
        </is>
      </c>
      <c r="M1868" s="2" t="inlineStr">
        <is>
          <t>Manurewa</t>
        </is>
      </c>
      <c r="N1868" s="2" t="inlineStr">
        <is>
          <t>New Zealand</t>
        </is>
      </c>
      <c r="P1868" s="2" t="inlineStr">
        <is>
          <t>Operational Control</t>
        </is>
      </c>
      <c r="Q1868" s="2" t="inlineStr">
        <is>
          <t>Operational Control</t>
        </is>
      </c>
      <c r="R1868" s="2" t="inlineStr">
        <is>
          <t>Transport &amp; Infrastructure (T&amp;I)</t>
        </is>
      </c>
      <c r="S1868" s="2" t="inlineStr">
        <is>
          <t>Downer</t>
        </is>
      </c>
      <c r="T1868" s="2" t="n">
        <v>100</v>
      </c>
      <c r="W1868" s="2" t="inlineStr">
        <is>
          <t>Classification</t>
        </is>
      </c>
      <c r="X1868" s="2" t="n">
        <v>-37.0083</v>
      </c>
      <c r="Y1868" s="2" t="n">
        <v>174.8705</v>
      </c>
    </row>
    <row r="1869">
      <c r="A1869" s="2" t="inlineStr">
        <is>
          <t>Downer</t>
        </is>
      </c>
      <c r="B1869" s="2" t="inlineStr">
        <is>
          <t>Plant (Tasman Construction)</t>
        </is>
      </c>
      <c r="C1869" s="2" t="inlineStr">
        <is>
          <t>Other</t>
        </is>
      </c>
      <c r="D1869" s="2" t="inlineStr">
        <is>
          <t>L9.DNZJ.55866</t>
        </is>
      </c>
      <c r="E1869" s="2" t="n">
        <v>55866</v>
      </c>
      <c r="H1869" s="2" t="inlineStr">
        <is>
          <t>130 Kerrs Road</t>
        </is>
      </c>
      <c r="I1869" s="2" t="inlineStr">
        <is>
          <t>Wiri</t>
        </is>
      </c>
      <c r="J1869" s="2" t="inlineStr">
        <is>
          <t>Auckland</t>
        </is>
      </c>
      <c r="K1869" s="2" t="n">
        <v>2104</v>
      </c>
      <c r="L1869" s="2" t="inlineStr">
        <is>
          <t>New Zealand</t>
        </is>
      </c>
      <c r="M1869" s="2" t="inlineStr">
        <is>
          <t>Manurewa</t>
        </is>
      </c>
      <c r="N1869" s="2" t="inlineStr">
        <is>
          <t>New Zealand</t>
        </is>
      </c>
      <c r="P1869" s="2" t="inlineStr">
        <is>
          <t>Operational Control</t>
        </is>
      </c>
      <c r="Q1869" s="2" t="inlineStr">
        <is>
          <t>Operational Control</t>
        </is>
      </c>
      <c r="R1869" s="2" t="inlineStr">
        <is>
          <t>Transport &amp; Infrastructure (T&amp;I)</t>
        </is>
      </c>
      <c r="S1869" s="2" t="inlineStr">
        <is>
          <t>Downer</t>
        </is>
      </c>
      <c r="T1869" s="2" t="n">
        <v>100</v>
      </c>
      <c r="W1869" s="2" t="inlineStr">
        <is>
          <t>Classification</t>
        </is>
      </c>
      <c r="X1869" s="2" t="n">
        <v>-37.0083</v>
      </c>
      <c r="Y1869" s="2" t="n">
        <v>174.8705</v>
      </c>
    </row>
    <row r="1870">
      <c r="A1870" s="2" t="inlineStr">
        <is>
          <t>Downer</t>
        </is>
      </c>
      <c r="B1870" s="2" t="inlineStr">
        <is>
          <t>Plant (Tasman Roadmarking)</t>
        </is>
      </c>
      <c r="C1870" s="2" t="inlineStr">
        <is>
          <t>Other</t>
        </is>
      </c>
      <c r="D1870" s="2" t="inlineStr">
        <is>
          <t>L9.DNZJ.55489</t>
        </is>
      </c>
      <c r="E1870" s="2" t="n">
        <v>55489</v>
      </c>
      <c r="H1870" s="2" t="inlineStr">
        <is>
          <t>130 Kerrs Road</t>
        </is>
      </c>
      <c r="I1870" s="2" t="inlineStr">
        <is>
          <t>Wiri</t>
        </is>
      </c>
      <c r="J1870" s="2" t="inlineStr">
        <is>
          <t>Auckland</t>
        </is>
      </c>
      <c r="K1870" s="2" t="n">
        <v>2104</v>
      </c>
      <c r="L1870" s="2" t="inlineStr">
        <is>
          <t>New Zealand</t>
        </is>
      </c>
      <c r="M1870" s="2" t="inlineStr">
        <is>
          <t>Manurewa</t>
        </is>
      </c>
      <c r="N1870" s="2" t="inlineStr">
        <is>
          <t>New Zealand</t>
        </is>
      </c>
      <c r="P1870" s="2" t="inlineStr">
        <is>
          <t>Operational Control</t>
        </is>
      </c>
      <c r="Q1870" s="2" t="inlineStr">
        <is>
          <t>Operational Control</t>
        </is>
      </c>
      <c r="R1870" s="2" t="inlineStr">
        <is>
          <t>Transport &amp; Infrastructure (T&amp;I)</t>
        </is>
      </c>
      <c r="S1870" s="2" t="inlineStr">
        <is>
          <t>Downer</t>
        </is>
      </c>
      <c r="T1870" s="2" t="n">
        <v>100</v>
      </c>
      <c r="W1870" s="2" t="inlineStr">
        <is>
          <t>Classification</t>
        </is>
      </c>
      <c r="X1870" s="2" t="n">
        <v>-37.0083</v>
      </c>
      <c r="Y1870" s="2" t="n">
        <v>174.8705</v>
      </c>
    </row>
    <row r="1871">
      <c r="A1871" s="2" t="inlineStr">
        <is>
          <t>Downer</t>
        </is>
      </c>
      <c r="B1871" s="2" t="inlineStr">
        <is>
          <t>Plant (Taumarunui)</t>
        </is>
      </c>
      <c r="C1871" s="2" t="inlineStr">
        <is>
          <t>Other</t>
        </is>
      </c>
      <c r="D1871" s="2" t="inlineStr">
        <is>
          <t>L9.DNZJ.55824</t>
        </is>
      </c>
      <c r="E1871" s="2" t="n">
        <v>55824</v>
      </c>
      <c r="H1871" s="2" t="inlineStr">
        <is>
          <t>130 Kerrs Road</t>
        </is>
      </c>
      <c r="I1871" s="2" t="inlineStr">
        <is>
          <t>Wiri</t>
        </is>
      </c>
      <c r="J1871" s="2" t="inlineStr">
        <is>
          <t>Auckland</t>
        </is>
      </c>
      <c r="K1871" s="2" t="n">
        <v>2104</v>
      </c>
      <c r="L1871" s="2" t="inlineStr">
        <is>
          <t>New Zealand</t>
        </is>
      </c>
      <c r="M1871" s="2" t="inlineStr">
        <is>
          <t>Manurewa</t>
        </is>
      </c>
      <c r="N1871" s="2" t="inlineStr">
        <is>
          <t>New Zealand</t>
        </is>
      </c>
      <c r="P1871" s="2" t="inlineStr">
        <is>
          <t>Operational Control</t>
        </is>
      </c>
      <c r="Q1871" s="2" t="inlineStr">
        <is>
          <t>Operational Control</t>
        </is>
      </c>
      <c r="R1871" s="2" t="inlineStr">
        <is>
          <t>Transport &amp; Infrastructure (T&amp;I)</t>
        </is>
      </c>
      <c r="S1871" s="2" t="inlineStr">
        <is>
          <t>Downer</t>
        </is>
      </c>
      <c r="T1871" s="2" t="n">
        <v>100</v>
      </c>
      <c r="W1871" s="2" t="inlineStr">
        <is>
          <t>Classification</t>
        </is>
      </c>
      <c r="X1871" s="2" t="n">
        <v>-37.0083</v>
      </c>
      <c r="Y1871" s="2" t="n">
        <v>174.8705</v>
      </c>
    </row>
    <row r="1872">
      <c r="A1872" s="2" t="inlineStr">
        <is>
          <t>Downer</t>
        </is>
      </c>
      <c r="B1872" s="2" t="inlineStr">
        <is>
          <t>Plant (Taupo)</t>
        </is>
      </c>
      <c r="C1872" s="2" t="inlineStr">
        <is>
          <t>Other</t>
        </is>
      </c>
      <c r="D1872" s="2" t="inlineStr">
        <is>
          <t>L9.DNZJ.55823</t>
        </is>
      </c>
      <c r="E1872" s="2" t="n">
        <v>55823</v>
      </c>
      <c r="H1872" s="2" t="inlineStr">
        <is>
          <t>130 Kerrs Road</t>
        </is>
      </c>
      <c r="I1872" s="2" t="inlineStr">
        <is>
          <t>Wiri</t>
        </is>
      </c>
      <c r="J1872" s="2" t="inlineStr">
        <is>
          <t>Auckland</t>
        </is>
      </c>
      <c r="K1872" s="2" t="n">
        <v>2104</v>
      </c>
      <c r="L1872" s="2" t="inlineStr">
        <is>
          <t>New Zealand</t>
        </is>
      </c>
      <c r="M1872" s="2" t="inlineStr">
        <is>
          <t>Manurewa</t>
        </is>
      </c>
      <c r="N1872" s="2" t="inlineStr">
        <is>
          <t>New Zealand</t>
        </is>
      </c>
      <c r="P1872" s="2" t="inlineStr">
        <is>
          <t>Operational Control</t>
        </is>
      </c>
      <c r="Q1872" s="2" t="inlineStr">
        <is>
          <t>Operational Control</t>
        </is>
      </c>
      <c r="R1872" s="2" t="inlineStr">
        <is>
          <t>Transport &amp; Infrastructure (T&amp;I)</t>
        </is>
      </c>
      <c r="S1872" s="2" t="inlineStr">
        <is>
          <t>Downer</t>
        </is>
      </c>
      <c r="T1872" s="2" t="n">
        <v>100</v>
      </c>
      <c r="W1872" s="2" t="inlineStr">
        <is>
          <t>Classification</t>
        </is>
      </c>
      <c r="X1872" s="2" t="n">
        <v>-37.0083</v>
      </c>
      <c r="Y1872" s="2" t="n">
        <v>174.8705</v>
      </c>
    </row>
    <row r="1873">
      <c r="A1873" s="2" t="inlineStr">
        <is>
          <t>Downer</t>
        </is>
      </c>
      <c r="B1873" s="2" t="inlineStr">
        <is>
          <t>Plant (Tauranga)</t>
        </is>
      </c>
      <c r="C1873" s="2" t="inlineStr">
        <is>
          <t>Other</t>
        </is>
      </c>
      <c r="D1873" s="2" t="inlineStr">
        <is>
          <t>L9.DNZJ.55812</t>
        </is>
      </c>
      <c r="E1873" s="2" t="n">
        <v>55812</v>
      </c>
      <c r="H1873" s="2" t="inlineStr">
        <is>
          <t>130 Kerrs Road</t>
        </is>
      </c>
      <c r="I1873" s="2" t="inlineStr">
        <is>
          <t>Wiri</t>
        </is>
      </c>
      <c r="J1873" s="2" t="inlineStr">
        <is>
          <t>Auckland</t>
        </is>
      </c>
      <c r="K1873" s="2" t="n">
        <v>2104</v>
      </c>
      <c r="L1873" s="2" t="inlineStr">
        <is>
          <t>New Zealand</t>
        </is>
      </c>
      <c r="M1873" s="2" t="inlineStr">
        <is>
          <t>Manurewa</t>
        </is>
      </c>
      <c r="N1873" s="2" t="inlineStr">
        <is>
          <t>New Zealand</t>
        </is>
      </c>
      <c r="P1873" s="2" t="inlineStr">
        <is>
          <t>Operational Control</t>
        </is>
      </c>
      <c r="Q1873" s="2" t="inlineStr">
        <is>
          <t>Operational Control</t>
        </is>
      </c>
      <c r="R1873" s="2" t="inlineStr">
        <is>
          <t>Transport &amp; Infrastructure (T&amp;I)</t>
        </is>
      </c>
      <c r="S1873" s="2" t="inlineStr">
        <is>
          <t>Downer</t>
        </is>
      </c>
      <c r="T1873" s="2" t="n">
        <v>100</v>
      </c>
      <c r="W1873" s="2" t="inlineStr">
        <is>
          <t>Classification</t>
        </is>
      </c>
      <c r="X1873" s="2" t="n">
        <v>-37.0083</v>
      </c>
      <c r="Y1873" s="2" t="n">
        <v>174.8705</v>
      </c>
    </row>
    <row r="1874">
      <c r="A1874" s="2" t="inlineStr">
        <is>
          <t>Downer</t>
        </is>
      </c>
      <c r="B1874" s="2" t="inlineStr">
        <is>
          <t>Plant (TC - Otago)</t>
        </is>
      </c>
      <c r="C1874" s="2" t="inlineStr">
        <is>
          <t>Other</t>
        </is>
      </c>
      <c r="D1874" s="2" t="inlineStr">
        <is>
          <t>L9.DNZJ.55494</t>
        </is>
      </c>
      <c r="E1874" s="2" t="n">
        <v>54814</v>
      </c>
      <c r="H1874" s="2" t="inlineStr">
        <is>
          <t>130 Kerrs Road</t>
        </is>
      </c>
      <c r="I1874" s="2" t="inlineStr">
        <is>
          <t>Wiri</t>
        </is>
      </c>
      <c r="J1874" s="2" t="inlineStr">
        <is>
          <t>Auckland</t>
        </is>
      </c>
      <c r="K1874" s="2" t="n">
        <v>2104</v>
      </c>
      <c r="L1874" s="2" t="inlineStr">
        <is>
          <t>New Zealand</t>
        </is>
      </c>
      <c r="M1874" s="2" t="inlineStr">
        <is>
          <t>Manurewa</t>
        </is>
      </c>
      <c r="N1874" s="2" t="inlineStr">
        <is>
          <t>New Zealand</t>
        </is>
      </c>
      <c r="P1874" s="2" t="inlineStr">
        <is>
          <t>Operational Control</t>
        </is>
      </c>
      <c r="Q1874" s="2" t="inlineStr">
        <is>
          <t>Operational Control</t>
        </is>
      </c>
      <c r="R1874" s="2" t="inlineStr">
        <is>
          <t>Transport &amp; Infrastructure (T&amp;I)</t>
        </is>
      </c>
      <c r="S1874" s="2" t="inlineStr">
        <is>
          <t>Downer</t>
        </is>
      </c>
      <c r="T1874" s="2" t="n">
        <v>100</v>
      </c>
      <c r="W1874" s="2" t="inlineStr">
        <is>
          <t>Classification</t>
        </is>
      </c>
      <c r="X1874" s="2" t="n">
        <v>-37.0083</v>
      </c>
      <c r="Y1874" s="2" t="n">
        <v>174.8705</v>
      </c>
    </row>
    <row r="1875">
      <c r="A1875" s="2" t="inlineStr">
        <is>
          <t>Downer</t>
        </is>
      </c>
      <c r="B1875" s="2" t="inlineStr">
        <is>
          <t>Plant (TC - Tasman)</t>
        </is>
      </c>
      <c r="C1875" s="2" t="inlineStr">
        <is>
          <t>Other</t>
        </is>
      </c>
      <c r="D1875" s="2" t="inlineStr">
        <is>
          <t>L9.DNZJ.55490</t>
        </is>
      </c>
      <c r="E1875" s="2" t="n">
        <v>55490</v>
      </c>
      <c r="G1875" s="2" t="inlineStr">
        <is>
          <t>Previously named 'Plant (Tasman Road Services)'. As per EDW/INX, latest name is TI-NZT-55490 - Plant (TC - Tasman). (2024.07.08)</t>
        </is>
      </c>
      <c r="H1875" s="2" t="inlineStr">
        <is>
          <t>130 Kerrs Road</t>
        </is>
      </c>
      <c r="I1875" s="2" t="inlineStr">
        <is>
          <t>Wiri</t>
        </is>
      </c>
      <c r="J1875" s="2" t="inlineStr">
        <is>
          <t>Auckland</t>
        </is>
      </c>
      <c r="K1875" s="2" t="n">
        <v>2104</v>
      </c>
      <c r="L1875" s="2" t="inlineStr">
        <is>
          <t>New Zealand</t>
        </is>
      </c>
      <c r="M1875" s="2" t="inlineStr">
        <is>
          <t>Manurewa</t>
        </is>
      </c>
      <c r="N1875" s="2" t="inlineStr">
        <is>
          <t>New Zealand</t>
        </is>
      </c>
      <c r="P1875" s="2" t="inlineStr">
        <is>
          <t>Operational Control</t>
        </is>
      </c>
      <c r="Q1875" s="2" t="inlineStr">
        <is>
          <t>Operational Control</t>
        </is>
      </c>
      <c r="R1875" s="2" t="inlineStr">
        <is>
          <t>Transport &amp; Infrastructure (T&amp;I)</t>
        </is>
      </c>
      <c r="S1875" s="2" t="inlineStr">
        <is>
          <t>Downer</t>
        </is>
      </c>
      <c r="T1875" s="2" t="n">
        <v>100</v>
      </c>
      <c r="W1875" s="2" t="inlineStr">
        <is>
          <t>Classification</t>
        </is>
      </c>
      <c r="X1875" s="2" t="n">
        <v>-37.0083</v>
      </c>
      <c r="Y1875" s="2" t="n">
        <v>174.8705</v>
      </c>
    </row>
    <row r="1876">
      <c r="A1876" s="2" t="inlineStr">
        <is>
          <t>Downer</t>
        </is>
      </c>
      <c r="B1876" s="2" t="inlineStr">
        <is>
          <t>Plant (TC CHCH)</t>
        </is>
      </c>
      <c r="C1876" s="2" t="inlineStr">
        <is>
          <t>Other</t>
        </is>
      </c>
      <c r="D1876" s="2" t="inlineStr">
        <is>
          <t>L9.DNZJ.55493</t>
        </is>
      </c>
      <c r="E1876" s="2" t="n">
        <v>55493</v>
      </c>
      <c r="H1876" s="2" t="inlineStr">
        <is>
          <t>130 Kerrs Road</t>
        </is>
      </c>
      <c r="I1876" s="2" t="inlineStr">
        <is>
          <t>Wiri</t>
        </is>
      </c>
      <c r="J1876" s="2" t="inlineStr">
        <is>
          <t>Auckland</t>
        </is>
      </c>
      <c r="K1876" s="2" t="n">
        <v>2104</v>
      </c>
      <c r="L1876" s="2" t="inlineStr">
        <is>
          <t>New Zealand</t>
        </is>
      </c>
      <c r="M1876" s="2" t="inlineStr">
        <is>
          <t>Manurewa</t>
        </is>
      </c>
      <c r="N1876" s="2" t="inlineStr">
        <is>
          <t>New Zealand</t>
        </is>
      </c>
      <c r="P1876" s="2" t="inlineStr">
        <is>
          <t>Operational Control</t>
        </is>
      </c>
      <c r="Q1876" s="2" t="inlineStr">
        <is>
          <t>Operational Control</t>
        </is>
      </c>
      <c r="R1876" s="2" t="inlineStr">
        <is>
          <t>Transport &amp; Infrastructure (T&amp;I)</t>
        </is>
      </c>
      <c r="S1876" s="2" t="inlineStr">
        <is>
          <t>Downer</t>
        </is>
      </c>
      <c r="T1876" s="2" t="n">
        <v>100</v>
      </c>
      <c r="W1876" s="2" t="inlineStr">
        <is>
          <t>Classification</t>
        </is>
      </c>
      <c r="X1876" s="2" t="n">
        <v>-37.0083</v>
      </c>
      <c r="Y1876" s="2" t="n">
        <v>174.8705</v>
      </c>
    </row>
    <row r="1877">
      <c r="A1877" s="2" t="inlineStr">
        <is>
          <t>Downer</t>
        </is>
      </c>
      <c r="B1877" s="2" t="inlineStr">
        <is>
          <t>Plant (TC Gisborne)</t>
        </is>
      </c>
      <c r="C1877" s="2" t="inlineStr">
        <is>
          <t>Other</t>
        </is>
      </c>
      <c r="D1877" s="2" t="inlineStr">
        <is>
          <t>L9.DNZJ.54820</t>
        </is>
      </c>
      <c r="E1877" s="2" t="n">
        <v>54820</v>
      </c>
      <c r="H1877" s="2" t="inlineStr">
        <is>
          <t>130 Kerrs Road</t>
        </is>
      </c>
      <c r="I1877" s="2" t="inlineStr">
        <is>
          <t>Wiri</t>
        </is>
      </c>
      <c r="J1877" s="2" t="inlineStr">
        <is>
          <t>Auckland</t>
        </is>
      </c>
      <c r="K1877" s="2" t="n">
        <v>2104</v>
      </c>
      <c r="L1877" s="2" t="inlineStr">
        <is>
          <t>New Zealand</t>
        </is>
      </c>
      <c r="M1877" s="2" t="inlineStr">
        <is>
          <t>Manurewa</t>
        </is>
      </c>
      <c r="N1877" s="2" t="inlineStr">
        <is>
          <t>New Zealand</t>
        </is>
      </c>
      <c r="P1877" s="2" t="inlineStr">
        <is>
          <t>Operational Control</t>
        </is>
      </c>
      <c r="Q1877" s="2" t="inlineStr">
        <is>
          <t>Operational Control</t>
        </is>
      </c>
      <c r="R1877" s="2" t="inlineStr">
        <is>
          <t>Transport &amp; Infrastructure (T&amp;I)</t>
        </is>
      </c>
      <c r="S1877" s="2" t="inlineStr">
        <is>
          <t>Downer</t>
        </is>
      </c>
      <c r="T1877" s="2" t="n">
        <v>100</v>
      </c>
      <c r="W1877" s="2" t="inlineStr">
        <is>
          <t>Classification</t>
        </is>
      </c>
      <c r="X1877" s="2" t="n">
        <v>-37.0083</v>
      </c>
      <c r="Y1877" s="2" t="n">
        <v>174.8705</v>
      </c>
    </row>
    <row r="1878">
      <c r="A1878" s="2" t="inlineStr">
        <is>
          <t>Downer</t>
        </is>
      </c>
      <c r="B1878" s="2" t="inlineStr">
        <is>
          <t>Plant (TC Hawkes Bay)</t>
        </is>
      </c>
      <c r="C1878" s="2" t="inlineStr">
        <is>
          <t>Other</t>
        </is>
      </c>
      <c r="D1878" s="2" t="inlineStr">
        <is>
          <t>L9.DNZJ.54840</t>
        </is>
      </c>
      <c r="E1878" s="2" t="n">
        <v>54840</v>
      </c>
      <c r="M1878" s="2" t="inlineStr">
        <is>
          <t>Hawke's Bay</t>
        </is>
      </c>
      <c r="N1878" s="2" t="inlineStr">
        <is>
          <t>New Zealand</t>
        </is>
      </c>
      <c r="P1878" s="2" t="inlineStr">
        <is>
          <t>Operational Control</t>
        </is>
      </c>
      <c r="Q1878" s="2" t="inlineStr">
        <is>
          <t>Operational Control</t>
        </is>
      </c>
      <c r="R1878" s="2" t="inlineStr">
        <is>
          <t>Transport &amp; Infrastructure (T&amp;I)</t>
        </is>
      </c>
      <c r="S1878" s="2" t="inlineStr">
        <is>
          <t>Downer</t>
        </is>
      </c>
      <c r="T1878" s="2" t="n">
        <v>100</v>
      </c>
      <c r="W1878" s="2" t="inlineStr">
        <is>
          <t>Classification</t>
        </is>
      </c>
    </row>
    <row r="1879">
      <c r="A1879" s="2" t="inlineStr">
        <is>
          <t>Downer</t>
        </is>
      </c>
      <c r="B1879" s="2" t="inlineStr">
        <is>
          <t>Plant (TDC Alliance)</t>
        </is>
      </c>
      <c r="C1879" s="2" t="inlineStr">
        <is>
          <t>Other</t>
        </is>
      </c>
      <c r="D1879" s="2" t="inlineStr">
        <is>
          <t>L9.DNZJ.55488</t>
        </is>
      </c>
      <c r="E1879" s="2" t="n">
        <v>55488</v>
      </c>
      <c r="H1879" s="2" t="inlineStr">
        <is>
          <t>130 Kerrs Road</t>
        </is>
      </c>
      <c r="I1879" s="2" t="inlineStr">
        <is>
          <t>Wiri</t>
        </is>
      </c>
      <c r="J1879" s="2" t="inlineStr">
        <is>
          <t>Auckland</t>
        </is>
      </c>
      <c r="K1879" s="2" t="n">
        <v>2104</v>
      </c>
      <c r="L1879" s="2" t="inlineStr">
        <is>
          <t>New Zealand</t>
        </is>
      </c>
      <c r="M1879" s="2" t="inlineStr">
        <is>
          <t>Manurewa</t>
        </is>
      </c>
      <c r="N1879" s="2" t="inlineStr">
        <is>
          <t>New Zealand</t>
        </is>
      </c>
      <c r="P1879" s="2" t="inlineStr">
        <is>
          <t>Operational Control</t>
        </is>
      </c>
      <c r="Q1879" s="2" t="inlineStr">
        <is>
          <t>Operational Control</t>
        </is>
      </c>
      <c r="R1879" s="2" t="inlineStr">
        <is>
          <t>Transport &amp; Infrastructure (T&amp;I)</t>
        </is>
      </c>
      <c r="S1879" s="2" t="inlineStr">
        <is>
          <t>Downer</t>
        </is>
      </c>
      <c r="T1879" s="2" t="n">
        <v>100</v>
      </c>
      <c r="W1879" s="2" t="inlineStr">
        <is>
          <t>Classification</t>
        </is>
      </c>
      <c r="X1879" s="2" t="n">
        <v>-37.0083</v>
      </c>
      <c r="Y1879" s="2" t="n">
        <v>174.8705</v>
      </c>
    </row>
    <row r="1880">
      <c r="A1880" s="2" t="inlineStr">
        <is>
          <t>Downer</t>
        </is>
      </c>
      <c r="B1880" s="2" t="inlineStr">
        <is>
          <t>Plant (Thermo National)</t>
        </is>
      </c>
      <c r="C1880" s="2" t="inlineStr">
        <is>
          <t>Other</t>
        </is>
      </c>
      <c r="D1880" s="2" t="inlineStr">
        <is>
          <t>L9.DNZJ.55497</t>
        </is>
      </c>
      <c r="E1880" s="2" t="n">
        <v>55497</v>
      </c>
      <c r="H1880" s="2" t="inlineStr">
        <is>
          <t>130 Kerrs Road</t>
        </is>
      </c>
      <c r="I1880" s="2" t="inlineStr">
        <is>
          <t>Wiri</t>
        </is>
      </c>
      <c r="J1880" s="2" t="inlineStr">
        <is>
          <t>Auckland</t>
        </is>
      </c>
      <c r="K1880" s="2" t="n">
        <v>2104</v>
      </c>
      <c r="L1880" s="2" t="inlineStr">
        <is>
          <t>New Zealand</t>
        </is>
      </c>
      <c r="M1880" s="2" t="inlineStr">
        <is>
          <t>Manurewa</t>
        </is>
      </c>
      <c r="N1880" s="2" t="inlineStr">
        <is>
          <t>New Zealand</t>
        </is>
      </c>
      <c r="P1880" s="2" t="inlineStr">
        <is>
          <t>Operational Control</t>
        </is>
      </c>
      <c r="Q1880" s="2" t="inlineStr">
        <is>
          <t>Operational Control</t>
        </is>
      </c>
      <c r="R1880" s="2" t="inlineStr">
        <is>
          <t>Transport &amp; Infrastructure (T&amp;I)</t>
        </is>
      </c>
      <c r="S1880" s="2" t="inlineStr">
        <is>
          <t>Downer</t>
        </is>
      </c>
      <c r="T1880" s="2" t="n">
        <v>100</v>
      </c>
      <c r="W1880" s="2" t="inlineStr">
        <is>
          <t>Classification</t>
        </is>
      </c>
      <c r="X1880" s="2" t="n">
        <v>-37.0083</v>
      </c>
      <c r="Y1880" s="2" t="n">
        <v>174.8705</v>
      </c>
    </row>
    <row r="1881">
      <c r="A1881" s="2" t="inlineStr">
        <is>
          <t>Downer</t>
        </is>
      </c>
      <c r="B1881" s="2" t="inlineStr">
        <is>
          <t>Plant (Tirau)</t>
        </is>
      </c>
      <c r="C1881" s="2" t="inlineStr">
        <is>
          <t>Other</t>
        </is>
      </c>
      <c r="D1881" s="2" t="inlineStr">
        <is>
          <t>L9.DNZJ.55820</t>
        </is>
      </c>
      <c r="E1881" s="2" t="n">
        <v>55820</v>
      </c>
      <c r="H1881" s="2" t="inlineStr">
        <is>
          <t>130 Kerrs Road</t>
        </is>
      </c>
      <c r="I1881" s="2" t="inlineStr">
        <is>
          <t>Wiri</t>
        </is>
      </c>
      <c r="J1881" s="2" t="inlineStr">
        <is>
          <t>Auckland</t>
        </is>
      </c>
      <c r="K1881" s="2" t="n">
        <v>2104</v>
      </c>
      <c r="L1881" s="2" t="inlineStr">
        <is>
          <t>New Zealand</t>
        </is>
      </c>
      <c r="M1881" s="2" t="inlineStr">
        <is>
          <t>Manurewa</t>
        </is>
      </c>
      <c r="N1881" s="2" t="inlineStr">
        <is>
          <t>New Zealand</t>
        </is>
      </c>
      <c r="P1881" s="2" t="inlineStr">
        <is>
          <t>Operational Control</t>
        </is>
      </c>
      <c r="Q1881" s="2" t="inlineStr">
        <is>
          <t>Operational Control</t>
        </is>
      </c>
      <c r="R1881" s="2" t="inlineStr">
        <is>
          <t>Transport &amp; Infrastructure (T&amp;I)</t>
        </is>
      </c>
      <c r="S1881" s="2" t="inlineStr">
        <is>
          <t>Downer</t>
        </is>
      </c>
      <c r="T1881" s="2" t="n">
        <v>100</v>
      </c>
      <c r="W1881" s="2" t="inlineStr">
        <is>
          <t>Classification</t>
        </is>
      </c>
      <c r="X1881" s="2" t="n">
        <v>-37.0083</v>
      </c>
      <c r="Y1881" s="2" t="n">
        <v>174.8705</v>
      </c>
    </row>
    <row r="1882">
      <c r="A1882" s="2" t="inlineStr">
        <is>
          <t>Downer</t>
        </is>
      </c>
      <c r="B1882" s="2" t="inlineStr">
        <is>
          <t>Plant (TM Wgtn)</t>
        </is>
      </c>
      <c r="C1882" s="2" t="inlineStr">
        <is>
          <t>Other</t>
        </is>
      </c>
      <c r="D1882" s="2" t="inlineStr">
        <is>
          <t>L9.DNZJ.55826</t>
        </is>
      </c>
      <c r="E1882" s="2" t="n">
        <v>55826</v>
      </c>
      <c r="H1882" s="2" t="inlineStr">
        <is>
          <t>130 Kerrs Road</t>
        </is>
      </c>
      <c r="I1882" s="2" t="inlineStr">
        <is>
          <t>Wiri</t>
        </is>
      </c>
      <c r="J1882" s="2" t="inlineStr">
        <is>
          <t>Auckland</t>
        </is>
      </c>
      <c r="K1882" s="2" t="n">
        <v>2104</v>
      </c>
      <c r="L1882" s="2" t="inlineStr">
        <is>
          <t>New Zealand</t>
        </is>
      </c>
      <c r="M1882" s="2" t="inlineStr">
        <is>
          <t>Manurewa</t>
        </is>
      </c>
      <c r="N1882" s="2" t="inlineStr">
        <is>
          <t>New Zealand</t>
        </is>
      </c>
      <c r="P1882" s="2" t="inlineStr">
        <is>
          <t>Operational Control</t>
        </is>
      </c>
      <c r="Q1882" s="2" t="inlineStr">
        <is>
          <t>Operational Control</t>
        </is>
      </c>
      <c r="R1882" s="2" t="inlineStr">
        <is>
          <t>Transport &amp; Infrastructure (T&amp;I)</t>
        </is>
      </c>
      <c r="S1882" s="2" t="inlineStr">
        <is>
          <t>Downer</t>
        </is>
      </c>
      <c r="T1882" s="2" t="n">
        <v>100</v>
      </c>
      <c r="W1882" s="2" t="inlineStr">
        <is>
          <t>Classification</t>
        </is>
      </c>
      <c r="X1882" s="2" t="n">
        <v>-37.0083</v>
      </c>
      <c r="Y1882" s="2" t="n">
        <v>174.8705</v>
      </c>
    </row>
    <row r="1883">
      <c r="A1883" s="2" t="inlineStr">
        <is>
          <t>Downer</t>
        </is>
      </c>
      <c r="B1883" s="2" t="inlineStr">
        <is>
          <t>Plant (TNOC Taumaranui)</t>
        </is>
      </c>
      <c r="C1883" s="2" t="inlineStr">
        <is>
          <t>Other</t>
        </is>
      </c>
      <c r="D1883" s="2" t="inlineStr">
        <is>
          <t>L9.DNZJ.54827</t>
        </is>
      </c>
      <c r="E1883" s="2" t="n">
        <v>54827</v>
      </c>
      <c r="H1883" s="2" t="inlineStr">
        <is>
          <t>130 Kerrs Road</t>
        </is>
      </c>
      <c r="I1883" s="2" t="inlineStr">
        <is>
          <t>Wiri</t>
        </is>
      </c>
      <c r="J1883" s="2" t="inlineStr">
        <is>
          <t>Auckland</t>
        </is>
      </c>
      <c r="K1883" s="2" t="n">
        <v>2104</v>
      </c>
      <c r="L1883" s="2" t="inlineStr">
        <is>
          <t>New Zealand</t>
        </is>
      </c>
      <c r="M1883" s="2" t="inlineStr">
        <is>
          <t>Manurewa</t>
        </is>
      </c>
      <c r="N1883" s="2" t="inlineStr">
        <is>
          <t>New Zealand</t>
        </is>
      </c>
      <c r="P1883" s="2" t="inlineStr">
        <is>
          <t>Operational Control</t>
        </is>
      </c>
      <c r="Q1883" s="2" t="inlineStr">
        <is>
          <t>Operational Control</t>
        </is>
      </c>
      <c r="R1883" s="2" t="inlineStr">
        <is>
          <t>Transport &amp; Infrastructure (T&amp;I)</t>
        </is>
      </c>
      <c r="S1883" s="2" t="inlineStr">
        <is>
          <t>Downer</t>
        </is>
      </c>
      <c r="T1883" s="2" t="n">
        <v>100</v>
      </c>
      <c r="W1883" s="2" t="inlineStr">
        <is>
          <t>Classification</t>
        </is>
      </c>
      <c r="X1883" s="2" t="n">
        <v>-37.0083</v>
      </c>
      <c r="Y1883" s="2" t="n">
        <v>174.8705</v>
      </c>
    </row>
    <row r="1884">
      <c r="A1884" s="2" t="inlineStr">
        <is>
          <t>Downer</t>
        </is>
      </c>
      <c r="B1884" s="2" t="inlineStr">
        <is>
          <t>Plant (Transport WGTN)</t>
        </is>
      </c>
      <c r="C1884" s="2" t="inlineStr">
        <is>
          <t>Other</t>
        </is>
      </c>
      <c r="D1884" s="2" t="inlineStr">
        <is>
          <t>L9.DNZJ.55818</t>
        </is>
      </c>
      <c r="E1884" s="2" t="n">
        <v>55818</v>
      </c>
      <c r="H1884" s="2" t="inlineStr">
        <is>
          <t>130 Kerrs Road</t>
        </is>
      </c>
      <c r="I1884" s="2" t="inlineStr">
        <is>
          <t>Wiri</t>
        </is>
      </c>
      <c r="J1884" s="2" t="inlineStr">
        <is>
          <t>Auckland</t>
        </is>
      </c>
      <c r="K1884" s="2" t="n">
        <v>2104</v>
      </c>
      <c r="L1884" s="2" t="inlineStr">
        <is>
          <t>New Zealand</t>
        </is>
      </c>
      <c r="M1884" s="2" t="inlineStr">
        <is>
          <t>Manurewa</t>
        </is>
      </c>
      <c r="N1884" s="2" t="inlineStr">
        <is>
          <t>New Zealand</t>
        </is>
      </c>
      <c r="P1884" s="2" t="inlineStr">
        <is>
          <t>Operational Control</t>
        </is>
      </c>
      <c r="Q1884" s="2" t="inlineStr">
        <is>
          <t>Operational Control</t>
        </is>
      </c>
      <c r="R1884" s="2" t="inlineStr">
        <is>
          <t>Transport &amp; Infrastructure (T&amp;I)</t>
        </is>
      </c>
      <c r="S1884" s="2" t="inlineStr">
        <is>
          <t>Downer</t>
        </is>
      </c>
      <c r="T1884" s="2" t="n">
        <v>100</v>
      </c>
      <c r="W1884" s="2" t="inlineStr">
        <is>
          <t>Classification</t>
        </is>
      </c>
      <c r="X1884" s="2" t="n">
        <v>-37.0083</v>
      </c>
      <c r="Y1884" s="2" t="n">
        <v>174.8705</v>
      </c>
    </row>
    <row r="1885">
      <c r="A1885" s="2" t="inlineStr">
        <is>
          <t>Downer</t>
        </is>
      </c>
      <c r="B1885" s="2" t="inlineStr">
        <is>
          <t>Plant (TRC Construction)</t>
        </is>
      </c>
      <c r="C1885" s="2" t="inlineStr">
        <is>
          <t>Other</t>
        </is>
      </c>
      <c r="D1885" s="2" t="inlineStr">
        <is>
          <t>L9.DNZJ.3122</t>
        </is>
      </c>
      <c r="E1885" s="2" t="n">
        <v>3122</v>
      </c>
      <c r="H1885" s="2" t="inlineStr">
        <is>
          <t>130 Kerrs Road</t>
        </is>
      </c>
      <c r="I1885" s="2" t="inlineStr">
        <is>
          <t>Wiri</t>
        </is>
      </c>
      <c r="J1885" s="2" t="inlineStr">
        <is>
          <t>Auckland</t>
        </is>
      </c>
      <c r="K1885" s="2" t="n">
        <v>2104</v>
      </c>
      <c r="L1885" s="2" t="inlineStr">
        <is>
          <t>New Zealand</t>
        </is>
      </c>
      <c r="M1885" s="2" t="inlineStr">
        <is>
          <t>Manurewa</t>
        </is>
      </c>
      <c r="N1885" s="2" t="inlineStr">
        <is>
          <t>New Zealand</t>
        </is>
      </c>
      <c r="P1885" s="2" t="inlineStr">
        <is>
          <t>Operational Control</t>
        </is>
      </c>
      <c r="Q1885" s="2" t="inlineStr">
        <is>
          <t>Operational Control</t>
        </is>
      </c>
      <c r="R1885" s="2" t="inlineStr">
        <is>
          <t>Transport &amp; Infrastructure (T&amp;I)</t>
        </is>
      </c>
      <c r="S1885" s="2" t="inlineStr">
        <is>
          <t>Downer</t>
        </is>
      </c>
      <c r="T1885" s="2" t="n">
        <v>100</v>
      </c>
      <c r="W1885" s="2" t="inlineStr">
        <is>
          <t>Classification</t>
        </is>
      </c>
      <c r="X1885" s="2" t="n">
        <v>-37.0083</v>
      </c>
      <c r="Y1885" s="2" t="n">
        <v>174.8705</v>
      </c>
    </row>
    <row r="1886">
      <c r="A1886" s="2" t="inlineStr">
        <is>
          <t>Downer</t>
        </is>
      </c>
      <c r="B1886" s="2" t="inlineStr">
        <is>
          <t>Plant (TRC Crushing)</t>
        </is>
      </c>
      <c r="C1886" s="2" t="inlineStr">
        <is>
          <t>Other</t>
        </is>
      </c>
      <c r="D1886" s="2" t="inlineStr">
        <is>
          <t>L9.DNZJ.3132</t>
        </is>
      </c>
      <c r="E1886" s="2" t="n">
        <v>3132</v>
      </c>
      <c r="H1886" s="2" t="inlineStr">
        <is>
          <t>130 Kerrs Road</t>
        </is>
      </c>
      <c r="I1886" s="2" t="inlineStr">
        <is>
          <t>Wiri</t>
        </is>
      </c>
      <c r="J1886" s="2" t="inlineStr">
        <is>
          <t>Auckland</t>
        </is>
      </c>
      <c r="K1886" s="2" t="n">
        <v>2104</v>
      </c>
      <c r="L1886" s="2" t="inlineStr">
        <is>
          <t>New Zealand</t>
        </is>
      </c>
      <c r="M1886" s="2" t="inlineStr">
        <is>
          <t>Manurewa</t>
        </is>
      </c>
      <c r="N1886" s="2" t="inlineStr">
        <is>
          <t>New Zealand</t>
        </is>
      </c>
      <c r="P1886" s="2" t="inlineStr">
        <is>
          <t>Operational Control</t>
        </is>
      </c>
      <c r="Q1886" s="2" t="inlineStr">
        <is>
          <t>Operational Control</t>
        </is>
      </c>
      <c r="R1886" s="2" t="inlineStr">
        <is>
          <t>Transport &amp; Infrastructure (T&amp;I)</t>
        </is>
      </c>
      <c r="S1886" s="2" t="inlineStr">
        <is>
          <t>Downer</t>
        </is>
      </c>
      <c r="T1886" s="2" t="n">
        <v>100</v>
      </c>
      <c r="W1886" s="2" t="inlineStr">
        <is>
          <t>Classification</t>
        </is>
      </c>
      <c r="X1886" s="2" t="n">
        <v>-37.0083</v>
      </c>
      <c r="Y1886" s="2" t="n">
        <v>174.8705</v>
      </c>
    </row>
    <row r="1887">
      <c r="A1887" s="2" t="inlineStr">
        <is>
          <t>Downer</t>
        </is>
      </c>
      <c r="B1887" s="2" t="inlineStr">
        <is>
          <t>Plant (Waikato Alliance)</t>
        </is>
      </c>
      <c r="C1887" s="2" t="inlineStr">
        <is>
          <t>Other</t>
        </is>
      </c>
      <c r="D1887" s="2" t="inlineStr">
        <is>
          <t>L9.DNZJ.55807</t>
        </is>
      </c>
      <c r="E1887" s="2" t="n">
        <v>55807</v>
      </c>
      <c r="H1887" s="2" t="inlineStr">
        <is>
          <t>130 Kerrs Road</t>
        </is>
      </c>
      <c r="I1887" s="2" t="inlineStr">
        <is>
          <t>Wiri</t>
        </is>
      </c>
      <c r="J1887" s="2" t="inlineStr">
        <is>
          <t>Auckland</t>
        </is>
      </c>
      <c r="K1887" s="2" t="n">
        <v>2104</v>
      </c>
      <c r="L1887" s="2" t="inlineStr">
        <is>
          <t>New Zealand</t>
        </is>
      </c>
      <c r="M1887" s="2" t="inlineStr">
        <is>
          <t>Manurewa</t>
        </is>
      </c>
      <c r="N1887" s="2" t="inlineStr">
        <is>
          <t>New Zealand</t>
        </is>
      </c>
      <c r="P1887" s="2" t="inlineStr">
        <is>
          <t>Operational Control</t>
        </is>
      </c>
      <c r="Q1887" s="2" t="inlineStr">
        <is>
          <t>Operational Control</t>
        </is>
      </c>
      <c r="R1887" s="2" t="inlineStr">
        <is>
          <t>Transport &amp; Infrastructure (T&amp;I)</t>
        </is>
      </c>
      <c r="S1887" s="2" t="inlineStr">
        <is>
          <t>Downer</t>
        </is>
      </c>
      <c r="T1887" s="2" t="n">
        <v>100</v>
      </c>
      <c r="W1887" s="2" t="inlineStr">
        <is>
          <t>Classification</t>
        </is>
      </c>
      <c r="X1887" s="2" t="n">
        <v>-37.0083</v>
      </c>
      <c r="Y1887" s="2" t="n">
        <v>174.8705</v>
      </c>
    </row>
    <row r="1888">
      <c r="A1888" s="2" t="inlineStr">
        <is>
          <t>Downer</t>
        </is>
      </c>
      <c r="B1888" s="2" t="inlineStr">
        <is>
          <t>Plant (Waikato TS)</t>
        </is>
      </c>
      <c r="C1888" s="2" t="inlineStr">
        <is>
          <t>Other</t>
        </is>
      </c>
      <c r="D1888" s="2" t="inlineStr">
        <is>
          <t>L9.DNZJ.55808</t>
        </is>
      </c>
      <c r="E1888" s="2" t="n">
        <v>54819</v>
      </c>
      <c r="H1888" s="2" t="inlineStr">
        <is>
          <t>130 Kerrs Road</t>
        </is>
      </c>
      <c r="I1888" s="2" t="inlineStr">
        <is>
          <t>Wiri</t>
        </is>
      </c>
      <c r="J1888" s="2" t="inlineStr">
        <is>
          <t>Auckland</t>
        </is>
      </c>
      <c r="K1888" s="2" t="n">
        <v>2104</v>
      </c>
      <c r="L1888" s="2" t="inlineStr">
        <is>
          <t>New Zealand</t>
        </is>
      </c>
      <c r="M1888" s="2" t="inlineStr">
        <is>
          <t>Manurewa</t>
        </is>
      </c>
      <c r="N1888" s="2" t="inlineStr">
        <is>
          <t>New Zealand</t>
        </is>
      </c>
      <c r="P1888" s="2" t="inlineStr">
        <is>
          <t>Operational Control</t>
        </is>
      </c>
      <c r="Q1888" s="2" t="inlineStr">
        <is>
          <t>Operational Control</t>
        </is>
      </c>
      <c r="R1888" s="2" t="inlineStr">
        <is>
          <t>Transport &amp; Infrastructure (T&amp;I)</t>
        </is>
      </c>
      <c r="S1888" s="2" t="inlineStr">
        <is>
          <t>Downer</t>
        </is>
      </c>
      <c r="T1888" s="2" t="n">
        <v>100</v>
      </c>
      <c r="W1888" s="2" t="inlineStr">
        <is>
          <t>Classification</t>
        </is>
      </c>
      <c r="X1888" s="2" t="n">
        <v>-37.0083</v>
      </c>
      <c r="Y1888" s="2" t="n">
        <v>174.8705</v>
      </c>
    </row>
    <row r="1889">
      <c r="A1889" s="2" t="inlineStr">
        <is>
          <t>Downer</t>
        </is>
      </c>
      <c r="B1889" s="2" t="inlineStr">
        <is>
          <t>Plant (Waipa DC)</t>
        </is>
      </c>
      <c r="C1889" s="2" t="inlineStr">
        <is>
          <t>Plant</t>
        </is>
      </c>
      <c r="D1889" s="2" t="inlineStr">
        <is>
          <t>L9.DNZJ.54839</t>
        </is>
      </c>
      <c r="E1889" s="2" t="n">
        <v>54839</v>
      </c>
      <c r="M1889" s="2" t="inlineStr">
        <is>
          <t>Waikato</t>
        </is>
      </c>
      <c r="N1889" s="2" t="inlineStr">
        <is>
          <t>New Zealand</t>
        </is>
      </c>
      <c r="P1889" s="2" t="inlineStr">
        <is>
          <t>Operational Control</t>
        </is>
      </c>
      <c r="Q1889" s="2" t="inlineStr">
        <is>
          <t>Operational Control</t>
        </is>
      </c>
      <c r="R1889" s="2" t="inlineStr">
        <is>
          <t>Transport &amp; Infrastructure (T&amp;I)</t>
        </is>
      </c>
      <c r="S1889" s="2" t="inlineStr">
        <is>
          <t>Downer</t>
        </is>
      </c>
      <c r="T1889" s="2" t="n">
        <v>100</v>
      </c>
      <c r="W1889" s="2" t="inlineStr">
        <is>
          <t>Classification</t>
        </is>
      </c>
    </row>
    <row r="1890">
      <c r="A1890" s="2" t="inlineStr">
        <is>
          <t>Downer</t>
        </is>
      </c>
      <c r="B1890" s="2" t="inlineStr">
        <is>
          <t>Plant (WCC Maintenance Wgtn)</t>
        </is>
      </c>
      <c r="C1890" s="2" t="inlineStr">
        <is>
          <t>Other</t>
        </is>
      </c>
      <c r="D1890" s="2" t="inlineStr">
        <is>
          <t>L9.DNZJ.55816</t>
        </is>
      </c>
      <c r="E1890" s="2" t="n">
        <v>55816</v>
      </c>
      <c r="H1890" s="2" t="inlineStr">
        <is>
          <t>130 Kerrs Road</t>
        </is>
      </c>
      <c r="I1890" s="2" t="inlineStr">
        <is>
          <t>Wiri</t>
        </is>
      </c>
      <c r="J1890" s="2" t="inlineStr">
        <is>
          <t>Auckland</t>
        </is>
      </c>
      <c r="K1890" s="2" t="n">
        <v>2104</v>
      </c>
      <c r="L1890" s="2" t="inlineStr">
        <is>
          <t>New Zealand</t>
        </is>
      </c>
      <c r="M1890" s="2" t="inlineStr">
        <is>
          <t>Manurewa</t>
        </is>
      </c>
      <c r="N1890" s="2" t="inlineStr">
        <is>
          <t>New Zealand</t>
        </is>
      </c>
      <c r="P1890" s="2" t="inlineStr">
        <is>
          <t>Operational Control</t>
        </is>
      </c>
      <c r="Q1890" s="2" t="inlineStr">
        <is>
          <t>Operational Control</t>
        </is>
      </c>
      <c r="R1890" s="2" t="inlineStr">
        <is>
          <t>Transport &amp; Infrastructure (T&amp;I)</t>
        </is>
      </c>
      <c r="S1890" s="2" t="inlineStr">
        <is>
          <t>Downer</t>
        </is>
      </c>
      <c r="T1890" s="2" t="n">
        <v>100</v>
      </c>
      <c r="W1890" s="2" t="inlineStr">
        <is>
          <t>Classification</t>
        </is>
      </c>
      <c r="X1890" s="2" t="n">
        <v>-37.0083</v>
      </c>
      <c r="Y1890" s="2" t="n">
        <v>174.8705</v>
      </c>
    </row>
    <row r="1891">
      <c r="A1891" s="2" t="inlineStr">
        <is>
          <t>Downer</t>
        </is>
      </c>
      <c r="B1891" s="2" t="inlineStr">
        <is>
          <t>Plant (Wellington Other)</t>
        </is>
      </c>
      <c r="C1891" s="2" t="inlineStr">
        <is>
          <t>Other</t>
        </is>
      </c>
      <c r="D1891" s="2" t="inlineStr">
        <is>
          <t>L9.DNZJ.55856</t>
        </is>
      </c>
      <c r="E1891" s="2" t="n">
        <v>55856</v>
      </c>
      <c r="H1891" s="2" t="inlineStr">
        <is>
          <t>130 Kerrs Road</t>
        </is>
      </c>
      <c r="I1891" s="2" t="inlineStr">
        <is>
          <t>Wiri</t>
        </is>
      </c>
      <c r="J1891" s="2" t="inlineStr">
        <is>
          <t>Auckland</t>
        </is>
      </c>
      <c r="K1891" s="2" t="n">
        <v>2104</v>
      </c>
      <c r="L1891" s="2" t="inlineStr">
        <is>
          <t>New Zealand</t>
        </is>
      </c>
      <c r="M1891" s="2" t="inlineStr">
        <is>
          <t>Manurewa</t>
        </is>
      </c>
      <c r="N1891" s="2" t="inlineStr">
        <is>
          <t>New Zealand</t>
        </is>
      </c>
      <c r="P1891" s="2" t="inlineStr">
        <is>
          <t>Operational Control</t>
        </is>
      </c>
      <c r="Q1891" s="2" t="inlineStr">
        <is>
          <t>Operational Control</t>
        </is>
      </c>
      <c r="R1891" s="2" t="inlineStr">
        <is>
          <t>Transport &amp; Infrastructure (T&amp;I)</t>
        </is>
      </c>
      <c r="S1891" s="2" t="inlineStr">
        <is>
          <t>Downer</t>
        </is>
      </c>
      <c r="T1891" s="2" t="n">
        <v>100</v>
      </c>
      <c r="W1891" s="2" t="inlineStr">
        <is>
          <t>Classification</t>
        </is>
      </c>
      <c r="X1891" s="2" t="n">
        <v>-37.0083</v>
      </c>
      <c r="Y1891" s="2" t="n">
        <v>174.8705</v>
      </c>
    </row>
    <row r="1892">
      <c r="A1892" s="2" t="inlineStr">
        <is>
          <t>Downer</t>
        </is>
      </c>
      <c r="B1892" s="2" t="inlineStr">
        <is>
          <t>Plant (Whanganui Alliance)</t>
        </is>
      </c>
      <c r="C1892" s="2" t="inlineStr">
        <is>
          <t>Other</t>
        </is>
      </c>
      <c r="D1892" s="2" t="inlineStr">
        <is>
          <t>L9.DNZJ.55854</t>
        </is>
      </c>
      <c r="E1892" s="2" t="n">
        <v>55854</v>
      </c>
      <c r="H1892" s="2" t="inlineStr">
        <is>
          <t>130 Kerrs Road</t>
        </is>
      </c>
      <c r="I1892" s="2" t="inlineStr">
        <is>
          <t>Wiri</t>
        </is>
      </c>
      <c r="J1892" s="2" t="inlineStr">
        <is>
          <t>Auckland</t>
        </is>
      </c>
      <c r="K1892" s="2" t="n">
        <v>2104</v>
      </c>
      <c r="L1892" s="2" t="inlineStr">
        <is>
          <t>New Zealand</t>
        </is>
      </c>
      <c r="M1892" s="2" t="inlineStr">
        <is>
          <t>Manurewa</t>
        </is>
      </c>
      <c r="N1892" s="2" t="inlineStr">
        <is>
          <t>New Zealand</t>
        </is>
      </c>
      <c r="P1892" s="2" t="inlineStr">
        <is>
          <t>Operational Control</t>
        </is>
      </c>
      <c r="Q1892" s="2" t="inlineStr">
        <is>
          <t>Operational Control</t>
        </is>
      </c>
      <c r="R1892" s="2" t="inlineStr">
        <is>
          <t>Transport &amp; Infrastructure (T&amp;I)</t>
        </is>
      </c>
      <c r="S1892" s="2" t="inlineStr">
        <is>
          <t>Downer</t>
        </is>
      </c>
      <c r="T1892" s="2" t="n">
        <v>100</v>
      </c>
      <c r="W1892" s="2" t="inlineStr">
        <is>
          <t>Classification</t>
        </is>
      </c>
      <c r="X1892" s="2" t="n">
        <v>-37.0083</v>
      </c>
      <c r="Y1892" s="2" t="n">
        <v>174.8705</v>
      </c>
    </row>
    <row r="1893">
      <c r="A1893" s="2" t="inlineStr">
        <is>
          <t>Downer</t>
        </is>
      </c>
      <c r="B1893" s="2" t="inlineStr">
        <is>
          <t>Plant Admin</t>
        </is>
      </c>
      <c r="C1893" s="2" t="inlineStr">
        <is>
          <t>Other</t>
        </is>
      </c>
      <c r="D1893" s="2" t="inlineStr">
        <is>
          <t>L9.DNZJ.1920</t>
        </is>
      </c>
      <c r="E1893" s="2" t="n">
        <v>1920</v>
      </c>
      <c r="H1893" s="2" t="inlineStr">
        <is>
          <t>130 Kerrs Road</t>
        </is>
      </c>
      <c r="I1893" s="2" t="inlineStr">
        <is>
          <t>Wiri</t>
        </is>
      </c>
      <c r="J1893" s="2" t="inlineStr">
        <is>
          <t>Auckland</t>
        </is>
      </c>
      <c r="K1893" s="2" t="n">
        <v>2104</v>
      </c>
      <c r="L1893" s="2" t="inlineStr">
        <is>
          <t>New Zealand</t>
        </is>
      </c>
      <c r="M1893" s="2" t="inlineStr">
        <is>
          <t>Manurewa</t>
        </is>
      </c>
      <c r="N1893" s="2" t="inlineStr">
        <is>
          <t>New Zealand</t>
        </is>
      </c>
      <c r="P1893" s="2" t="inlineStr">
        <is>
          <t>Operational Control</t>
        </is>
      </c>
      <c r="Q1893" s="2" t="inlineStr">
        <is>
          <t>Operational Control</t>
        </is>
      </c>
      <c r="R1893" s="2" t="inlineStr">
        <is>
          <t>Transport &amp; Infrastructure (T&amp;I)</t>
        </is>
      </c>
      <c r="S1893" s="2" t="inlineStr">
        <is>
          <t>Downer</t>
        </is>
      </c>
      <c r="T1893" s="2" t="n">
        <v>100</v>
      </c>
      <c r="W1893" s="2" t="inlineStr">
        <is>
          <t>Classification</t>
        </is>
      </c>
      <c r="X1893" s="2" t="n">
        <v>-37.0083</v>
      </c>
      <c r="Y1893" s="2" t="n">
        <v>174.8705</v>
      </c>
    </row>
    <row r="1894">
      <c r="A1894" s="2" t="inlineStr">
        <is>
          <t>Downer</t>
        </is>
      </c>
      <c r="B1894" s="2" t="inlineStr">
        <is>
          <t>Plant AT Central Urban RCM</t>
        </is>
      </c>
      <c r="C1894" s="2" t="inlineStr">
        <is>
          <t>Other</t>
        </is>
      </c>
      <c r="D1894" s="2" t="inlineStr">
        <is>
          <t>L9.DNZJ.55840</t>
        </is>
      </c>
      <c r="E1894" s="2" t="n">
        <v>55840</v>
      </c>
      <c r="H1894" s="2" t="inlineStr">
        <is>
          <t>130 Kerrs Road</t>
        </is>
      </c>
      <c r="I1894" s="2" t="inlineStr">
        <is>
          <t>Wiri</t>
        </is>
      </c>
      <c r="J1894" s="2" t="inlineStr">
        <is>
          <t>Auckland</t>
        </is>
      </c>
      <c r="K1894" s="2" t="n">
        <v>2104</v>
      </c>
      <c r="L1894" s="2" t="inlineStr">
        <is>
          <t>New Zealand</t>
        </is>
      </c>
      <c r="M1894" s="2" t="inlineStr">
        <is>
          <t>Manurewa</t>
        </is>
      </c>
      <c r="N1894" s="2" t="inlineStr">
        <is>
          <t>New Zealand</t>
        </is>
      </c>
      <c r="P1894" s="2" t="inlineStr">
        <is>
          <t>Operational Control</t>
        </is>
      </c>
      <c r="Q1894" s="2" t="inlineStr">
        <is>
          <t>Operational Control</t>
        </is>
      </c>
      <c r="R1894" s="2" t="inlineStr">
        <is>
          <t>Transport &amp; Infrastructure (T&amp;I)</t>
        </is>
      </c>
      <c r="S1894" s="2" t="inlineStr">
        <is>
          <t>Downer</t>
        </is>
      </c>
      <c r="T1894" s="2" t="n">
        <v>100</v>
      </c>
      <c r="W1894" s="2" t="inlineStr">
        <is>
          <t>Classification</t>
        </is>
      </c>
      <c r="X1894" s="2" t="n">
        <v>-37.0083</v>
      </c>
      <c r="Y1894" s="2" t="n">
        <v>174.8705</v>
      </c>
    </row>
    <row r="1895">
      <c r="A1895" s="2" t="inlineStr">
        <is>
          <t>Downer</t>
        </is>
      </c>
      <c r="B1895" s="2" t="inlineStr">
        <is>
          <t>Plant AT North Rural RCM</t>
        </is>
      </c>
      <c r="C1895" s="2" t="inlineStr">
        <is>
          <t>Other</t>
        </is>
      </c>
      <c r="D1895" s="2" t="inlineStr">
        <is>
          <t>L9.DNZJ.55804</t>
        </is>
      </c>
      <c r="E1895" s="2" t="n">
        <v>55804</v>
      </c>
      <c r="H1895" s="2" t="inlineStr">
        <is>
          <t>130 Kerrs Road</t>
        </is>
      </c>
      <c r="I1895" s="2" t="inlineStr">
        <is>
          <t>Wiri</t>
        </is>
      </c>
      <c r="J1895" s="2" t="inlineStr">
        <is>
          <t>Auckland</t>
        </is>
      </c>
      <c r="K1895" s="2" t="n">
        <v>2104</v>
      </c>
      <c r="L1895" s="2" t="inlineStr">
        <is>
          <t>New Zealand</t>
        </is>
      </c>
      <c r="M1895" s="2" t="inlineStr">
        <is>
          <t>Manurewa</t>
        </is>
      </c>
      <c r="N1895" s="2" t="inlineStr">
        <is>
          <t>New Zealand</t>
        </is>
      </c>
      <c r="P1895" s="2" t="inlineStr">
        <is>
          <t>Operational Control</t>
        </is>
      </c>
      <c r="Q1895" s="2" t="inlineStr">
        <is>
          <t>Operational Control</t>
        </is>
      </c>
      <c r="R1895" s="2" t="inlineStr">
        <is>
          <t>Transport &amp; Infrastructure (T&amp;I)</t>
        </is>
      </c>
      <c r="S1895" s="2" t="inlineStr">
        <is>
          <t>Downer</t>
        </is>
      </c>
      <c r="T1895" s="2" t="n">
        <v>100</v>
      </c>
      <c r="W1895" s="2" t="inlineStr">
        <is>
          <t>Classification</t>
        </is>
      </c>
      <c r="X1895" s="2" t="n">
        <v>-37.0083</v>
      </c>
      <c r="Y1895" s="2" t="n">
        <v>174.8705</v>
      </c>
    </row>
    <row r="1896">
      <c r="A1896" s="2" t="inlineStr">
        <is>
          <t>Downer</t>
        </is>
      </c>
      <c r="B1896" s="2" t="inlineStr">
        <is>
          <t>Plant AT Waiheke-Rakino RCM</t>
        </is>
      </c>
      <c r="C1896" s="2" t="inlineStr">
        <is>
          <t>Other</t>
        </is>
      </c>
      <c r="D1896" s="2" t="inlineStr">
        <is>
          <t>L9.DNZJ.55805</t>
        </is>
      </c>
      <c r="E1896" s="2" t="n">
        <v>55805</v>
      </c>
      <c r="H1896" s="2" t="inlineStr">
        <is>
          <t>130 Kerrs Road</t>
        </is>
      </c>
      <c r="I1896" s="2" t="inlineStr">
        <is>
          <t>Wiri</t>
        </is>
      </c>
      <c r="J1896" s="2" t="inlineStr">
        <is>
          <t>Auckland</t>
        </is>
      </c>
      <c r="K1896" s="2" t="n">
        <v>2104</v>
      </c>
      <c r="L1896" s="2" t="inlineStr">
        <is>
          <t>New Zealand</t>
        </is>
      </c>
      <c r="M1896" s="2" t="inlineStr">
        <is>
          <t>Manurewa</t>
        </is>
      </c>
      <c r="N1896" s="2" t="inlineStr">
        <is>
          <t>New Zealand</t>
        </is>
      </c>
      <c r="P1896" s="2" t="inlineStr">
        <is>
          <t>Operational Control</t>
        </is>
      </c>
      <c r="Q1896" s="2" t="inlineStr">
        <is>
          <t>Operational Control</t>
        </is>
      </c>
      <c r="R1896" s="2" t="inlineStr">
        <is>
          <t>Transport &amp; Infrastructure (T&amp;I)</t>
        </is>
      </c>
      <c r="S1896" s="2" t="inlineStr">
        <is>
          <t>Downer</t>
        </is>
      </c>
      <c r="T1896" s="2" t="n">
        <v>100</v>
      </c>
      <c r="W1896" s="2" t="inlineStr">
        <is>
          <t>Classification</t>
        </is>
      </c>
      <c r="X1896" s="2" t="n">
        <v>-37.0083</v>
      </c>
      <c r="Y1896" s="2" t="n">
        <v>174.8705</v>
      </c>
    </row>
    <row r="1897">
      <c r="A1897" s="2" t="inlineStr">
        <is>
          <t>Downer</t>
        </is>
      </c>
      <c r="B1897" s="2" t="inlineStr">
        <is>
          <t>Plant Concrete Akld</t>
        </is>
      </c>
      <c r="C1897" s="2" t="inlineStr">
        <is>
          <t>Other</t>
        </is>
      </c>
      <c r="D1897" s="2" t="inlineStr">
        <is>
          <t>L9.DNZJ.55836</t>
        </is>
      </c>
      <c r="E1897" s="2" t="n">
        <v>55836</v>
      </c>
      <c r="H1897" s="2" t="inlineStr">
        <is>
          <t>130 Kerrs Road</t>
        </is>
      </c>
      <c r="I1897" s="2" t="inlineStr">
        <is>
          <t>Wiri</t>
        </is>
      </c>
      <c r="J1897" s="2" t="inlineStr">
        <is>
          <t>Auckland</t>
        </is>
      </c>
      <c r="K1897" s="2" t="n">
        <v>2104</v>
      </c>
      <c r="L1897" s="2" t="inlineStr">
        <is>
          <t>New Zealand</t>
        </is>
      </c>
      <c r="M1897" s="2" t="inlineStr">
        <is>
          <t>Manurewa</t>
        </is>
      </c>
      <c r="N1897" s="2" t="inlineStr">
        <is>
          <t>New Zealand</t>
        </is>
      </c>
      <c r="P1897" s="2" t="inlineStr">
        <is>
          <t>Operational Control</t>
        </is>
      </c>
      <c r="Q1897" s="2" t="inlineStr">
        <is>
          <t>Operational Control</t>
        </is>
      </c>
      <c r="R1897" s="2" t="inlineStr">
        <is>
          <t>Transport &amp; Infrastructure (T&amp;I)</t>
        </is>
      </c>
      <c r="S1897" s="2" t="inlineStr">
        <is>
          <t>Downer</t>
        </is>
      </c>
      <c r="T1897" s="2" t="n">
        <v>100</v>
      </c>
      <c r="W1897" s="2" t="inlineStr">
        <is>
          <t>Classification</t>
        </is>
      </c>
      <c r="X1897" s="2" t="n">
        <v>-37.0083</v>
      </c>
      <c r="Y1897" s="2" t="n">
        <v>174.8705</v>
      </c>
    </row>
    <row r="1898">
      <c r="A1898" s="2" t="inlineStr">
        <is>
          <t>Downer</t>
        </is>
      </c>
      <c r="B1898" s="2" t="inlineStr">
        <is>
          <t>Plant Construction Akld</t>
        </is>
      </c>
      <c r="C1898" s="2" t="inlineStr">
        <is>
          <t>Other</t>
        </is>
      </c>
      <c r="D1898" s="2" t="inlineStr">
        <is>
          <t>L9.DNZJ.55825</t>
        </is>
      </c>
      <c r="E1898" s="2" t="n">
        <v>55825</v>
      </c>
      <c r="H1898" s="2" t="inlineStr">
        <is>
          <t>130 Kerrs Road</t>
        </is>
      </c>
      <c r="I1898" s="2" t="inlineStr">
        <is>
          <t>Wiri</t>
        </is>
      </c>
      <c r="J1898" s="2" t="inlineStr">
        <is>
          <t>Auckland</t>
        </is>
      </c>
      <c r="K1898" s="2" t="n">
        <v>2104</v>
      </c>
      <c r="L1898" s="2" t="inlineStr">
        <is>
          <t>New Zealand</t>
        </is>
      </c>
      <c r="M1898" s="2" t="inlineStr">
        <is>
          <t>Manurewa</t>
        </is>
      </c>
      <c r="N1898" s="2" t="inlineStr">
        <is>
          <t>New Zealand</t>
        </is>
      </c>
      <c r="P1898" s="2" t="inlineStr">
        <is>
          <t>Operational Control</t>
        </is>
      </c>
      <c r="Q1898" s="2" t="inlineStr">
        <is>
          <t>Operational Control</t>
        </is>
      </c>
      <c r="R1898" s="2" t="inlineStr">
        <is>
          <t>Transport &amp; Infrastructure (T&amp;I)</t>
        </is>
      </c>
      <c r="S1898" s="2" t="inlineStr">
        <is>
          <t>Downer</t>
        </is>
      </c>
      <c r="T1898" s="2" t="n">
        <v>100</v>
      </c>
      <c r="W1898" s="2" t="inlineStr">
        <is>
          <t>Classification</t>
        </is>
      </c>
      <c r="X1898" s="2" t="n">
        <v>-37.0083</v>
      </c>
      <c r="Y1898" s="2" t="n">
        <v>174.8705</v>
      </c>
    </row>
    <row r="1899">
      <c r="A1899" s="2" t="inlineStr">
        <is>
          <t>Downer</t>
        </is>
      </c>
      <c r="B1899" s="2" t="inlineStr">
        <is>
          <t>Plant Construction Nthld</t>
        </is>
      </c>
      <c r="C1899" s="2" t="inlineStr">
        <is>
          <t>Other</t>
        </is>
      </c>
      <c r="D1899" s="2" t="inlineStr">
        <is>
          <t>L9.DNZJ.55822</t>
        </is>
      </c>
      <c r="E1899" s="2" t="n">
        <v>55822</v>
      </c>
      <c r="H1899" s="2" t="inlineStr">
        <is>
          <t>130 Kerrs Road</t>
        </is>
      </c>
      <c r="I1899" s="2" t="inlineStr">
        <is>
          <t>Wiri</t>
        </is>
      </c>
      <c r="J1899" s="2" t="inlineStr">
        <is>
          <t>Auckland</t>
        </is>
      </c>
      <c r="K1899" s="2" t="n">
        <v>2104</v>
      </c>
      <c r="L1899" s="2" t="inlineStr">
        <is>
          <t>New Zealand</t>
        </is>
      </c>
      <c r="M1899" s="2" t="inlineStr">
        <is>
          <t>Manurewa</t>
        </is>
      </c>
      <c r="N1899" s="2" t="inlineStr">
        <is>
          <t>New Zealand</t>
        </is>
      </c>
      <c r="P1899" s="2" t="inlineStr">
        <is>
          <t>Operational Control</t>
        </is>
      </c>
      <c r="Q1899" s="2" t="inlineStr">
        <is>
          <t>Operational Control</t>
        </is>
      </c>
      <c r="R1899" s="2" t="inlineStr">
        <is>
          <t>Transport &amp; Infrastructure (T&amp;I)</t>
        </is>
      </c>
      <c r="S1899" s="2" t="inlineStr">
        <is>
          <t>Downer</t>
        </is>
      </c>
      <c r="T1899" s="2" t="n">
        <v>100</v>
      </c>
      <c r="W1899" s="2" t="inlineStr">
        <is>
          <t>Classification</t>
        </is>
      </c>
      <c r="X1899" s="2" t="n">
        <v>-37.0083</v>
      </c>
      <c r="Y1899" s="2" t="n">
        <v>174.8705</v>
      </c>
    </row>
    <row r="1900">
      <c r="A1900" s="2" t="inlineStr">
        <is>
          <t>Downer</t>
        </is>
      </c>
      <c r="B1900" s="2" t="inlineStr">
        <is>
          <t>Plant Disposal</t>
        </is>
      </c>
      <c r="C1900" s="2" t="inlineStr">
        <is>
          <t>Other</t>
        </is>
      </c>
      <c r="D1900" s="2" t="inlineStr">
        <is>
          <t>L9.DNZJ.1912</t>
        </is>
      </c>
      <c r="E1900" s="2" t="n">
        <v>1912</v>
      </c>
      <c r="H1900" s="2" t="inlineStr">
        <is>
          <t>130 Kerrs Road</t>
        </is>
      </c>
      <c r="I1900" s="2" t="inlineStr">
        <is>
          <t>Wiri</t>
        </is>
      </c>
      <c r="J1900" s="2" t="inlineStr">
        <is>
          <t>Auckland</t>
        </is>
      </c>
      <c r="K1900" s="2" t="n">
        <v>2104</v>
      </c>
      <c r="L1900" s="2" t="inlineStr">
        <is>
          <t>New Zealand</t>
        </is>
      </c>
      <c r="M1900" s="2" t="inlineStr">
        <is>
          <t>Manurewa</t>
        </is>
      </c>
      <c r="N1900" s="2" t="inlineStr">
        <is>
          <t>New Zealand</t>
        </is>
      </c>
      <c r="P1900" s="2" t="inlineStr">
        <is>
          <t>Operational Control</t>
        </is>
      </c>
      <c r="Q1900" s="2" t="inlineStr">
        <is>
          <t>Operational Control</t>
        </is>
      </c>
      <c r="R1900" s="2" t="inlineStr">
        <is>
          <t>Transport &amp; Infrastructure (T&amp;I)</t>
        </is>
      </c>
      <c r="S1900" s="2" t="inlineStr">
        <is>
          <t>Downer</t>
        </is>
      </c>
      <c r="T1900" s="2" t="n">
        <v>100</v>
      </c>
      <c r="W1900" s="2" t="inlineStr">
        <is>
          <t>Classification</t>
        </is>
      </c>
      <c r="X1900" s="2" t="n">
        <v>-37.0083</v>
      </c>
      <c r="Y1900" s="2" t="n">
        <v>174.8705</v>
      </c>
    </row>
    <row r="1901">
      <c r="A1901" s="2" t="inlineStr">
        <is>
          <t>Downer</t>
        </is>
      </c>
      <c r="B1901" s="2" t="inlineStr">
        <is>
          <t>Plant NTA WDC Mtce</t>
        </is>
      </c>
      <c r="C1901" s="2" t="inlineStr">
        <is>
          <t>Other</t>
        </is>
      </c>
      <c r="D1901" s="2" t="inlineStr">
        <is>
          <t>L9.DNZJ.55830</t>
        </is>
      </c>
      <c r="E1901" s="2" t="n">
        <v>55830</v>
      </c>
      <c r="H1901" s="2" t="inlineStr">
        <is>
          <t>130 Kerrs Road</t>
        </is>
      </c>
      <c r="I1901" s="2" t="inlineStr">
        <is>
          <t>Wiri</t>
        </is>
      </c>
      <c r="J1901" s="2" t="inlineStr">
        <is>
          <t>Auckland</t>
        </is>
      </c>
      <c r="K1901" s="2" t="n">
        <v>2104</v>
      </c>
      <c r="L1901" s="2" t="inlineStr">
        <is>
          <t>New Zealand</t>
        </is>
      </c>
      <c r="M1901" s="2" t="inlineStr">
        <is>
          <t>Manurewa</t>
        </is>
      </c>
      <c r="N1901" s="2" t="inlineStr">
        <is>
          <t>New Zealand</t>
        </is>
      </c>
      <c r="P1901" s="2" t="inlineStr">
        <is>
          <t>Operational Control</t>
        </is>
      </c>
      <c r="Q1901" s="2" t="inlineStr">
        <is>
          <t>Operational Control</t>
        </is>
      </c>
      <c r="R1901" s="2" t="inlineStr">
        <is>
          <t>Transport &amp; Infrastructure (T&amp;I)</t>
        </is>
      </c>
      <c r="S1901" s="2" t="inlineStr">
        <is>
          <t>Downer</t>
        </is>
      </c>
      <c r="T1901" s="2" t="n">
        <v>100</v>
      </c>
      <c r="W1901" s="2" t="inlineStr">
        <is>
          <t>Classification</t>
        </is>
      </c>
      <c r="X1901" s="2" t="n">
        <v>-37.0083</v>
      </c>
      <c r="Y1901" s="2" t="n">
        <v>174.8705</v>
      </c>
    </row>
    <row r="1902">
      <c r="A1902" s="2" t="inlineStr">
        <is>
          <t>Downer</t>
        </is>
      </c>
      <c r="B1902" s="2" t="inlineStr">
        <is>
          <t>Plant Nthld</t>
        </is>
      </c>
      <c r="C1902" s="2" t="inlineStr">
        <is>
          <t>Other</t>
        </is>
      </c>
      <c r="D1902" s="2" t="inlineStr">
        <is>
          <t>L9.DNZJ.55801</t>
        </is>
      </c>
      <c r="E1902" s="2" t="n">
        <v>55801</v>
      </c>
      <c r="H1902" s="2" t="inlineStr">
        <is>
          <t>130 Kerrs Road</t>
        </is>
      </c>
      <c r="I1902" s="2" t="inlineStr">
        <is>
          <t>Wiri</t>
        </is>
      </c>
      <c r="J1902" s="2" t="inlineStr">
        <is>
          <t>Auckland</t>
        </is>
      </c>
      <c r="K1902" s="2" t="n">
        <v>2104</v>
      </c>
      <c r="L1902" s="2" t="inlineStr">
        <is>
          <t>New Zealand</t>
        </is>
      </c>
      <c r="M1902" s="2" t="inlineStr">
        <is>
          <t>Manurewa</t>
        </is>
      </c>
      <c r="N1902" s="2" t="inlineStr">
        <is>
          <t>New Zealand</t>
        </is>
      </c>
      <c r="P1902" s="2" t="inlineStr">
        <is>
          <t>Operational Control</t>
        </is>
      </c>
      <c r="Q1902" s="2" t="inlineStr">
        <is>
          <t>Operational Control</t>
        </is>
      </c>
      <c r="R1902" s="2" t="inlineStr">
        <is>
          <t>Transport &amp; Infrastructure (T&amp;I)</t>
        </is>
      </c>
      <c r="S1902" s="2" t="inlineStr">
        <is>
          <t>Downer</t>
        </is>
      </c>
      <c r="T1902" s="2" t="n">
        <v>100</v>
      </c>
      <c r="W1902" s="2" t="inlineStr">
        <is>
          <t>Classification</t>
        </is>
      </c>
      <c r="X1902" s="2" t="n">
        <v>-37.0083</v>
      </c>
      <c r="Y1902" s="2" t="n">
        <v>174.8705</v>
      </c>
    </row>
    <row r="1903">
      <c r="A1903" s="2" t="inlineStr">
        <is>
          <t>Downer</t>
        </is>
      </c>
      <c r="B1903" s="2" t="inlineStr">
        <is>
          <t>Plant OSM - Blenheim</t>
        </is>
      </c>
      <c r="C1903" s="2" t="inlineStr">
        <is>
          <t>Other</t>
        </is>
      </c>
      <c r="D1903" s="2" t="inlineStr">
        <is>
          <t>L9.DNZJ.55875</t>
        </is>
      </c>
      <c r="E1903" s="2" t="n">
        <v>55875</v>
      </c>
      <c r="M1903" s="2" t="inlineStr">
        <is>
          <t>Manurewa</t>
        </is>
      </c>
      <c r="N1903" s="2" t="inlineStr">
        <is>
          <t>New Zealand</t>
        </is>
      </c>
      <c r="P1903" s="2" t="inlineStr">
        <is>
          <t>Operational Control</t>
        </is>
      </c>
      <c r="Q1903" s="2" t="inlineStr">
        <is>
          <t>Operational Control</t>
        </is>
      </c>
      <c r="R1903" s="2" t="inlineStr">
        <is>
          <t>Transport &amp; Infrastructure (T&amp;I)</t>
        </is>
      </c>
      <c r="S1903" s="2" t="inlineStr">
        <is>
          <t>Downer</t>
        </is>
      </c>
      <c r="T1903" s="2" t="n">
        <v>100</v>
      </c>
      <c r="W1903" s="2" t="inlineStr">
        <is>
          <t>Classification</t>
        </is>
      </c>
    </row>
    <row r="1904">
      <c r="A1904" s="2" t="inlineStr">
        <is>
          <t>Downer</t>
        </is>
      </c>
      <c r="B1904" s="2" t="inlineStr">
        <is>
          <t>Plant Paving Akld</t>
        </is>
      </c>
      <c r="C1904" s="2" t="inlineStr">
        <is>
          <t>Other</t>
        </is>
      </c>
      <c r="D1904" s="2" t="inlineStr">
        <is>
          <t>L9.DNZJ.55834</t>
        </is>
      </c>
      <c r="E1904" s="2" t="n">
        <v>55834</v>
      </c>
      <c r="H1904" s="2" t="inlineStr">
        <is>
          <t>130 Kerrs Road</t>
        </is>
      </c>
      <c r="I1904" s="2" t="inlineStr">
        <is>
          <t>Wiri</t>
        </is>
      </c>
      <c r="J1904" s="2" t="inlineStr">
        <is>
          <t>Auckland</t>
        </is>
      </c>
      <c r="K1904" s="2" t="n">
        <v>2104</v>
      </c>
      <c r="L1904" s="2" t="inlineStr">
        <is>
          <t>New Zealand</t>
        </is>
      </c>
      <c r="M1904" s="2" t="inlineStr">
        <is>
          <t>Manurewa</t>
        </is>
      </c>
      <c r="N1904" s="2" t="inlineStr">
        <is>
          <t>New Zealand</t>
        </is>
      </c>
      <c r="P1904" s="2" t="inlineStr">
        <is>
          <t>Operational Control</t>
        </is>
      </c>
      <c r="Q1904" s="2" t="inlineStr">
        <is>
          <t>Operational Control</t>
        </is>
      </c>
      <c r="R1904" s="2" t="inlineStr">
        <is>
          <t>Transport &amp; Infrastructure (T&amp;I)</t>
        </is>
      </c>
      <c r="S1904" s="2" t="inlineStr">
        <is>
          <t>Downer</t>
        </is>
      </c>
      <c r="T1904" s="2" t="n">
        <v>100</v>
      </c>
      <c r="W1904" s="2" t="inlineStr">
        <is>
          <t>Classification</t>
        </is>
      </c>
      <c r="X1904" s="2" t="n">
        <v>-37.0083</v>
      </c>
      <c r="Y1904" s="2" t="n">
        <v>174.8705</v>
      </c>
    </row>
    <row r="1905">
      <c r="A1905" s="2" t="inlineStr">
        <is>
          <t>Downer</t>
        </is>
      </c>
      <c r="B1905" s="2" t="inlineStr">
        <is>
          <t>Plant Penrose Akld</t>
        </is>
      </c>
      <c r="C1905" s="2" t="inlineStr">
        <is>
          <t>Other</t>
        </is>
      </c>
      <c r="D1905" s="2" t="inlineStr">
        <is>
          <t>L9.DNZJ.55803</t>
        </is>
      </c>
      <c r="E1905" s="2" t="n">
        <v>55803</v>
      </c>
      <c r="H1905" s="2" t="inlineStr">
        <is>
          <t>130 Kerrs Road</t>
        </is>
      </c>
      <c r="I1905" s="2" t="inlineStr">
        <is>
          <t>Wiri</t>
        </is>
      </c>
      <c r="J1905" s="2" t="inlineStr">
        <is>
          <t>Auckland</t>
        </is>
      </c>
      <c r="K1905" s="2" t="n">
        <v>2104</v>
      </c>
      <c r="L1905" s="2" t="inlineStr">
        <is>
          <t>New Zealand</t>
        </is>
      </c>
      <c r="M1905" s="2" t="inlineStr">
        <is>
          <t>Manurewa</t>
        </is>
      </c>
      <c r="N1905" s="2" t="inlineStr">
        <is>
          <t>New Zealand</t>
        </is>
      </c>
      <c r="P1905" s="2" t="inlineStr">
        <is>
          <t>Operational Control</t>
        </is>
      </c>
      <c r="Q1905" s="2" t="inlineStr">
        <is>
          <t>Operational Control</t>
        </is>
      </c>
      <c r="R1905" s="2" t="inlineStr">
        <is>
          <t>Transport &amp; Infrastructure (T&amp;I)</t>
        </is>
      </c>
      <c r="S1905" s="2" t="inlineStr">
        <is>
          <t>Downer</t>
        </is>
      </c>
      <c r="T1905" s="2" t="n">
        <v>100</v>
      </c>
      <c r="W1905" s="2" t="inlineStr">
        <is>
          <t>Classification</t>
        </is>
      </c>
      <c r="X1905" s="2" t="n">
        <v>-37.0083</v>
      </c>
      <c r="Y1905" s="2" t="n">
        <v>174.8705</v>
      </c>
    </row>
    <row r="1906">
      <c r="A1906" s="2" t="inlineStr">
        <is>
          <t>Downer</t>
        </is>
      </c>
      <c r="B1906" s="2" t="inlineStr">
        <is>
          <t>Plant Sealing Akld</t>
        </is>
      </c>
      <c r="C1906" s="2" t="inlineStr">
        <is>
          <t>Other</t>
        </is>
      </c>
      <c r="D1906" s="2" t="inlineStr">
        <is>
          <t>L9.DNZJ.55832</t>
        </is>
      </c>
      <c r="E1906" s="2" t="n">
        <v>55832</v>
      </c>
      <c r="H1906" s="2" t="inlineStr">
        <is>
          <t>130 Kerrs Road</t>
        </is>
      </c>
      <c r="I1906" s="2" t="inlineStr">
        <is>
          <t>Wiri</t>
        </is>
      </c>
      <c r="J1906" s="2" t="inlineStr">
        <is>
          <t>Auckland</t>
        </is>
      </c>
      <c r="K1906" s="2" t="n">
        <v>2104</v>
      </c>
      <c r="L1906" s="2" t="inlineStr">
        <is>
          <t>New Zealand</t>
        </is>
      </c>
      <c r="M1906" s="2" t="inlineStr">
        <is>
          <t>Manurewa</t>
        </is>
      </c>
      <c r="N1906" s="2" t="inlineStr">
        <is>
          <t>New Zealand</t>
        </is>
      </c>
      <c r="P1906" s="2" t="inlineStr">
        <is>
          <t>Operational Control</t>
        </is>
      </c>
      <c r="Q1906" s="2" t="inlineStr">
        <is>
          <t>Operational Control</t>
        </is>
      </c>
      <c r="R1906" s="2" t="inlineStr">
        <is>
          <t>Transport &amp; Infrastructure (T&amp;I)</t>
        </is>
      </c>
      <c r="S1906" s="2" t="inlineStr">
        <is>
          <t>Downer</t>
        </is>
      </c>
      <c r="T1906" s="2" t="n">
        <v>100</v>
      </c>
      <c r="W1906" s="2" t="inlineStr">
        <is>
          <t>Classification</t>
        </is>
      </c>
      <c r="X1906" s="2" t="n">
        <v>-37.0083</v>
      </c>
      <c r="Y1906" s="2" t="n">
        <v>174.8705</v>
      </c>
    </row>
    <row r="1907">
      <c r="A1907" s="2" t="inlineStr">
        <is>
          <t>Downer</t>
        </is>
      </c>
      <c r="B1907" s="2" t="inlineStr">
        <is>
          <t>Plant Sealing Nthld</t>
        </is>
      </c>
      <c r="C1907" s="2" t="inlineStr">
        <is>
          <t>Other</t>
        </is>
      </c>
      <c r="D1907" s="2" t="inlineStr">
        <is>
          <t>L9.DNZJ.55857</t>
        </is>
      </c>
      <c r="E1907" s="2" t="n">
        <v>55857</v>
      </c>
      <c r="H1907" s="2" t="inlineStr">
        <is>
          <t>130 Kerrs Road</t>
        </is>
      </c>
      <c r="I1907" s="2" t="inlineStr">
        <is>
          <t>Wiri</t>
        </is>
      </c>
      <c r="J1907" s="2" t="inlineStr">
        <is>
          <t>Auckland</t>
        </is>
      </c>
      <c r="K1907" s="2" t="n">
        <v>2104</v>
      </c>
      <c r="L1907" s="2" t="inlineStr">
        <is>
          <t>New Zealand</t>
        </is>
      </c>
      <c r="M1907" s="2" t="inlineStr">
        <is>
          <t>Manurewa</t>
        </is>
      </c>
      <c r="N1907" s="2" t="inlineStr">
        <is>
          <t>New Zealand</t>
        </is>
      </c>
      <c r="P1907" s="2" t="inlineStr">
        <is>
          <t>Operational Control</t>
        </is>
      </c>
      <c r="Q1907" s="2" t="inlineStr">
        <is>
          <t>Operational Control</t>
        </is>
      </c>
      <c r="R1907" s="2" t="inlineStr">
        <is>
          <t>Transport &amp; Infrastructure (T&amp;I)</t>
        </is>
      </c>
      <c r="S1907" s="2" t="inlineStr">
        <is>
          <t>Downer</t>
        </is>
      </c>
      <c r="T1907" s="2" t="n">
        <v>100</v>
      </c>
      <c r="W1907" s="2" t="inlineStr">
        <is>
          <t>Classification</t>
        </is>
      </c>
      <c r="X1907" s="2" t="n">
        <v>-37.0083</v>
      </c>
      <c r="Y1907" s="2" t="n">
        <v>174.8705</v>
      </c>
    </row>
    <row r="1908">
      <c r="A1908" s="2" t="inlineStr">
        <is>
          <t>Downer</t>
        </is>
      </c>
      <c r="B1908" s="2" t="inlineStr">
        <is>
          <t>Plant Surplus</t>
        </is>
      </c>
      <c r="C1908" s="2" t="inlineStr">
        <is>
          <t>Other</t>
        </is>
      </c>
      <c r="D1908" s="2" t="inlineStr">
        <is>
          <t>L9.DNZJ.1911</t>
        </is>
      </c>
      <c r="E1908" s="2" t="n">
        <v>1911</v>
      </c>
      <c r="H1908" s="2" t="inlineStr">
        <is>
          <t>130 Kerrs Road</t>
        </is>
      </c>
      <c r="I1908" s="2" t="inlineStr">
        <is>
          <t>Wiri</t>
        </is>
      </c>
      <c r="J1908" s="2" t="inlineStr">
        <is>
          <t>Auckland</t>
        </is>
      </c>
      <c r="K1908" s="2" t="n">
        <v>2104</v>
      </c>
      <c r="L1908" s="2" t="inlineStr">
        <is>
          <t>New Zealand</t>
        </is>
      </c>
      <c r="M1908" s="2" t="inlineStr">
        <is>
          <t>Manurewa</t>
        </is>
      </c>
      <c r="N1908" s="2" t="inlineStr">
        <is>
          <t>New Zealand</t>
        </is>
      </c>
      <c r="P1908" s="2" t="inlineStr">
        <is>
          <t>Operational Control</t>
        </is>
      </c>
      <c r="Q1908" s="2" t="inlineStr">
        <is>
          <t>Operational Control</t>
        </is>
      </c>
      <c r="R1908" s="2" t="inlineStr">
        <is>
          <t>Transport &amp; Infrastructure (T&amp;I)</t>
        </is>
      </c>
      <c r="S1908" s="2" t="inlineStr">
        <is>
          <t>Downer</t>
        </is>
      </c>
      <c r="T1908" s="2" t="n">
        <v>100</v>
      </c>
      <c r="W1908" s="2" t="inlineStr">
        <is>
          <t>Classification</t>
        </is>
      </c>
      <c r="X1908" s="2" t="n">
        <v>-37.0083</v>
      </c>
      <c r="Y1908" s="2" t="n">
        <v>174.8705</v>
      </c>
    </row>
    <row r="1909">
      <c r="A1909" s="2" t="inlineStr">
        <is>
          <t>Downer</t>
        </is>
      </c>
      <c r="B1909" s="2" t="inlineStr">
        <is>
          <t>Plant Traffic Management Akld</t>
        </is>
      </c>
      <c r="C1909" s="2" t="inlineStr">
        <is>
          <t>Other</t>
        </is>
      </c>
      <c r="D1909" s="2" t="inlineStr">
        <is>
          <t>L9.DNZJ.55843</t>
        </is>
      </c>
      <c r="E1909" s="2" t="n">
        <v>55843</v>
      </c>
      <c r="H1909" s="2" t="inlineStr">
        <is>
          <t>130 Kerrs Road</t>
        </is>
      </c>
      <c r="I1909" s="2" t="inlineStr">
        <is>
          <t>Wiri</t>
        </is>
      </c>
      <c r="J1909" s="2" t="inlineStr">
        <is>
          <t>Auckland</t>
        </is>
      </c>
      <c r="K1909" s="2" t="n">
        <v>2104</v>
      </c>
      <c r="L1909" s="2" t="inlineStr">
        <is>
          <t>New Zealand</t>
        </is>
      </c>
      <c r="M1909" s="2" t="inlineStr">
        <is>
          <t>Manurewa</t>
        </is>
      </c>
      <c r="N1909" s="2" t="inlineStr">
        <is>
          <t>New Zealand</t>
        </is>
      </c>
      <c r="P1909" s="2" t="inlineStr">
        <is>
          <t>Operational Control</t>
        </is>
      </c>
      <c r="Q1909" s="2" t="inlineStr">
        <is>
          <t>Operational Control</t>
        </is>
      </c>
      <c r="R1909" s="2" t="inlineStr">
        <is>
          <t>Transport &amp; Infrastructure (T&amp;I)</t>
        </is>
      </c>
      <c r="S1909" s="2" t="inlineStr">
        <is>
          <t>Downer</t>
        </is>
      </c>
      <c r="T1909" s="2" t="n">
        <v>100</v>
      </c>
      <c r="W1909" s="2" t="inlineStr">
        <is>
          <t>Classification</t>
        </is>
      </c>
      <c r="X1909" s="2" t="n">
        <v>-37.0083</v>
      </c>
      <c r="Y1909" s="2" t="n">
        <v>174.8705</v>
      </c>
    </row>
    <row r="1910">
      <c r="A1910" s="2" t="inlineStr">
        <is>
          <t>Downer</t>
        </is>
      </c>
      <c r="B1910" s="2" t="inlineStr">
        <is>
          <t>Plant Traffic Management Nthld</t>
        </is>
      </c>
      <c r="C1910" s="2" t="inlineStr">
        <is>
          <t>Other</t>
        </is>
      </c>
      <c r="D1910" s="2" t="inlineStr">
        <is>
          <t>L9.DNZJ.55828</t>
        </is>
      </c>
      <c r="E1910" s="2" t="n">
        <v>55828</v>
      </c>
      <c r="H1910" s="2" t="inlineStr">
        <is>
          <t>130 Kerrs Road</t>
        </is>
      </c>
      <c r="I1910" s="2" t="inlineStr">
        <is>
          <t>Wiri</t>
        </is>
      </c>
      <c r="J1910" s="2" t="inlineStr">
        <is>
          <t>Auckland</t>
        </is>
      </c>
      <c r="K1910" s="2" t="n">
        <v>2104</v>
      </c>
      <c r="L1910" s="2" t="inlineStr">
        <is>
          <t>New Zealand</t>
        </is>
      </c>
      <c r="M1910" s="2" t="inlineStr">
        <is>
          <t>Manurewa</t>
        </is>
      </c>
      <c r="N1910" s="2" t="inlineStr">
        <is>
          <t>New Zealand</t>
        </is>
      </c>
      <c r="P1910" s="2" t="inlineStr">
        <is>
          <t>Operational Control</t>
        </is>
      </c>
      <c r="Q1910" s="2" t="inlineStr">
        <is>
          <t>Operational Control</t>
        </is>
      </c>
      <c r="R1910" s="2" t="inlineStr">
        <is>
          <t>Transport &amp; Infrastructure (T&amp;I)</t>
        </is>
      </c>
      <c r="S1910" s="2" t="inlineStr">
        <is>
          <t>Downer</t>
        </is>
      </c>
      <c r="T1910" s="2" t="n">
        <v>100</v>
      </c>
      <c r="W1910" s="2" t="inlineStr">
        <is>
          <t>Classification</t>
        </is>
      </c>
      <c r="X1910" s="2" t="n">
        <v>-37.0083</v>
      </c>
      <c r="Y1910" s="2" t="n">
        <v>174.8705</v>
      </c>
    </row>
    <row r="1911">
      <c r="A1911" s="2" t="inlineStr">
        <is>
          <t>Downer</t>
        </is>
      </c>
      <c r="B1911" s="2" t="inlineStr">
        <is>
          <t>Plant Traffic Signs &amp; Proj Akl</t>
        </is>
      </c>
      <c r="C1911" s="2" t="inlineStr">
        <is>
          <t>Other</t>
        </is>
      </c>
      <c r="D1911" s="2" t="inlineStr">
        <is>
          <t>L9.DNZJ.54824</t>
        </is>
      </c>
      <c r="E1911" s="2" t="n">
        <v>54824</v>
      </c>
      <c r="H1911" s="2" t="inlineStr">
        <is>
          <t>130 Kerrs Road</t>
        </is>
      </c>
      <c r="I1911" s="2" t="inlineStr">
        <is>
          <t>Wiri</t>
        </is>
      </c>
      <c r="J1911" s="2" t="inlineStr">
        <is>
          <t>Auckland</t>
        </is>
      </c>
      <c r="K1911" s="2" t="n">
        <v>2104</v>
      </c>
      <c r="L1911" s="2" t="inlineStr">
        <is>
          <t>New Zealand</t>
        </is>
      </c>
      <c r="M1911" s="2" t="inlineStr">
        <is>
          <t>Manurewa</t>
        </is>
      </c>
      <c r="N1911" s="2" t="inlineStr">
        <is>
          <t>New Zealand</t>
        </is>
      </c>
      <c r="P1911" s="2" t="inlineStr">
        <is>
          <t>Operational Control</t>
        </is>
      </c>
      <c r="Q1911" s="2" t="inlineStr">
        <is>
          <t>Operational Control</t>
        </is>
      </c>
      <c r="R1911" s="2" t="inlineStr">
        <is>
          <t>Transport &amp; Infrastructure (T&amp;I)</t>
        </is>
      </c>
      <c r="S1911" s="2" t="inlineStr">
        <is>
          <t>Downer</t>
        </is>
      </c>
      <c r="T1911" s="2" t="n">
        <v>100</v>
      </c>
      <c r="W1911" s="2" t="inlineStr">
        <is>
          <t>Classification</t>
        </is>
      </c>
      <c r="X1911" s="2" t="n">
        <v>-37.0083</v>
      </c>
      <c r="Y1911" s="2" t="n">
        <v>174.8705</v>
      </c>
    </row>
    <row r="1912">
      <c r="A1912" s="2" t="inlineStr">
        <is>
          <t>Downer</t>
        </is>
      </c>
      <c r="B1912" s="2" t="inlineStr">
        <is>
          <t>Plant Workshops</t>
        </is>
      </c>
      <c r="C1912" s="2" t="inlineStr">
        <is>
          <t>Other</t>
        </is>
      </c>
      <c r="D1912" s="2" t="inlineStr">
        <is>
          <t>L9.DNZJ.1922</t>
        </is>
      </c>
      <c r="E1912" s="2" t="n">
        <v>1922</v>
      </c>
      <c r="H1912" s="2" t="inlineStr">
        <is>
          <t>130 Kerrs Road</t>
        </is>
      </c>
      <c r="I1912" s="2" t="inlineStr">
        <is>
          <t>Wiri</t>
        </is>
      </c>
      <c r="J1912" s="2" t="inlineStr">
        <is>
          <t>Auckland</t>
        </is>
      </c>
      <c r="K1912" s="2" t="n">
        <v>2104</v>
      </c>
      <c r="L1912" s="2" t="inlineStr">
        <is>
          <t>New Zealand</t>
        </is>
      </c>
      <c r="M1912" s="2" t="inlineStr">
        <is>
          <t>Manurewa</t>
        </is>
      </c>
      <c r="N1912" s="2" t="inlineStr">
        <is>
          <t>New Zealand</t>
        </is>
      </c>
      <c r="P1912" s="2" t="inlineStr">
        <is>
          <t>Operational Control</t>
        </is>
      </c>
      <c r="Q1912" s="2" t="inlineStr">
        <is>
          <t>Operational Control</t>
        </is>
      </c>
      <c r="R1912" s="2" t="inlineStr">
        <is>
          <t>Transport &amp; Infrastructure (T&amp;I)</t>
        </is>
      </c>
      <c r="S1912" s="2" t="inlineStr">
        <is>
          <t>Downer</t>
        </is>
      </c>
      <c r="T1912" s="2" t="n">
        <v>100</v>
      </c>
      <c r="W1912" s="2" t="inlineStr">
        <is>
          <t>Classification</t>
        </is>
      </c>
      <c r="X1912" s="2" t="n">
        <v>-37.0083</v>
      </c>
      <c r="Y1912" s="2" t="n">
        <v>174.8705</v>
      </c>
    </row>
    <row r="1913">
      <c r="A1913" s="2" t="inlineStr">
        <is>
          <t>Downer</t>
        </is>
      </c>
      <c r="B1913" s="2" t="inlineStr">
        <is>
          <t>Plant Yard</t>
        </is>
      </c>
      <c r="C1913" s="2" t="inlineStr">
        <is>
          <t>Other</t>
        </is>
      </c>
      <c r="D1913" s="2" t="inlineStr">
        <is>
          <t>L9.DNZJ.8818</t>
        </is>
      </c>
      <c r="E1913" s="2" t="n">
        <v>8818</v>
      </c>
      <c r="H1913" s="2" t="inlineStr">
        <is>
          <t>130 Kerrs Road</t>
        </is>
      </c>
      <c r="I1913" s="2" t="inlineStr">
        <is>
          <t>Wiri</t>
        </is>
      </c>
      <c r="J1913" s="2" t="inlineStr">
        <is>
          <t>Auckland</t>
        </is>
      </c>
      <c r="K1913" s="2" t="n">
        <v>2104</v>
      </c>
      <c r="L1913" s="2" t="inlineStr">
        <is>
          <t>New Zealand</t>
        </is>
      </c>
      <c r="M1913" s="2" t="inlineStr">
        <is>
          <t>Manurewa</t>
        </is>
      </c>
      <c r="N1913" s="2" t="inlineStr">
        <is>
          <t>New Zealand</t>
        </is>
      </c>
      <c r="P1913" s="2" t="inlineStr">
        <is>
          <t>Operational Control</t>
        </is>
      </c>
      <c r="Q1913" s="2" t="inlineStr">
        <is>
          <t>Operational Control</t>
        </is>
      </c>
      <c r="R1913" s="2" t="inlineStr">
        <is>
          <t>Transport &amp; Infrastructure (T&amp;I)</t>
        </is>
      </c>
      <c r="S1913" s="2" t="inlineStr">
        <is>
          <t>Downer</t>
        </is>
      </c>
      <c r="T1913" s="2" t="n">
        <v>100</v>
      </c>
      <c r="W1913" s="2" t="inlineStr">
        <is>
          <t>Classification</t>
        </is>
      </c>
      <c r="X1913" s="2" t="n">
        <v>-37.0083</v>
      </c>
      <c r="Y1913" s="2" t="n">
        <v>174.8705</v>
      </c>
    </row>
    <row r="1914">
      <c r="A1914" s="2" t="inlineStr">
        <is>
          <t>Downer</t>
        </is>
      </c>
      <c r="B1914" s="2" t="inlineStr">
        <is>
          <t>Plant(Manawatu Traffic Svces)</t>
        </is>
      </c>
      <c r="C1914" s="2" t="inlineStr">
        <is>
          <t>Other</t>
        </is>
      </c>
      <c r="D1914" s="2" t="inlineStr">
        <is>
          <t>L9.DNZJ.54813</t>
        </is>
      </c>
      <c r="E1914" s="2" t="n">
        <v>54825</v>
      </c>
      <c r="H1914" s="2" t="inlineStr">
        <is>
          <t>130 Kerrs Road</t>
        </is>
      </c>
      <c r="I1914" s="2" t="inlineStr">
        <is>
          <t>Wiri</t>
        </is>
      </c>
      <c r="J1914" s="2" t="inlineStr">
        <is>
          <t>Auckland</t>
        </is>
      </c>
      <c r="K1914" s="2" t="n">
        <v>2104</v>
      </c>
      <c r="L1914" s="2" t="inlineStr">
        <is>
          <t>New Zealand</t>
        </is>
      </c>
      <c r="M1914" s="2" t="inlineStr">
        <is>
          <t>Manurewa</t>
        </is>
      </c>
      <c r="N1914" s="2" t="inlineStr">
        <is>
          <t>New Zealand</t>
        </is>
      </c>
      <c r="P1914" s="2" t="inlineStr">
        <is>
          <t>Operational Control</t>
        </is>
      </c>
      <c r="Q1914" s="2" t="inlineStr">
        <is>
          <t>Operational Control</t>
        </is>
      </c>
      <c r="R1914" s="2" t="inlineStr">
        <is>
          <t>Transport &amp; Infrastructure (T&amp;I)</t>
        </is>
      </c>
      <c r="S1914" s="2" t="inlineStr">
        <is>
          <t>Downer</t>
        </is>
      </c>
      <c r="T1914" s="2" t="n">
        <v>100</v>
      </c>
      <c r="W1914" s="2" t="inlineStr">
        <is>
          <t>Classification</t>
        </is>
      </c>
      <c r="X1914" s="2" t="n">
        <v>-37.0083</v>
      </c>
      <c r="Y1914" s="2" t="n">
        <v>174.8705</v>
      </c>
    </row>
    <row r="1915">
      <c r="A1915" s="2" t="inlineStr">
        <is>
          <t>Downer</t>
        </is>
      </c>
      <c r="B1915" s="2" t="inlineStr">
        <is>
          <t>PMO</t>
        </is>
      </c>
      <c r="C1915" s="2" t="inlineStr">
        <is>
          <t>Other</t>
        </is>
      </c>
      <c r="D1915" s="2" t="inlineStr">
        <is>
          <t>L9.DNZJ.56906</t>
        </is>
      </c>
      <c r="E1915" s="2" t="n">
        <v>56906</v>
      </c>
      <c r="M1915" s="2" t="inlineStr">
        <is>
          <t>Auckland</t>
        </is>
      </c>
      <c r="N1915" s="2" t="inlineStr">
        <is>
          <t>New Zealand</t>
        </is>
      </c>
      <c r="P1915" s="2" t="inlineStr">
        <is>
          <t>Operational Control</t>
        </is>
      </c>
      <c r="Q1915" s="2" t="inlineStr">
        <is>
          <t>Operational Control</t>
        </is>
      </c>
      <c r="R1915" s="2" t="inlineStr">
        <is>
          <t>Energy and Utilities (EU)</t>
        </is>
      </c>
      <c r="S1915" s="2" t="inlineStr">
        <is>
          <t>Downer</t>
        </is>
      </c>
      <c r="T1915" s="2" t="n">
        <v>100</v>
      </c>
      <c r="W1915" s="2" t="inlineStr">
        <is>
          <t>Classification</t>
        </is>
      </c>
    </row>
    <row r="1916">
      <c r="A1916" s="2" t="inlineStr">
        <is>
          <t>Downer</t>
        </is>
      </c>
      <c r="B1916" s="2" t="inlineStr">
        <is>
          <t>PN PLAZA SHOPPING CENTRE</t>
        </is>
      </c>
      <c r="C1916" s="2" t="inlineStr">
        <is>
          <t>Shopping Centre</t>
        </is>
      </c>
      <c r="D1916" s="2" t="inlineStr">
        <is>
          <t>L9.DNZ.HW0249</t>
        </is>
      </c>
      <c r="E1916" s="2" t="inlineStr">
        <is>
          <t>JP_HW0249</t>
        </is>
      </c>
      <c r="G1916" s="2" t="inlineStr">
        <is>
          <t>TI-NZT.BP.HW0249 Palmerston North Plaza</t>
        </is>
      </c>
      <c r="M1916" s="2" t="inlineStr">
        <is>
          <t>Palmerston North</t>
        </is>
      </c>
      <c r="N1916" s="2" t="inlineStr">
        <is>
          <t>New Zealand</t>
        </is>
      </c>
      <c r="P1916" s="2" t="inlineStr">
        <is>
          <t>Operational Control</t>
        </is>
      </c>
      <c r="Q1916" s="2" t="inlineStr">
        <is>
          <t>Operational Control</t>
        </is>
      </c>
      <c r="R1916" s="2" t="inlineStr">
        <is>
          <t>Transport &amp; Infrastructure (T&amp;I)</t>
        </is>
      </c>
      <c r="S1916" s="2" t="inlineStr">
        <is>
          <t>Downer</t>
        </is>
      </c>
      <c r="T1916" s="2" t="n">
        <v>100</v>
      </c>
      <c r="W1916" s="2" t="inlineStr">
        <is>
          <t>Classification</t>
        </is>
      </c>
    </row>
    <row r="1917">
      <c r="A1917" s="2" t="inlineStr">
        <is>
          <t>Downer</t>
        </is>
      </c>
      <c r="B1917" s="2" t="inlineStr">
        <is>
          <t>PNAL Carpark Extension</t>
        </is>
      </c>
      <c r="C1917" s="2" t="inlineStr">
        <is>
          <t>Car Park</t>
        </is>
      </c>
      <c r="D1917" s="2" t="inlineStr">
        <is>
          <t>L9.DNZJ.558024</t>
        </is>
      </c>
      <c r="E1917" s="2" t="n">
        <v>558024</v>
      </c>
      <c r="G1917" s="2" t="inlineStr">
        <is>
          <t>TI-NZT-558024 - PNAL (TI-NZT - Manawatu Projects)</t>
        </is>
      </c>
      <c r="M1917" s="2" t="inlineStr">
        <is>
          <t>Manawatu-Wanganui</t>
        </is>
      </c>
      <c r="N1917" s="2" t="inlineStr">
        <is>
          <t>New Zealand</t>
        </is>
      </c>
      <c r="P1917" s="2" t="inlineStr">
        <is>
          <t>Operational Control</t>
        </is>
      </c>
      <c r="Q1917" s="2" t="inlineStr">
        <is>
          <t>Operational Control</t>
        </is>
      </c>
      <c r="R1917" s="2" t="inlineStr">
        <is>
          <t>Transport &amp; Infrastructure (T&amp;I)</t>
        </is>
      </c>
      <c r="S1917" s="2" t="inlineStr">
        <is>
          <t>Downer</t>
        </is>
      </c>
      <c r="T1917" s="2" t="n">
        <v>100</v>
      </c>
      <c r="W1917" s="2" t="inlineStr">
        <is>
          <t>Classification</t>
        </is>
      </c>
    </row>
    <row r="1918">
      <c r="A1918" s="2" t="inlineStr">
        <is>
          <t>Downer</t>
        </is>
      </c>
      <c r="B1918" s="2" t="inlineStr">
        <is>
          <t>PNCC Ferguson Pitt St Upgrade</t>
        </is>
      </c>
      <c r="C1918" s="2" t="inlineStr">
        <is>
          <t>Other</t>
        </is>
      </c>
      <c r="D1918" s="2" t="inlineStr">
        <is>
          <t>L9.DNZJ.558007</t>
        </is>
      </c>
      <c r="E1918" s="2" t="n">
        <v>558007</v>
      </c>
      <c r="F1918" s="2" t="n">
        <v>558007</v>
      </c>
      <c r="M1918" s="2" t="inlineStr">
        <is>
          <t>Manawatu-Wanganui</t>
        </is>
      </c>
      <c r="N1918" s="2" t="inlineStr">
        <is>
          <t>New Zealand</t>
        </is>
      </c>
      <c r="P1918" s="2" t="inlineStr">
        <is>
          <t>Operational Control</t>
        </is>
      </c>
      <c r="Q1918" s="2" t="inlineStr">
        <is>
          <t>Operational Control</t>
        </is>
      </c>
      <c r="R1918" s="2" t="inlineStr">
        <is>
          <t>Transport &amp; Infrastructure (T&amp;I)</t>
        </is>
      </c>
      <c r="S1918" s="2" t="inlineStr">
        <is>
          <t>Downer</t>
        </is>
      </c>
      <c r="T1918" s="2" t="n">
        <v>100</v>
      </c>
      <c r="W1918" s="2" t="inlineStr">
        <is>
          <t>Classification</t>
        </is>
      </c>
    </row>
    <row r="1919">
      <c r="A1919" s="2" t="inlineStr">
        <is>
          <t>Downer</t>
        </is>
      </c>
      <c r="B1919" s="2" t="inlineStr">
        <is>
          <t>Pole Reinforcement EU Subcontractors</t>
        </is>
      </c>
      <c r="C1919" s="2" t="inlineStr">
        <is>
          <t>Other</t>
        </is>
      </c>
      <c r="D1919" s="2" t="inlineStr">
        <is>
          <t>L9.J.22910033</t>
        </is>
      </c>
      <c r="E1919" s="2" t="inlineStr">
        <is>
          <t>L9.J.22910033</t>
        </is>
      </c>
      <c r="F1919" s="2" t="inlineStr">
        <is>
          <t>L9.J.22910033</t>
        </is>
      </c>
      <c r="M1919" s="2" t="inlineStr">
        <is>
          <t>Auckland</t>
        </is>
      </c>
      <c r="N1919" s="2" t="inlineStr">
        <is>
          <t>New Zealand</t>
        </is>
      </c>
      <c r="P1919" s="2" t="inlineStr">
        <is>
          <t>Operational Control</t>
        </is>
      </c>
      <c r="Q1919" s="2" t="inlineStr">
        <is>
          <t>Operational Control</t>
        </is>
      </c>
      <c r="R1919" s="2" t="inlineStr">
        <is>
          <t>Energy and Utilities (EU)</t>
        </is>
      </c>
      <c r="S1919" s="2" t="inlineStr">
        <is>
          <t>Downer</t>
        </is>
      </c>
      <c r="T1919" s="2" t="n">
        <v>100</v>
      </c>
      <c r="W1919" s="2" t="inlineStr">
        <is>
          <t>Classification</t>
        </is>
      </c>
    </row>
    <row r="1920">
      <c r="A1920" s="2" t="inlineStr">
        <is>
          <t>Downer</t>
        </is>
      </c>
      <c r="B1920" s="2" t="inlineStr">
        <is>
          <t>Porirua (105 John Burke Dr)</t>
        </is>
      </c>
      <c r="C1920" s="2" t="inlineStr">
        <is>
          <t>Other</t>
        </is>
      </c>
      <c r="D1920" s="2" t="inlineStr">
        <is>
          <t>L9.DNZJ.91289</t>
        </is>
      </c>
      <c r="E1920" s="2" t="n">
        <v>91289</v>
      </c>
      <c r="H1920" s="2" t="inlineStr">
        <is>
          <t>105 John Burke Drive</t>
        </is>
      </c>
      <c r="I1920" s="2" t="inlineStr">
        <is>
          <t>Aotea</t>
        </is>
      </c>
      <c r="J1920" s="2" t="inlineStr">
        <is>
          <t>Porirua</t>
        </is>
      </c>
      <c r="K1920" s="2" t="n">
        <v>5024</v>
      </c>
      <c r="L1920" s="2" t="inlineStr">
        <is>
          <t>New Zealand</t>
        </is>
      </c>
      <c r="M1920" s="2" t="inlineStr">
        <is>
          <t>Porirua</t>
        </is>
      </c>
      <c r="N1920" s="2" t="inlineStr">
        <is>
          <t>New Zealand</t>
        </is>
      </c>
      <c r="P1920" s="2" t="inlineStr">
        <is>
          <t>Operational Control</t>
        </is>
      </c>
      <c r="Q1920" s="2" t="inlineStr">
        <is>
          <t>Operational Control</t>
        </is>
      </c>
      <c r="R1920" s="2" t="inlineStr">
        <is>
          <t>Corporate</t>
        </is>
      </c>
      <c r="S1920" s="2" t="inlineStr">
        <is>
          <t>Downer</t>
        </is>
      </c>
      <c r="T1920" s="2" t="n">
        <v>100</v>
      </c>
      <c r="W1920" s="2" t="inlineStr">
        <is>
          <t>Classification</t>
        </is>
      </c>
      <c r="X1920" s="2" t="n">
        <v>-41.1339</v>
      </c>
      <c r="Y1920" s="2" t="n">
        <v>174.8473</v>
      </c>
      <c r="AB1920" s="11" t="n">
        <v>45473</v>
      </c>
    </row>
    <row r="1921">
      <c r="A1921" s="2" t="inlineStr">
        <is>
          <t>Downer</t>
        </is>
      </c>
      <c r="B1921" s="2" t="inlineStr">
        <is>
          <t>Porirua (25 Ulric Street)</t>
        </is>
      </c>
      <c r="C1921" s="2" t="inlineStr">
        <is>
          <t>Other</t>
        </is>
      </c>
      <c r="D1921" s="2" t="inlineStr">
        <is>
          <t>L9.DNZJ.91288</t>
        </is>
      </c>
      <c r="E1921" s="2" t="n">
        <v>91288</v>
      </c>
      <c r="H1921" s="2" t="inlineStr">
        <is>
          <t>25 Ulric Street</t>
        </is>
      </c>
      <c r="I1921" s="2" t="inlineStr">
        <is>
          <t>Plimmerton</t>
        </is>
      </c>
      <c r="J1921" s="2" t="inlineStr">
        <is>
          <t>Porirua</t>
        </is>
      </c>
      <c r="K1921" s="2" t="n">
        <v>5026</v>
      </c>
      <c r="L1921" s="2" t="inlineStr">
        <is>
          <t>New Zealand</t>
        </is>
      </c>
      <c r="M1921" s="2" t="inlineStr">
        <is>
          <t>Porirua</t>
        </is>
      </c>
      <c r="N1921" s="2" t="inlineStr">
        <is>
          <t>New Zealand</t>
        </is>
      </c>
      <c r="P1921" s="2" t="inlineStr">
        <is>
          <t>Operational Control</t>
        </is>
      </c>
      <c r="Q1921" s="2" t="inlineStr">
        <is>
          <t>Operational Control</t>
        </is>
      </c>
      <c r="R1921" s="2" t="inlineStr">
        <is>
          <t>Corporate</t>
        </is>
      </c>
      <c r="S1921" s="2" t="inlineStr">
        <is>
          <t>Downer</t>
        </is>
      </c>
      <c r="T1921" s="2" t="n">
        <v>100</v>
      </c>
      <c r="W1921" s="2" t="inlineStr">
        <is>
          <t>Classification</t>
        </is>
      </c>
      <c r="X1921" s="2" t="n">
        <v>-41.0789</v>
      </c>
      <c r="Y1921" s="2" t="n">
        <v>174.8701</v>
      </c>
    </row>
    <row r="1922">
      <c r="A1922" s="2" t="inlineStr">
        <is>
          <t>Downer</t>
        </is>
      </c>
      <c r="B1922" s="2" t="inlineStr">
        <is>
          <t>Porirua (4/55 Kenepuru Drive)</t>
        </is>
      </c>
      <c r="C1922" s="2" t="inlineStr">
        <is>
          <t>Other</t>
        </is>
      </c>
      <c r="D1922" s="2" t="inlineStr">
        <is>
          <t>L9.DNZJ.91845</t>
        </is>
      </c>
      <c r="E1922" s="2" t="n">
        <v>91845</v>
      </c>
      <c r="H1922" s="2" t="inlineStr">
        <is>
          <t>4/55 Kenepuru Drive</t>
        </is>
      </c>
      <c r="I1922" s="2" t="inlineStr">
        <is>
          <t>Kenepuru</t>
        </is>
      </c>
      <c r="J1922" s="2" t="inlineStr">
        <is>
          <t>Porirua</t>
        </is>
      </c>
      <c r="K1922" s="2" t="n">
        <v>5022</v>
      </c>
      <c r="M1922" s="2" t="inlineStr">
        <is>
          <t>Manurewa</t>
        </is>
      </c>
      <c r="N1922" s="2" t="inlineStr">
        <is>
          <t>New Zealand</t>
        </is>
      </c>
      <c r="P1922" s="2" t="inlineStr">
        <is>
          <t>Operational Control</t>
        </is>
      </c>
      <c r="Q1922" s="2" t="inlineStr">
        <is>
          <t>Operational Control</t>
        </is>
      </c>
      <c r="R1922" s="2" t="inlineStr">
        <is>
          <t>Corporate</t>
        </is>
      </c>
      <c r="S1922" s="2" t="inlineStr">
        <is>
          <t>Downer</t>
        </is>
      </c>
      <c r="T1922" s="2" t="n">
        <v>100</v>
      </c>
      <c r="W1922" s="2" t="inlineStr">
        <is>
          <t>Classification</t>
        </is>
      </c>
      <c r="AB1922" s="11" t="n">
        <v>45473</v>
      </c>
    </row>
    <row r="1923">
      <c r="A1923" s="2" t="inlineStr">
        <is>
          <t>Downer</t>
        </is>
      </c>
      <c r="B1923" s="2" t="inlineStr">
        <is>
          <t>Porirua Area Capacity Enhancem</t>
        </is>
      </c>
      <c r="C1923" s="2" t="inlineStr">
        <is>
          <t>Other</t>
        </is>
      </c>
      <c r="D1923" s="2" t="inlineStr">
        <is>
          <t>L9.DNZJ.DS2666</t>
        </is>
      </c>
      <c r="E1923" s="2" t="inlineStr">
        <is>
          <t>JP_DS2666</t>
        </is>
      </c>
      <c r="M1923" s="2" t="inlineStr">
        <is>
          <t>Manurewa</t>
        </is>
      </c>
      <c r="N1923" s="2" t="inlineStr">
        <is>
          <t>New Zealand</t>
        </is>
      </c>
      <c r="P1923" s="2" t="inlineStr">
        <is>
          <t>Operational Control</t>
        </is>
      </c>
      <c r="Q1923" s="2" t="inlineStr">
        <is>
          <t>Operational Control</t>
        </is>
      </c>
      <c r="R1923" s="2" t="inlineStr">
        <is>
          <t>Transport &amp; Infrastructure (T&amp;I)</t>
        </is>
      </c>
      <c r="S1923" s="2" t="inlineStr">
        <is>
          <t>Downer</t>
        </is>
      </c>
      <c r="T1923" s="2" t="n">
        <v>100</v>
      </c>
      <c r="W1923" s="2" t="inlineStr">
        <is>
          <t>Classification</t>
        </is>
      </c>
    </row>
    <row r="1924">
      <c r="A1924" s="2" t="inlineStr">
        <is>
          <t>Downer</t>
        </is>
      </c>
      <c r="B1924" s="2" t="inlineStr">
        <is>
          <t>Porirua CCWRT</t>
        </is>
      </c>
      <c r="C1924" s="2" t="inlineStr">
        <is>
          <t>Other</t>
        </is>
      </c>
      <c r="D1924" s="2" t="inlineStr">
        <is>
          <t>L9.DNZJ.UN0001</t>
        </is>
      </c>
      <c r="E1924" s="2" t="inlineStr">
        <is>
          <t>UN0001</t>
        </is>
      </c>
      <c r="G1924" s="2" t="inlineStr">
        <is>
          <t>UT-NZU-UN0001-Porirua CCWRT
Installation address: BTS - END OF PORIRA PARK AND RIDE/LOT2 DP12953 STATE HIGHWAY 59  PORIRUA CITY CENTRE  PORIRUA 5022 (parking)
Installation address: Wellington (Unit 504, 15 Holland St)</t>
        </is>
      </c>
      <c r="H1924" s="2" t="inlineStr">
        <is>
          <t>504/15 Holland Street</t>
        </is>
      </c>
      <c r="I1924" s="2" t="inlineStr">
        <is>
          <t>Te Aro</t>
        </is>
      </c>
      <c r="J1924" s="2" t="inlineStr">
        <is>
          <t>Wellington</t>
        </is>
      </c>
      <c r="K1924" s="2" t="n">
        <v>6011</v>
      </c>
      <c r="M1924" s="2" t="inlineStr">
        <is>
          <t>Porirua</t>
        </is>
      </c>
      <c r="N1924" s="2" t="inlineStr">
        <is>
          <t>New Zealand</t>
        </is>
      </c>
      <c r="P1924" s="2" t="inlineStr">
        <is>
          <t>Operational Control</t>
        </is>
      </c>
      <c r="Q1924" s="2" t="inlineStr">
        <is>
          <t>Operational Control</t>
        </is>
      </c>
      <c r="R1924" s="2" t="inlineStr">
        <is>
          <t>Energy and Utilities (EU)</t>
        </is>
      </c>
      <c r="S1924" s="2" t="inlineStr">
        <is>
          <t>Downer</t>
        </is>
      </c>
      <c r="T1924" s="2" t="n">
        <v>100</v>
      </c>
      <c r="W1924" s="2" t="inlineStr">
        <is>
          <t>Classification</t>
        </is>
      </c>
    </row>
    <row r="1925">
      <c r="A1925" s="2" t="inlineStr">
        <is>
          <t>Downer</t>
        </is>
      </c>
      <c r="B1925" s="2" t="inlineStr">
        <is>
          <t>Port Augusta-Works</t>
        </is>
      </c>
      <c r="C1925" s="2" t="inlineStr">
        <is>
          <t>Depot</t>
        </is>
      </c>
      <c r="D1925" s="2" t="inlineStr">
        <is>
          <t>L9.J.17021038</t>
        </is>
      </c>
      <c r="E1925" s="2" t="n">
        <v>230</v>
      </c>
      <c r="H1925" s="2" t="inlineStr">
        <is>
          <t>LOT 38C Victoria Parade</t>
        </is>
      </c>
      <c r="I1925" s="2" t="inlineStr">
        <is>
          <t>Port Augusta</t>
        </is>
      </c>
      <c r="J1925" s="2" t="inlineStr">
        <is>
          <t>SA</t>
        </is>
      </c>
      <c r="K1925" s="2" t="n">
        <v>5700</v>
      </c>
      <c r="L1925" s="2" t="inlineStr">
        <is>
          <t>Australia</t>
        </is>
      </c>
      <c r="M1925" s="2" t="inlineStr">
        <is>
          <t>South Australia</t>
        </is>
      </c>
      <c r="N1925" s="2" t="inlineStr">
        <is>
          <t>Australia</t>
        </is>
      </c>
      <c r="P1925" s="2" t="inlineStr">
        <is>
          <t>Operational Control</t>
        </is>
      </c>
      <c r="Q1925" s="2" t="inlineStr">
        <is>
          <t>Operational Control</t>
        </is>
      </c>
      <c r="R1925" s="2" t="inlineStr">
        <is>
          <t>Transport &amp; Infrastructure (T&amp;I)</t>
        </is>
      </c>
      <c r="S1925" s="2" t="inlineStr">
        <is>
          <t>Downer</t>
        </is>
      </c>
      <c r="T1925" s="2" t="n">
        <v>100</v>
      </c>
      <c r="W1925" s="2" t="inlineStr">
        <is>
          <t>Classification</t>
        </is>
      </c>
      <c r="X1925" s="2" t="n">
        <v>-32.494</v>
      </c>
      <c r="Y1925" s="2" t="n">
        <v>137.778</v>
      </c>
      <c r="Z1925" s="2" t="n">
        <v>310</v>
      </c>
    </row>
    <row r="1926">
      <c r="A1926" s="2" t="inlineStr">
        <is>
          <t>Downer</t>
        </is>
      </c>
      <c r="B1926" s="2" t="inlineStr">
        <is>
          <t>Port Hedland EU Subcontractors</t>
        </is>
      </c>
      <c r="C1926" s="2" t="inlineStr">
        <is>
          <t>Other</t>
        </is>
      </c>
      <c r="D1926" s="2" t="inlineStr">
        <is>
          <t>L9.J.38280145</t>
        </is>
      </c>
      <c r="E1926" s="2" t="inlineStr">
        <is>
          <t>L9.J.38280145</t>
        </is>
      </c>
      <c r="F1926" s="2" t="inlineStr">
        <is>
          <t>L9.J.38280145</t>
        </is>
      </c>
      <c r="M1926" s="2" t="inlineStr">
        <is>
          <t>North Ryde</t>
        </is>
      </c>
      <c r="N1926" s="2" t="inlineStr">
        <is>
          <t>Australia</t>
        </is>
      </c>
      <c r="P1926" s="2" t="inlineStr">
        <is>
          <t>Operational Control</t>
        </is>
      </c>
      <c r="Q1926" s="2" t="inlineStr">
        <is>
          <t>Operational Control</t>
        </is>
      </c>
      <c r="R1926" s="2" t="inlineStr">
        <is>
          <t>Energy and Utilities (EU)</t>
        </is>
      </c>
      <c r="S1926" s="2" t="inlineStr">
        <is>
          <t>Downer</t>
        </is>
      </c>
      <c r="T1926" s="2" t="n">
        <v>100</v>
      </c>
      <c r="W1926" s="2" t="inlineStr">
        <is>
          <t>Classification</t>
        </is>
      </c>
    </row>
    <row r="1927">
      <c r="A1927" s="2" t="inlineStr">
        <is>
          <t>Downer</t>
        </is>
      </c>
      <c r="B1927" s="2" t="inlineStr">
        <is>
          <t>Port Lincoln</t>
        </is>
      </c>
      <c r="C1927" s="2" t="inlineStr">
        <is>
          <t>Depot</t>
        </is>
      </c>
      <c r="D1927" s="2" t="inlineStr">
        <is>
          <t>L9.J.17021037</t>
        </is>
      </c>
      <c r="E1927" s="2" t="n">
        <v>17021037</v>
      </c>
      <c r="H1927" s="2" t="inlineStr">
        <is>
          <t>Cnr Dublin Street &amp; Brougham Place</t>
        </is>
      </c>
      <c r="I1927" s="2" t="inlineStr">
        <is>
          <t>Port Lincoln</t>
        </is>
      </c>
      <c r="J1927" s="2" t="inlineStr">
        <is>
          <t>SA</t>
        </is>
      </c>
      <c r="K1927" s="2" t="n">
        <v>5606</v>
      </c>
      <c r="L1927" s="2" t="inlineStr">
        <is>
          <t>Australia</t>
        </is>
      </c>
      <c r="M1927" s="2" t="inlineStr">
        <is>
          <t>South Australia</t>
        </is>
      </c>
      <c r="N1927" s="2" t="inlineStr">
        <is>
          <t>Australia</t>
        </is>
      </c>
      <c r="P1927" s="2" t="inlineStr">
        <is>
          <t>Operational Control</t>
        </is>
      </c>
      <c r="Q1927" s="2" t="inlineStr">
        <is>
          <t>Operational Control</t>
        </is>
      </c>
      <c r="R1927" s="2" t="inlineStr">
        <is>
          <t>Transport &amp; Infrastructure (T&amp;I)</t>
        </is>
      </c>
      <c r="S1927" s="2" t="inlineStr">
        <is>
          <t>Downer</t>
        </is>
      </c>
      <c r="T1927" s="2" t="n">
        <v>100</v>
      </c>
      <c r="W1927" s="2" t="inlineStr">
        <is>
          <t>Classification</t>
        </is>
      </c>
      <c r="X1927" s="2" t="n">
        <v>-34.725</v>
      </c>
      <c r="Y1927" s="2" t="n">
        <v>135.867</v>
      </c>
      <c r="Z1927" s="2" t="n">
        <v>310</v>
      </c>
    </row>
    <row r="1928">
      <c r="A1928" s="2" t="inlineStr">
        <is>
          <t>Downer</t>
        </is>
      </c>
      <c r="B1928" s="2" t="inlineStr">
        <is>
          <t>Port Pirie</t>
        </is>
      </c>
      <c r="C1928" s="2" t="inlineStr">
        <is>
          <t>Depot</t>
        </is>
      </c>
      <c r="D1928" s="2" t="inlineStr">
        <is>
          <t>L9.J.17021087</t>
        </is>
      </c>
      <c r="E1928" s="2" t="n">
        <v>235</v>
      </c>
      <c r="H1928" s="2" t="inlineStr">
        <is>
          <t>5 Copinger Road</t>
        </is>
      </c>
      <c r="I1928" s="2" t="inlineStr">
        <is>
          <t>Port Pirie</t>
        </is>
      </c>
      <c r="J1928" s="2" t="inlineStr">
        <is>
          <t>SA</t>
        </is>
      </c>
      <c r="K1928" s="2" t="n">
        <v>5540</v>
      </c>
      <c r="L1928" s="2" t="inlineStr">
        <is>
          <t>Australia</t>
        </is>
      </c>
      <c r="M1928" s="2" t="inlineStr">
        <is>
          <t>South Australia</t>
        </is>
      </c>
      <c r="N1928" s="2" t="inlineStr">
        <is>
          <t>Australia</t>
        </is>
      </c>
      <c r="P1928" s="2" t="inlineStr">
        <is>
          <t>Operational Control</t>
        </is>
      </c>
      <c r="Q1928" s="2" t="inlineStr">
        <is>
          <t>Operational Control</t>
        </is>
      </c>
      <c r="R1928" s="2" t="inlineStr">
        <is>
          <t>Transport &amp; Infrastructure (T&amp;I)</t>
        </is>
      </c>
      <c r="S1928" s="2" t="inlineStr">
        <is>
          <t>Downer</t>
        </is>
      </c>
      <c r="T1928" s="2" t="n">
        <v>100</v>
      </c>
      <c r="W1928" s="2" t="inlineStr">
        <is>
          <t>Classification</t>
        </is>
      </c>
      <c r="X1928" s="2" t="n">
        <v>-33.186</v>
      </c>
      <c r="Y1928" s="2" t="n">
        <v>138.032</v>
      </c>
      <c r="Z1928" s="2" t="n">
        <v>310</v>
      </c>
    </row>
    <row r="1929">
      <c r="A1929" s="2" t="inlineStr">
        <is>
          <t>Downer</t>
        </is>
      </c>
      <c r="B1929" s="2" t="inlineStr">
        <is>
          <t>Power &amp; Gas - Recharge</t>
        </is>
      </c>
      <c r="C1929" s="2" t="inlineStr">
        <is>
          <t>Other</t>
        </is>
      </c>
      <c r="D1929" s="2" t="inlineStr">
        <is>
          <t>L9.DNZJ.1501</t>
        </is>
      </c>
      <c r="E1929" s="2" t="n">
        <v>1994</v>
      </c>
      <c r="G1929" s="2" t="inlineStr">
        <is>
          <t>L9.DNZJ.561470</t>
        </is>
      </c>
      <c r="H1929" s="2" t="inlineStr">
        <is>
          <t>130 Kerrs Road</t>
        </is>
      </c>
      <c r="I1929" s="2" t="inlineStr">
        <is>
          <t>Wiri</t>
        </is>
      </c>
      <c r="J1929" s="2" t="inlineStr">
        <is>
          <t>Auckland</t>
        </is>
      </c>
      <c r="K1929" s="2" t="n">
        <v>2104</v>
      </c>
      <c r="L1929" s="2" t="inlineStr">
        <is>
          <t>New Zealand</t>
        </is>
      </c>
      <c r="M1929" s="2" t="inlineStr">
        <is>
          <t>Manurewa</t>
        </is>
      </c>
      <c r="N1929" s="2" t="inlineStr">
        <is>
          <t>New Zealand</t>
        </is>
      </c>
      <c r="P1929" s="2" t="inlineStr">
        <is>
          <t>Operational Control</t>
        </is>
      </c>
      <c r="Q1929" s="2" t="inlineStr">
        <is>
          <t>Operational Control</t>
        </is>
      </c>
      <c r="R1929" s="2" t="inlineStr">
        <is>
          <t>Energy and Utilities (EU)</t>
        </is>
      </c>
      <c r="S1929" s="2" t="inlineStr">
        <is>
          <t>Downer</t>
        </is>
      </c>
      <c r="T1929" s="2" t="n">
        <v>100</v>
      </c>
      <c r="W1929" s="2" t="inlineStr">
        <is>
          <t>Classification</t>
        </is>
      </c>
      <c r="X1929" s="2" t="n">
        <v>-37.0083</v>
      </c>
      <c r="Y1929" s="2" t="n">
        <v>174.8705</v>
      </c>
    </row>
    <row r="1930">
      <c r="A1930" s="2" t="inlineStr">
        <is>
          <t>Downer</t>
        </is>
      </c>
      <c r="B1930" s="2" t="inlineStr">
        <is>
          <t>Power Central-Electricity Services Manager</t>
        </is>
      </c>
      <c r="C1930" s="2" t="inlineStr">
        <is>
          <t>Other</t>
        </is>
      </c>
      <c r="D1930" s="2" t="inlineStr">
        <is>
          <t>L9.DUN.60010</t>
        </is>
      </c>
      <c r="E1930" s="2" t="inlineStr">
        <is>
          <t>PG60010</t>
        </is>
      </c>
      <c r="M1930" s="2" t="inlineStr">
        <is>
          <t>Auckland</t>
        </is>
      </c>
      <c r="N1930" s="2" t="inlineStr">
        <is>
          <t>New Zealand</t>
        </is>
      </c>
      <c r="P1930" s="2" t="inlineStr">
        <is>
          <t>Operational Control</t>
        </is>
      </c>
      <c r="Q1930" s="2" t="inlineStr">
        <is>
          <t>Operational Control</t>
        </is>
      </c>
      <c r="R1930" s="2" t="inlineStr">
        <is>
          <t>Energy and Utilities (EU)</t>
        </is>
      </c>
      <c r="S1930" s="2" t="inlineStr">
        <is>
          <t>Downer</t>
        </is>
      </c>
      <c r="T1930" s="2" t="n">
        <v>100</v>
      </c>
      <c r="W1930" s="2" t="inlineStr">
        <is>
          <t>Classification</t>
        </is>
      </c>
    </row>
    <row r="1931">
      <c r="A1931" s="2" t="inlineStr">
        <is>
          <t>Downer</t>
        </is>
      </c>
      <c r="B1931" s="2" t="inlineStr">
        <is>
          <t>Power Nth Operations</t>
        </is>
      </c>
      <c r="C1931" s="2" t="inlineStr">
        <is>
          <t>Other</t>
        </is>
      </c>
      <c r="D1931" s="2" t="inlineStr">
        <is>
          <t>L9.DNZJ.1519</t>
        </is>
      </c>
      <c r="E1931" s="2" t="n">
        <v>1519</v>
      </c>
      <c r="H1931" s="2" t="inlineStr">
        <is>
          <t>130 Kerrs Road</t>
        </is>
      </c>
      <c r="I1931" s="2" t="inlineStr">
        <is>
          <t>Wiri</t>
        </is>
      </c>
      <c r="J1931" s="2" t="inlineStr">
        <is>
          <t>Auckland</t>
        </is>
      </c>
      <c r="K1931" s="2" t="n">
        <v>2104</v>
      </c>
      <c r="L1931" s="2" t="inlineStr">
        <is>
          <t>New Zealand</t>
        </is>
      </c>
      <c r="M1931" s="2" t="inlineStr">
        <is>
          <t>Manurewa</t>
        </is>
      </c>
      <c r="N1931" s="2" t="inlineStr">
        <is>
          <t>New Zealand</t>
        </is>
      </c>
      <c r="P1931" s="2" t="inlineStr">
        <is>
          <t>Operational Control</t>
        </is>
      </c>
      <c r="Q1931" s="2" t="inlineStr">
        <is>
          <t>Operational Control</t>
        </is>
      </c>
      <c r="R1931" s="2" t="inlineStr">
        <is>
          <t>Energy and Utilities (EU)</t>
        </is>
      </c>
      <c r="S1931" s="2" t="inlineStr">
        <is>
          <t>Downer</t>
        </is>
      </c>
      <c r="T1931" s="2" t="n">
        <v>100</v>
      </c>
      <c r="W1931" s="2" t="inlineStr">
        <is>
          <t>Classification</t>
        </is>
      </c>
      <c r="X1931" s="2" t="n">
        <v>-37.0083</v>
      </c>
      <c r="Y1931" s="2" t="n">
        <v>174.8705</v>
      </c>
    </row>
    <row r="1932">
      <c r="A1932" s="2" t="inlineStr">
        <is>
          <t>Downer</t>
        </is>
      </c>
      <c r="B1932" s="2" t="inlineStr">
        <is>
          <t>Power Nth Overheads</t>
        </is>
      </c>
      <c r="C1932" s="2" t="inlineStr">
        <is>
          <t>Other</t>
        </is>
      </c>
      <c r="D1932" s="2" t="inlineStr">
        <is>
          <t>L9.DNZJ.1501</t>
        </is>
      </c>
      <c r="E1932" s="2" t="n">
        <v>1501</v>
      </c>
      <c r="M1932" s="2" t="inlineStr">
        <is>
          <t>Manurewa</t>
        </is>
      </c>
      <c r="N1932" s="2" t="inlineStr">
        <is>
          <t>New Zealand</t>
        </is>
      </c>
      <c r="P1932" s="2" t="inlineStr">
        <is>
          <t>Operational Control</t>
        </is>
      </c>
      <c r="Q1932" s="2" t="inlineStr">
        <is>
          <t>Operational Control</t>
        </is>
      </c>
      <c r="R1932" s="2" t="inlineStr">
        <is>
          <t>Energy and Utilities (EU)</t>
        </is>
      </c>
      <c r="S1932" s="2" t="inlineStr">
        <is>
          <t>Downer</t>
        </is>
      </c>
      <c r="T1932" s="2" t="n">
        <v>100</v>
      </c>
      <c r="W1932" s="2" t="inlineStr">
        <is>
          <t>Classification</t>
        </is>
      </c>
    </row>
    <row r="1933">
      <c r="A1933" s="2" t="inlineStr">
        <is>
          <t>Downer</t>
        </is>
      </c>
      <c r="B1933" s="2" t="inlineStr">
        <is>
          <t>Power Projects Yatala Yard – Alberton</t>
        </is>
      </c>
      <c r="C1933" s="2" t="inlineStr">
        <is>
          <t>Storage</t>
        </is>
      </c>
      <c r="D1933" s="2" t="inlineStr">
        <is>
          <t>L9.J.392122</t>
        </is>
      </c>
      <c r="E1933" s="2" t="n">
        <v>392122</v>
      </c>
      <c r="G1933" s="2" t="inlineStr">
        <is>
          <t>temporarily allocated to EU-392122 - Eng Ops Mgt and Support</t>
        </is>
      </c>
      <c r="H1933" s="2" t="inlineStr">
        <is>
          <t>279 Stapylton-Jacobs Well Rd</t>
        </is>
      </c>
      <c r="I1933" s="2" t="inlineStr">
        <is>
          <t>Alberton</t>
        </is>
      </c>
      <c r="J1933" s="2" t="inlineStr">
        <is>
          <t>Queensland</t>
        </is>
      </c>
      <c r="K1933" s="2" t="n">
        <v>4207</v>
      </c>
      <c r="M1933" s="2" t="inlineStr">
        <is>
          <t>Queensland</t>
        </is>
      </c>
      <c r="N1933" s="2" t="inlineStr">
        <is>
          <t>Australia</t>
        </is>
      </c>
      <c r="P1933" s="2" t="inlineStr">
        <is>
          <t>Operational Control</t>
        </is>
      </c>
      <c r="Q1933" s="2" t="inlineStr">
        <is>
          <t>Operational Control</t>
        </is>
      </c>
      <c r="R1933" s="2" t="inlineStr">
        <is>
          <t>Energy and Utilities (EU)</t>
        </is>
      </c>
      <c r="S1933" s="2" t="inlineStr">
        <is>
          <t>Downer</t>
        </is>
      </c>
      <c r="T1933" s="2" t="n">
        <v>100</v>
      </c>
      <c r="W1933" s="2" t="inlineStr">
        <is>
          <t>Classification</t>
        </is>
      </c>
    </row>
    <row r="1934">
      <c r="A1934" s="2" t="inlineStr">
        <is>
          <t>Downer</t>
        </is>
      </c>
      <c r="B1934" s="2" t="inlineStr">
        <is>
          <t>Power Southern - Generation &amp; Private Networks</t>
        </is>
      </c>
      <c r="C1934" s="2" t="inlineStr">
        <is>
          <t>Other</t>
        </is>
      </c>
      <c r="D1934" s="2" t="inlineStr">
        <is>
          <t>L9.DUN.20040</t>
        </is>
      </c>
      <c r="E1934" s="2" t="inlineStr">
        <is>
          <t>PG20040</t>
        </is>
      </c>
      <c r="G1934" s="2" t="inlineStr">
        <is>
          <t>UT-NZU-20040-Generation &amp; Private Networks
Region TBC</t>
        </is>
      </c>
      <c r="M1934" s="2" t="inlineStr">
        <is>
          <t>Auckland</t>
        </is>
      </c>
      <c r="N1934" s="2" t="inlineStr">
        <is>
          <t>New Zealand</t>
        </is>
      </c>
      <c r="P1934" s="2" t="inlineStr">
        <is>
          <t>Operational Control</t>
        </is>
      </c>
      <c r="Q1934" s="2" t="inlineStr">
        <is>
          <t>Operational Control</t>
        </is>
      </c>
      <c r="R1934" s="2" t="inlineStr">
        <is>
          <t>Energy and Utilities (EU)</t>
        </is>
      </c>
      <c r="S1934" s="2" t="inlineStr">
        <is>
          <t>Downer</t>
        </is>
      </c>
      <c r="T1934" s="2" t="n">
        <v>100</v>
      </c>
      <c r="W1934" s="2" t="inlineStr">
        <is>
          <t>Classification</t>
        </is>
      </c>
    </row>
    <row r="1935">
      <c r="A1935" s="2" t="inlineStr">
        <is>
          <t>Downer</t>
        </is>
      </c>
      <c r="B1935" s="2" t="inlineStr">
        <is>
          <t>Powerlink EU Subcontractors</t>
        </is>
      </c>
      <c r="C1935" s="2" t="inlineStr">
        <is>
          <t>Other</t>
        </is>
      </c>
      <c r="D1935" s="2" t="inlineStr">
        <is>
          <t>L9.J.24130092</t>
        </is>
      </c>
      <c r="E1935" s="2" t="inlineStr">
        <is>
          <t>L9.J.24130092</t>
        </is>
      </c>
      <c r="M1935" s="2" t="inlineStr">
        <is>
          <t>North Ryde</t>
        </is>
      </c>
      <c r="N1935" s="2" t="inlineStr">
        <is>
          <t>Australia</t>
        </is>
      </c>
      <c r="P1935" s="2" t="inlineStr">
        <is>
          <t>Operational Control</t>
        </is>
      </c>
      <c r="Q1935" s="2" t="inlineStr">
        <is>
          <t>Operational Control</t>
        </is>
      </c>
      <c r="R1935" s="2" t="inlineStr">
        <is>
          <t>Energy and Utilities (EU)</t>
        </is>
      </c>
      <c r="S1935" s="2" t="inlineStr">
        <is>
          <t>Downer</t>
        </is>
      </c>
      <c r="T1935" s="2" t="n">
        <v>100</v>
      </c>
      <c r="W1935" s="2" t="inlineStr">
        <is>
          <t>Classification</t>
        </is>
      </c>
    </row>
    <row r="1936">
      <c r="A1936" s="2" t="inlineStr">
        <is>
          <t>Downer</t>
        </is>
      </c>
      <c r="B1936" s="2" t="inlineStr">
        <is>
          <t>PPO</t>
        </is>
      </c>
      <c r="C1936" s="2" t="inlineStr">
        <is>
          <t>Other</t>
        </is>
      </c>
      <c r="D1936" s="2" t="inlineStr">
        <is>
          <t>L9.DNZJ.55909</t>
        </is>
      </c>
      <c r="E1936" s="2" t="n">
        <v>55909</v>
      </c>
      <c r="H1936" s="2" t="inlineStr">
        <is>
          <t>130 Kerrs Road</t>
        </is>
      </c>
      <c r="I1936" s="2" t="inlineStr">
        <is>
          <t>Wiri</t>
        </is>
      </c>
      <c r="J1936" s="2" t="inlineStr">
        <is>
          <t>Auckland</t>
        </is>
      </c>
      <c r="K1936" s="2" t="n">
        <v>2104</v>
      </c>
      <c r="L1936" s="2" t="inlineStr">
        <is>
          <t>New Zealand</t>
        </is>
      </c>
      <c r="M1936" s="2" t="inlineStr">
        <is>
          <t>Manurewa</t>
        </is>
      </c>
      <c r="N1936" s="2" t="inlineStr">
        <is>
          <t>New Zealand</t>
        </is>
      </c>
      <c r="P1936" s="2" t="inlineStr">
        <is>
          <t>Operational Control</t>
        </is>
      </c>
      <c r="Q1936" s="2" t="inlineStr">
        <is>
          <t>Operational Control</t>
        </is>
      </c>
      <c r="R1936" s="2" t="inlineStr">
        <is>
          <t>Transport &amp; Infrastructure (T&amp;I)</t>
        </is>
      </c>
      <c r="S1936" s="2" t="inlineStr">
        <is>
          <t>Downer</t>
        </is>
      </c>
      <c r="T1936" s="2" t="n">
        <v>100</v>
      </c>
      <c r="W1936" s="2" t="inlineStr">
        <is>
          <t>Classification</t>
        </is>
      </c>
      <c r="X1936" s="2" t="n">
        <v>-37.0083</v>
      </c>
      <c r="Y1936" s="2" t="n">
        <v>174.8705</v>
      </c>
    </row>
    <row r="1937">
      <c r="A1937" s="2" t="inlineStr">
        <is>
          <t>Downer</t>
        </is>
      </c>
      <c r="B1937" s="2" t="inlineStr">
        <is>
          <t>Process Design &amp; Proj Ctrls EU Subcontractors</t>
        </is>
      </c>
      <c r="C1937" s="2" t="inlineStr">
        <is>
          <t>Other</t>
        </is>
      </c>
      <c r="D1937" s="2" t="inlineStr">
        <is>
          <t>L9.J.395333</t>
        </is>
      </c>
      <c r="E1937" s="2" t="inlineStr">
        <is>
          <t>L9.J.395333</t>
        </is>
      </c>
      <c r="M1937" s="2" t="inlineStr">
        <is>
          <t>North Ryde</t>
        </is>
      </c>
      <c r="N1937" s="2" t="inlineStr">
        <is>
          <t>Australia</t>
        </is>
      </c>
      <c r="P1937" s="2" t="inlineStr">
        <is>
          <t>Operational Control</t>
        </is>
      </c>
      <c r="Q1937" s="2" t="inlineStr">
        <is>
          <t>Operational Control</t>
        </is>
      </c>
      <c r="R1937" s="2" t="inlineStr">
        <is>
          <t>Energy and Utilities (EU)</t>
        </is>
      </c>
      <c r="S1937" s="2" t="inlineStr">
        <is>
          <t>Downer</t>
        </is>
      </c>
      <c r="T1937" s="2" t="n">
        <v>100</v>
      </c>
      <c r="W1937" s="2" t="inlineStr">
        <is>
          <t>Classification</t>
        </is>
      </c>
    </row>
    <row r="1938">
      <c r="A1938" s="2" t="inlineStr">
        <is>
          <t>Downer</t>
        </is>
      </c>
      <c r="B1938" s="2" t="inlineStr">
        <is>
          <t>Procurement &amp; Logisitics</t>
        </is>
      </c>
      <c r="C1938" s="2" t="inlineStr">
        <is>
          <t>Other</t>
        </is>
      </c>
      <c r="D1938" s="2" t="inlineStr">
        <is>
          <t>L9.DUN.30520</t>
        </is>
      </c>
      <c r="E1938" s="2" t="inlineStr">
        <is>
          <t>PG30520</t>
        </is>
      </c>
      <c r="F1938" s="2" t="inlineStr">
        <is>
          <t>PG30520</t>
        </is>
      </c>
      <c r="M1938" s="2" t="inlineStr">
        <is>
          <t>Auckland</t>
        </is>
      </c>
      <c r="N1938" s="2" t="inlineStr">
        <is>
          <t>New Zealand</t>
        </is>
      </c>
      <c r="P1938" s="2" t="inlineStr">
        <is>
          <t>Operational Control</t>
        </is>
      </c>
      <c r="Q1938" s="2" t="inlineStr">
        <is>
          <t>Operational Control</t>
        </is>
      </c>
      <c r="R1938" s="2" t="inlineStr">
        <is>
          <t>Energy and Utilities (EU)</t>
        </is>
      </c>
      <c r="S1938" s="2" t="inlineStr">
        <is>
          <t>Downer</t>
        </is>
      </c>
      <c r="T1938" s="2" t="n">
        <v>100</v>
      </c>
      <c r="W1938" s="2" t="inlineStr">
        <is>
          <t>Classification</t>
        </is>
      </c>
    </row>
    <row r="1939">
      <c r="A1939" s="2" t="inlineStr">
        <is>
          <t>Downer</t>
        </is>
      </c>
      <c r="B1939" s="2" t="inlineStr">
        <is>
          <t>Products Cranes</t>
        </is>
      </c>
      <c r="C1939" s="2" t="inlineStr">
        <is>
          <t>Other</t>
        </is>
      </c>
      <c r="D1939" s="2" t="inlineStr">
        <is>
          <t>L9.DNZJ.1925</t>
        </is>
      </c>
      <c r="E1939" s="2" t="n">
        <v>1925</v>
      </c>
      <c r="H1939" s="2" t="inlineStr">
        <is>
          <t>130 Kerrs Road</t>
        </is>
      </c>
      <c r="I1939" s="2" t="inlineStr">
        <is>
          <t>Wiri</t>
        </is>
      </c>
      <c r="J1939" s="2" t="inlineStr">
        <is>
          <t>Auckland</t>
        </is>
      </c>
      <c r="K1939" s="2" t="n">
        <v>2104</v>
      </c>
      <c r="L1939" s="2" t="inlineStr">
        <is>
          <t>New Zealand</t>
        </is>
      </c>
      <c r="M1939" s="2" t="inlineStr">
        <is>
          <t>Manurewa</t>
        </is>
      </c>
      <c r="N1939" s="2" t="inlineStr">
        <is>
          <t>New Zealand</t>
        </is>
      </c>
      <c r="P1939" s="2" t="inlineStr">
        <is>
          <t>Operational Control</t>
        </is>
      </c>
      <c r="Q1939" s="2" t="inlineStr">
        <is>
          <t>Operational Control</t>
        </is>
      </c>
      <c r="R1939" s="2" t="inlineStr">
        <is>
          <t>Transport &amp; Infrastructure (T&amp;I)</t>
        </is>
      </c>
      <c r="S1939" s="2" t="inlineStr">
        <is>
          <t>Downer</t>
        </is>
      </c>
      <c r="T1939" s="2" t="n">
        <v>100</v>
      </c>
      <c r="W1939" s="2" t="inlineStr">
        <is>
          <t>Classification</t>
        </is>
      </c>
      <c r="X1939" s="2" t="n">
        <v>-37.0083</v>
      </c>
      <c r="Y1939" s="2" t="n">
        <v>174.8705</v>
      </c>
    </row>
    <row r="1940">
      <c r="A1940" s="2" t="inlineStr">
        <is>
          <t>Downer</t>
        </is>
      </c>
      <c r="B1940" s="2" t="inlineStr">
        <is>
          <t>Programme Management</t>
        </is>
      </c>
      <c r="C1940" s="2" t="inlineStr">
        <is>
          <t>Facility</t>
        </is>
      </c>
      <c r="D1940" s="2" t="inlineStr">
        <is>
          <t>L9.DNZ.810.10.127</t>
        </is>
      </c>
      <c r="E1940" s="2" t="n">
        <v>10.127</v>
      </c>
      <c r="G1940" s="2" t="inlineStr">
        <is>
          <t>Corrections &amp; Justice-Programme Management</t>
        </is>
      </c>
      <c r="M1940" s="2" t="inlineStr">
        <is>
          <t>Auckland</t>
        </is>
      </c>
      <c r="N1940" s="2" t="inlineStr">
        <is>
          <t>New Zealand</t>
        </is>
      </c>
      <c r="P1940" s="2" t="inlineStr">
        <is>
          <t>Operational Control</t>
        </is>
      </c>
      <c r="Q1940" s="2" t="inlineStr">
        <is>
          <t>Operational Control</t>
        </is>
      </c>
      <c r="R1940" s="2" t="inlineStr">
        <is>
          <t>Social Infra &amp; Citizen Serv (SICS)</t>
        </is>
      </c>
      <c r="S1940" s="2" t="inlineStr">
        <is>
          <t>Downer</t>
        </is>
      </c>
      <c r="T1940" s="2" t="n">
        <v>100</v>
      </c>
      <c r="W1940" s="2" t="inlineStr">
        <is>
          <t>Classification</t>
        </is>
      </c>
    </row>
    <row r="1941">
      <c r="A1941" s="2" t="inlineStr">
        <is>
          <t>Downer</t>
        </is>
      </c>
      <c r="B1941" s="2" t="inlineStr">
        <is>
          <t>Programmes Leadership</t>
        </is>
      </c>
      <c r="C1941" s="2" t="inlineStr">
        <is>
          <t>Other</t>
        </is>
      </c>
      <c r="D1941" s="2" t="inlineStr">
        <is>
          <t>L9.DNZ.810.10.197</t>
        </is>
      </c>
      <c r="E1941" s="2" t="n">
        <v>10197</v>
      </c>
      <c r="G1941" s="2" t="n">
        <v>10.197</v>
      </c>
      <c r="H1941" s="2" t="inlineStr">
        <is>
          <t>130 Kerrs Road</t>
        </is>
      </c>
      <c r="I1941" s="2" t="inlineStr">
        <is>
          <t>Wiri</t>
        </is>
      </c>
      <c r="J1941" s="2" t="inlineStr">
        <is>
          <t>Auckland</t>
        </is>
      </c>
      <c r="K1941" s="2" t="n">
        <v>2104</v>
      </c>
      <c r="L1941" s="2" t="inlineStr">
        <is>
          <t>New Zealand</t>
        </is>
      </c>
      <c r="M1941" s="2" t="inlineStr">
        <is>
          <t>Manurewa</t>
        </is>
      </c>
      <c r="N1941" s="2" t="inlineStr">
        <is>
          <t>New Zealand</t>
        </is>
      </c>
      <c r="P1941" s="2" t="inlineStr">
        <is>
          <t>Operational Control</t>
        </is>
      </c>
      <c r="Q1941" s="2" t="inlineStr">
        <is>
          <t>Operational Control</t>
        </is>
      </c>
      <c r="R1941" s="2" t="inlineStr">
        <is>
          <t>Energy and Utilities (EU)</t>
        </is>
      </c>
      <c r="S1941" s="2" t="inlineStr">
        <is>
          <t>Downer</t>
        </is>
      </c>
      <c r="T1941" s="2" t="n">
        <v>100</v>
      </c>
      <c r="W1941" s="2" t="inlineStr">
        <is>
          <t>Classification</t>
        </is>
      </c>
      <c r="X1941" s="2" t="n">
        <v>-37.0083</v>
      </c>
      <c r="Y1941" s="2" t="n">
        <v>174.8705</v>
      </c>
    </row>
    <row r="1942">
      <c r="A1942" s="2" t="inlineStr">
        <is>
          <t>Downer</t>
        </is>
      </c>
      <c r="B1942" s="2" t="inlineStr">
        <is>
          <t>PROJECT HAUATA - ACC HAMILTON</t>
        </is>
      </c>
      <c r="C1942" s="2" t="inlineStr">
        <is>
          <t>Other</t>
        </is>
      </c>
      <c r="D1942" s="2" t="inlineStr">
        <is>
          <t>L9.DNZ.HC0346</t>
        </is>
      </c>
      <c r="E1942" s="2" t="inlineStr">
        <is>
          <t>JP_HC0346</t>
        </is>
      </c>
      <c r="H1942" s="2" t="inlineStr">
        <is>
          <t>130 Kerrs Road</t>
        </is>
      </c>
      <c r="I1942" s="2" t="inlineStr">
        <is>
          <t>Wiri</t>
        </is>
      </c>
      <c r="J1942" s="2" t="inlineStr">
        <is>
          <t>Auckland</t>
        </is>
      </c>
      <c r="K1942" s="2" t="n">
        <v>2104</v>
      </c>
      <c r="L1942" s="2" t="inlineStr">
        <is>
          <t>New Zealand</t>
        </is>
      </c>
      <c r="M1942" s="2" t="inlineStr">
        <is>
          <t>Manurewa</t>
        </is>
      </c>
      <c r="N1942" s="2" t="inlineStr">
        <is>
          <t>New Zealand</t>
        </is>
      </c>
      <c r="P1942" s="2" t="inlineStr">
        <is>
          <t>Operational Control</t>
        </is>
      </c>
      <c r="Q1942" s="2" t="inlineStr">
        <is>
          <t>Operational Control</t>
        </is>
      </c>
      <c r="R1942" s="2" t="inlineStr">
        <is>
          <t>Transport &amp; Infrastructure (T&amp;I)</t>
        </is>
      </c>
      <c r="S1942" s="2" t="inlineStr">
        <is>
          <t>Downer</t>
        </is>
      </c>
      <c r="T1942" s="2" t="n">
        <v>100</v>
      </c>
      <c r="W1942" s="2" t="inlineStr">
        <is>
          <t>Classification</t>
        </is>
      </c>
      <c r="X1942" s="2" t="n">
        <v>-37.0083</v>
      </c>
      <c r="Y1942" s="2" t="n">
        <v>174.8705</v>
      </c>
    </row>
    <row r="1943">
      <c r="A1943" s="2" t="inlineStr">
        <is>
          <t>Downer</t>
        </is>
      </c>
      <c r="B1943" s="2" t="inlineStr">
        <is>
          <t>Project Management Spark &amp; LBI</t>
        </is>
      </c>
      <c r="C1943" s="2" t="inlineStr">
        <is>
          <t>Other</t>
        </is>
      </c>
      <c r="D1943" s="2" t="inlineStr">
        <is>
          <t>L9.DNZ.810.10.063</t>
        </is>
      </c>
      <c r="E1943" s="2" t="n">
        <v>10063</v>
      </c>
      <c r="G1943" s="2" t="n">
        <v>10.063</v>
      </c>
      <c r="H1943" s="2" t="inlineStr">
        <is>
          <t>130 Kerrs Road</t>
        </is>
      </c>
      <c r="I1943" s="2" t="inlineStr">
        <is>
          <t>Wiri</t>
        </is>
      </c>
      <c r="J1943" s="2" t="inlineStr">
        <is>
          <t>Auckland</t>
        </is>
      </c>
      <c r="K1943" s="2" t="n">
        <v>2104</v>
      </c>
      <c r="L1943" s="2" t="inlineStr">
        <is>
          <t>New Zealand</t>
        </is>
      </c>
      <c r="M1943" s="2" t="inlineStr">
        <is>
          <t>Manurewa</t>
        </is>
      </c>
      <c r="N1943" s="2" t="inlineStr">
        <is>
          <t>New Zealand</t>
        </is>
      </c>
      <c r="P1943" s="2" t="inlineStr">
        <is>
          <t>Operational Control</t>
        </is>
      </c>
      <c r="Q1943" s="2" t="inlineStr">
        <is>
          <t>Operational Control</t>
        </is>
      </c>
      <c r="R1943" s="2" t="inlineStr">
        <is>
          <t>Energy and Utilities (EU)</t>
        </is>
      </c>
      <c r="S1943" s="2" t="inlineStr">
        <is>
          <t>Downer</t>
        </is>
      </c>
      <c r="T1943" s="2" t="n">
        <v>100</v>
      </c>
      <c r="W1943" s="2" t="inlineStr">
        <is>
          <t>Classification</t>
        </is>
      </c>
      <c r="X1943" s="2" t="n">
        <v>-37.0083</v>
      </c>
      <c r="Y1943" s="2" t="n">
        <v>174.8705</v>
      </c>
    </row>
    <row r="1944">
      <c r="A1944" s="2" t="inlineStr">
        <is>
          <t>Downer</t>
        </is>
      </c>
      <c r="B1944" s="2" t="inlineStr">
        <is>
          <t>Projects Corrections &amp; Justice</t>
        </is>
      </c>
      <c r="C1944" s="2" t="inlineStr">
        <is>
          <t>Other</t>
        </is>
      </c>
      <c r="D1944" s="2" t="inlineStr">
        <is>
          <t>L9.DNZ.810.10.139</t>
        </is>
      </c>
      <c r="E1944" s="2" t="n">
        <v>10139</v>
      </c>
      <c r="G1944" s="2" t="n">
        <v>10.139</v>
      </c>
      <c r="H1944" s="2" t="inlineStr">
        <is>
          <t>130 Kerrs Road</t>
        </is>
      </c>
      <c r="I1944" s="2" t="inlineStr">
        <is>
          <t>Wiri</t>
        </is>
      </c>
      <c r="J1944" s="2" t="inlineStr">
        <is>
          <t>Auckland</t>
        </is>
      </c>
      <c r="K1944" s="2" t="n">
        <v>2104</v>
      </c>
      <c r="L1944" s="2" t="inlineStr">
        <is>
          <t>New Zealand</t>
        </is>
      </c>
      <c r="M1944" s="2" t="inlineStr">
        <is>
          <t>Manurewa</t>
        </is>
      </c>
      <c r="N1944" s="2" t="inlineStr">
        <is>
          <t>New Zealand</t>
        </is>
      </c>
      <c r="P1944" s="2" t="inlineStr">
        <is>
          <t>Operational Control</t>
        </is>
      </c>
      <c r="Q1944" s="2" t="inlineStr">
        <is>
          <t>Operational Control</t>
        </is>
      </c>
      <c r="R1944" s="2" t="inlineStr">
        <is>
          <t>Social Infra &amp; Citizen Serv (SICS)</t>
        </is>
      </c>
      <c r="S1944" s="2" t="inlineStr">
        <is>
          <t>Downer</t>
        </is>
      </c>
      <c r="T1944" s="2" t="n">
        <v>100</v>
      </c>
      <c r="W1944" s="2" t="inlineStr">
        <is>
          <t>Classification</t>
        </is>
      </c>
      <c r="X1944" s="2" t="n">
        <v>-37.0083</v>
      </c>
      <c r="Y1944" s="2" t="n">
        <v>174.8705</v>
      </c>
    </row>
    <row r="1945">
      <c r="A1945" s="2" t="inlineStr">
        <is>
          <t>Downer</t>
        </is>
      </c>
      <c r="B1945" s="2" t="inlineStr">
        <is>
          <t>Projects O&amp;M</t>
        </is>
      </c>
      <c r="C1945" s="2" t="inlineStr">
        <is>
          <t>Other</t>
        </is>
      </c>
      <c r="D1945" s="2" t="inlineStr">
        <is>
          <t>L9.DNZJ.56128</t>
        </is>
      </c>
      <c r="E1945" s="2" t="n">
        <v>56128</v>
      </c>
      <c r="H1945" s="2" t="inlineStr">
        <is>
          <t>130 Kerrs Road</t>
        </is>
      </c>
      <c r="I1945" s="2" t="inlineStr">
        <is>
          <t>Wiri</t>
        </is>
      </c>
      <c r="J1945" s="2" t="inlineStr">
        <is>
          <t>Auckland</t>
        </is>
      </c>
      <c r="K1945" s="2" t="n">
        <v>2104</v>
      </c>
      <c r="L1945" s="2" t="inlineStr">
        <is>
          <t>New Zealand</t>
        </is>
      </c>
      <c r="M1945" s="2" t="inlineStr">
        <is>
          <t>Manurewa</t>
        </is>
      </c>
      <c r="N1945" s="2" t="inlineStr">
        <is>
          <t>New Zealand</t>
        </is>
      </c>
      <c r="P1945" s="2" t="inlineStr">
        <is>
          <t>Operational Control</t>
        </is>
      </c>
      <c r="Q1945" s="2" t="inlineStr">
        <is>
          <t>Operational Control</t>
        </is>
      </c>
      <c r="R1945" s="2" t="inlineStr">
        <is>
          <t>Energy and Utilities (EU)</t>
        </is>
      </c>
      <c r="S1945" s="2" t="inlineStr">
        <is>
          <t>Downer</t>
        </is>
      </c>
      <c r="T1945" s="2" t="n">
        <v>100</v>
      </c>
      <c r="W1945" s="2" t="inlineStr">
        <is>
          <t>Classification</t>
        </is>
      </c>
      <c r="X1945" s="2" t="n">
        <v>-37.0083</v>
      </c>
      <c r="Y1945" s="2" t="n">
        <v>174.8705</v>
      </c>
    </row>
    <row r="1946">
      <c r="A1946" s="2" t="inlineStr">
        <is>
          <t>Downer</t>
        </is>
      </c>
      <c r="B1946" s="2" t="inlineStr">
        <is>
          <t>Projects O&amp;M EU Subcontractors</t>
        </is>
      </c>
      <c r="C1946" s="2" t="inlineStr">
        <is>
          <t>Other</t>
        </is>
      </c>
      <c r="D1946" s="2" t="inlineStr">
        <is>
          <t>L9.DNZJ.561299</t>
        </is>
      </c>
      <c r="E1946" s="2" t="inlineStr">
        <is>
          <t>L9.DNZJ.561299</t>
        </is>
      </c>
      <c r="M1946" s="2" t="inlineStr">
        <is>
          <t>Auckland City</t>
        </is>
      </c>
      <c r="N1946" s="2" t="inlineStr">
        <is>
          <t>New Zealand</t>
        </is>
      </c>
      <c r="P1946" s="2" t="inlineStr">
        <is>
          <t>Operational Control</t>
        </is>
      </c>
      <c r="Q1946" s="2" t="inlineStr">
        <is>
          <t>Operational Control</t>
        </is>
      </c>
      <c r="R1946" s="2" t="inlineStr">
        <is>
          <t>Energy and Utilities (EU)</t>
        </is>
      </c>
      <c r="S1946" s="2" t="inlineStr">
        <is>
          <t>Downer</t>
        </is>
      </c>
      <c r="T1946" s="2" t="n">
        <v>100</v>
      </c>
      <c r="W1946" s="2" t="inlineStr">
        <is>
          <t>Classification</t>
        </is>
      </c>
    </row>
    <row r="1947">
      <c r="A1947" s="2" t="inlineStr">
        <is>
          <t>Downer</t>
        </is>
      </c>
      <c r="B1947" s="2" t="inlineStr">
        <is>
          <t>ProMac Harrington EU Subcontractors</t>
        </is>
      </c>
      <c r="C1947" s="2" t="inlineStr">
        <is>
          <t>Other</t>
        </is>
      </c>
      <c r="D1947" s="2" t="inlineStr">
        <is>
          <t>L9.J.24160212</t>
        </is>
      </c>
      <c r="E1947" s="2" t="inlineStr">
        <is>
          <t>L9.J.24160212</t>
        </is>
      </c>
      <c r="M1947" s="2" t="inlineStr">
        <is>
          <t>North Ryde</t>
        </is>
      </c>
      <c r="N1947" s="2" t="inlineStr">
        <is>
          <t>Australia</t>
        </is>
      </c>
      <c r="P1947" s="2" t="inlineStr">
        <is>
          <t>Operational Control</t>
        </is>
      </c>
      <c r="Q1947" s="2" t="inlineStr">
        <is>
          <t>Operational Control</t>
        </is>
      </c>
      <c r="R1947" s="2" t="inlineStr">
        <is>
          <t>Energy and Utilities (EU)</t>
        </is>
      </c>
      <c r="S1947" s="2" t="inlineStr">
        <is>
          <t>Downer</t>
        </is>
      </c>
      <c r="T1947" s="2" t="n">
        <v>100</v>
      </c>
      <c r="W1947" s="2" t="inlineStr">
        <is>
          <t>Classification</t>
        </is>
      </c>
    </row>
    <row r="1948">
      <c r="A1948" s="2" t="inlineStr">
        <is>
          <t>Downer</t>
        </is>
      </c>
      <c r="B1948" s="2" t="inlineStr">
        <is>
          <t>ProMac Prospect EU Subcontractors</t>
        </is>
      </c>
      <c r="C1948" s="2" t="inlineStr">
        <is>
          <t>Other</t>
        </is>
      </c>
      <c r="D1948" s="2" t="inlineStr">
        <is>
          <t>L9.J.24160213</t>
        </is>
      </c>
      <c r="E1948" s="2" t="inlineStr">
        <is>
          <t>L9.J.24160213</t>
        </is>
      </c>
      <c r="M1948" s="2" t="inlineStr">
        <is>
          <t>North Ryde</t>
        </is>
      </c>
      <c r="N1948" s="2" t="inlineStr">
        <is>
          <t>Australia</t>
        </is>
      </c>
      <c r="P1948" s="2" t="inlineStr">
        <is>
          <t>Operational Control</t>
        </is>
      </c>
      <c r="Q1948" s="2" t="inlineStr">
        <is>
          <t>Operational Control</t>
        </is>
      </c>
      <c r="R1948" s="2" t="inlineStr">
        <is>
          <t>Energy and Utilities (EU)</t>
        </is>
      </c>
      <c r="S1948" s="2" t="inlineStr">
        <is>
          <t>Downer</t>
        </is>
      </c>
      <c r="T1948" s="2" t="n">
        <v>100</v>
      </c>
      <c r="W1948" s="2" t="inlineStr">
        <is>
          <t>Classification</t>
        </is>
      </c>
    </row>
    <row r="1949">
      <c r="A1949" s="2" t="inlineStr">
        <is>
          <t>Downer</t>
        </is>
      </c>
      <c r="B1949" s="2" t="inlineStr">
        <is>
          <t>Properties Overheads</t>
        </is>
      </c>
      <c r="C1949" s="2" t="inlineStr">
        <is>
          <t>Other</t>
        </is>
      </c>
      <c r="D1949" s="2" t="inlineStr">
        <is>
          <t>L9.DNZJ.91001</t>
        </is>
      </c>
      <c r="E1949" s="2" t="n">
        <v>91001</v>
      </c>
      <c r="H1949" s="2" t="inlineStr">
        <is>
          <t>130 Kerrs Road</t>
        </is>
      </c>
      <c r="I1949" s="2" t="inlineStr">
        <is>
          <t>Wiri</t>
        </is>
      </c>
      <c r="J1949" s="2" t="inlineStr">
        <is>
          <t>Auckland</t>
        </is>
      </c>
      <c r="K1949" s="2" t="n">
        <v>2104</v>
      </c>
      <c r="L1949" s="2" t="inlineStr">
        <is>
          <t>New Zealand</t>
        </is>
      </c>
      <c r="M1949" s="2" t="inlineStr">
        <is>
          <t>Manurewa</t>
        </is>
      </c>
      <c r="N1949" s="2" t="inlineStr">
        <is>
          <t>New Zealand</t>
        </is>
      </c>
      <c r="P1949" s="2" t="inlineStr">
        <is>
          <t>Operational Control</t>
        </is>
      </c>
      <c r="Q1949" s="2" t="inlineStr">
        <is>
          <t>Operational Control</t>
        </is>
      </c>
      <c r="R1949" s="2" t="inlineStr">
        <is>
          <t>Corporate</t>
        </is>
      </c>
      <c r="S1949" s="2" t="inlineStr">
        <is>
          <t>Downer</t>
        </is>
      </c>
      <c r="T1949" s="2" t="n">
        <v>100</v>
      </c>
      <c r="W1949" s="2" t="inlineStr">
        <is>
          <t>Classification</t>
        </is>
      </c>
      <c r="X1949" s="2" t="n">
        <v>-37.0083</v>
      </c>
      <c r="Y1949" s="2" t="n">
        <v>174.8705</v>
      </c>
    </row>
    <row r="1950">
      <c r="A1950" s="2" t="inlineStr">
        <is>
          <t>Downer</t>
        </is>
      </c>
      <c r="B1950" s="2" t="inlineStr">
        <is>
          <t>PS0201-Call Centres NZ</t>
        </is>
      </c>
      <c r="C1950" s="2" t="inlineStr">
        <is>
          <t>Other</t>
        </is>
      </c>
      <c r="D1950" s="2" t="inlineStr">
        <is>
          <t>L9.S.21030283</t>
        </is>
      </c>
      <c r="E1950" s="2" t="n">
        <v>2000004623</v>
      </c>
      <c r="M1950" s="2" t="inlineStr">
        <is>
          <t>Auckland</t>
        </is>
      </c>
      <c r="N1950" s="2" t="inlineStr">
        <is>
          <t>New Zealand</t>
        </is>
      </c>
      <c r="P1950" s="2" t="inlineStr">
        <is>
          <t>Operational Control</t>
        </is>
      </c>
      <c r="Q1950" s="2" t="inlineStr">
        <is>
          <t>Operational Control</t>
        </is>
      </c>
      <c r="R1950" s="2" t="inlineStr">
        <is>
          <t>Social Infra &amp; Citizen Serv (SICS)</t>
        </is>
      </c>
      <c r="S1950" s="2" t="inlineStr">
        <is>
          <t>Downer</t>
        </is>
      </c>
      <c r="T1950" s="2" t="n">
        <v>100</v>
      </c>
      <c r="W1950" s="2" t="inlineStr">
        <is>
          <t>Classification</t>
        </is>
      </c>
    </row>
    <row r="1951">
      <c r="A1951" s="2" t="inlineStr">
        <is>
          <t>Downer</t>
        </is>
      </c>
      <c r="B1951" s="2" t="inlineStr">
        <is>
          <t>PT Blowing &amp; Recovery</t>
        </is>
      </c>
      <c r="C1951" s="2" t="inlineStr">
        <is>
          <t>Other</t>
        </is>
      </c>
      <c r="D1951" s="2" t="inlineStr">
        <is>
          <t>L9.DNZJ.3036</t>
        </is>
      </c>
      <c r="E1951" s="2" t="n">
        <v>3036</v>
      </c>
      <c r="M1951" s="2" t="inlineStr">
        <is>
          <t>Manurewa</t>
        </is>
      </c>
      <c r="N1951" s="2" t="inlineStr">
        <is>
          <t>New Zealand</t>
        </is>
      </c>
      <c r="P1951" s="2" t="inlineStr">
        <is>
          <t>Operational Control</t>
        </is>
      </c>
      <c r="Q1951" s="2" t="inlineStr">
        <is>
          <t>Operational Control</t>
        </is>
      </c>
      <c r="R1951" s="2" t="inlineStr">
        <is>
          <t>Transport &amp; Infrastructure (T&amp;I)</t>
        </is>
      </c>
      <c r="S1951" s="2" t="inlineStr">
        <is>
          <t>Downer</t>
        </is>
      </c>
      <c r="T1951" s="2" t="n">
        <v>100</v>
      </c>
      <c r="W1951" s="2" t="inlineStr">
        <is>
          <t>Classification</t>
        </is>
      </c>
    </row>
    <row r="1952">
      <c r="A1952" s="2" t="inlineStr">
        <is>
          <t>Downer</t>
        </is>
      </c>
      <c r="B1952" s="2" t="inlineStr">
        <is>
          <t>Pukekohe Station Civil Works</t>
        </is>
      </c>
      <c r="C1952" s="2" t="inlineStr">
        <is>
          <t>Other</t>
        </is>
      </c>
      <c r="D1952" s="2" t="inlineStr">
        <is>
          <t>L9.DNZJ.DN1206</t>
        </is>
      </c>
      <c r="E1952" s="2" t="inlineStr">
        <is>
          <t>JP_DN1206</t>
        </is>
      </c>
      <c r="M1952" s="2" t="inlineStr">
        <is>
          <t>Manurewa</t>
        </is>
      </c>
      <c r="N1952" s="2" t="inlineStr">
        <is>
          <t>New Zealand</t>
        </is>
      </c>
      <c r="P1952" s="2" t="inlineStr">
        <is>
          <t>Operational Control</t>
        </is>
      </c>
      <c r="Q1952" s="2" t="inlineStr">
        <is>
          <t>Operational Control</t>
        </is>
      </c>
      <c r="R1952" s="2" t="inlineStr">
        <is>
          <t>Transport &amp; Infrastructure (T&amp;I)</t>
        </is>
      </c>
      <c r="S1952" s="2" t="inlineStr">
        <is>
          <t>Downer</t>
        </is>
      </c>
      <c r="T1952" s="2" t="n">
        <v>100</v>
      </c>
      <c r="W1952" s="2" t="inlineStr">
        <is>
          <t>Classification</t>
        </is>
      </c>
    </row>
    <row r="1953">
      <c r="A1953" s="2" t="inlineStr">
        <is>
          <t>Downer</t>
        </is>
      </c>
      <c r="B1953" s="2" t="inlineStr">
        <is>
          <t>Q05707 - Werribee Hangar 1 Refurbishment</t>
        </is>
      </c>
      <c r="C1953" s="2" t="inlineStr">
        <is>
          <t>Site</t>
        </is>
      </c>
      <c r="D1953" s="2" t="inlineStr">
        <is>
          <t>L9.J.25830004</t>
        </is>
      </c>
      <c r="E1953" s="2" t="inlineStr">
        <is>
          <t>L9.J.25830004</t>
        </is>
      </c>
      <c r="F1953" s="2" t="n">
        <v>3000</v>
      </c>
      <c r="M1953" s="2" t="inlineStr">
        <is>
          <t>Victoria</t>
        </is>
      </c>
      <c r="N1953" s="2" t="inlineStr">
        <is>
          <t>Australia</t>
        </is>
      </c>
      <c r="P1953" s="2" t="inlineStr">
        <is>
          <t>Operational Control</t>
        </is>
      </c>
      <c r="Q1953" s="2" t="inlineStr">
        <is>
          <t>Operational Control</t>
        </is>
      </c>
      <c r="R1953" s="2" t="inlineStr">
        <is>
          <t>Energy and Utilities (EU)</t>
        </is>
      </c>
      <c r="S1953" s="2" t="inlineStr">
        <is>
          <t>Downer</t>
        </is>
      </c>
      <c r="T1953" s="2" t="n">
        <v>100</v>
      </c>
      <c r="W1953" s="2" t="inlineStr">
        <is>
          <t>Classification</t>
        </is>
      </c>
    </row>
    <row r="1954">
      <c r="A1954" s="2" t="inlineStr">
        <is>
          <t>Downer</t>
        </is>
      </c>
      <c r="B1954" s="2" t="inlineStr">
        <is>
          <t>Qantas Dr - Brisbane (QLD)</t>
        </is>
      </c>
      <c r="C1954" s="2" t="inlineStr">
        <is>
          <t>Office / Warehouse</t>
        </is>
      </c>
      <c r="D1954" s="2" t="inlineStr">
        <is>
          <t>L9.J.10920040</t>
        </is>
      </c>
      <c r="E1954" s="2" t="n">
        <v>1017</v>
      </c>
      <c r="G1954" s="2" t="inlineStr">
        <is>
          <t>Gradual occupation from 1st Dec 2018 to 100% occupation 8th April 2019.</t>
        </is>
      </c>
      <c r="H1954" s="2" t="inlineStr">
        <is>
          <t>60-62 Qantas Drive</t>
        </is>
      </c>
      <c r="I1954" s="2" t="inlineStr">
        <is>
          <t>Brisbane Airport</t>
        </is>
      </c>
      <c r="J1954" s="2" t="inlineStr">
        <is>
          <t>QLD</t>
        </is>
      </c>
      <c r="K1954" s="2" t="n">
        <v>4008</v>
      </c>
      <c r="L1954" s="2" t="inlineStr">
        <is>
          <t>Australia</t>
        </is>
      </c>
      <c r="M1954" s="2" t="inlineStr">
        <is>
          <t>Brisbane</t>
        </is>
      </c>
      <c r="N1954" s="2" t="inlineStr">
        <is>
          <t>Australia</t>
        </is>
      </c>
      <c r="P1954" s="2" t="inlineStr">
        <is>
          <t>Operational Control</t>
        </is>
      </c>
      <c r="Q1954" s="2" t="inlineStr">
        <is>
          <t>Operational Control</t>
        </is>
      </c>
      <c r="R1954" s="2" t="inlineStr">
        <is>
          <t>Corporate</t>
        </is>
      </c>
      <c r="S1954" s="2" t="inlineStr">
        <is>
          <t>Downer</t>
        </is>
      </c>
      <c r="T1954" s="2" t="n">
        <v>100</v>
      </c>
      <c r="W1954" s="2" t="inlineStr">
        <is>
          <t>Classification</t>
        </is>
      </c>
      <c r="X1954" s="2" t="n">
        <v>-27.414849</v>
      </c>
      <c r="Y1954" s="2" t="n">
        <v>153.091034</v>
      </c>
      <c r="Z1954" s="2" t="n">
        <v>729</v>
      </c>
    </row>
    <row r="1955">
      <c r="A1955" s="2" t="inlineStr">
        <is>
          <t>Downer</t>
        </is>
      </c>
      <c r="B1955" s="2" t="inlineStr">
        <is>
          <t>QLD Emulsion Plant</t>
        </is>
      </c>
      <c r="C1955" s="2" t="inlineStr">
        <is>
          <t>Emulsion Plant</t>
        </is>
      </c>
      <c r="D1955" s="2" t="inlineStr">
        <is>
          <t>L9.J.17090747</t>
        </is>
      </c>
      <c r="E1955" s="2" t="n">
        <v>8008</v>
      </c>
      <c r="G1955" s="2" t="inlineStr">
        <is>
          <t>PUMA pay for utilities.</t>
        </is>
      </c>
      <c r="H1955" s="2" t="inlineStr">
        <is>
          <t>398 Tingira Street</t>
        </is>
      </c>
      <c r="I1955" s="2" t="inlineStr">
        <is>
          <t>Pinkenba</t>
        </is>
      </c>
      <c r="J1955" s="2" t="inlineStr">
        <is>
          <t>QLD</t>
        </is>
      </c>
      <c r="K1955" s="2" t="n">
        <v>4008</v>
      </c>
      <c r="L1955" s="2" t="inlineStr">
        <is>
          <t>Australia</t>
        </is>
      </c>
      <c r="M1955" s="2" t="inlineStr">
        <is>
          <t>Queensland</t>
        </is>
      </c>
      <c r="N1955" s="2" t="inlineStr">
        <is>
          <t>Australia</t>
        </is>
      </c>
      <c r="P1955" s="2" t="inlineStr">
        <is>
          <t>Operational Control</t>
        </is>
      </c>
      <c r="Q1955" s="2" t="inlineStr">
        <is>
          <t>Operational Control</t>
        </is>
      </c>
      <c r="R1955" s="2" t="inlineStr">
        <is>
          <t>Transport &amp; Infrastructure (T&amp;I)</t>
        </is>
      </c>
      <c r="S1955" s="2" t="inlineStr">
        <is>
          <t>Downer</t>
        </is>
      </c>
      <c r="T1955" s="2" t="n">
        <v>100</v>
      </c>
      <c r="W1955" s="2" t="inlineStr">
        <is>
          <t>Classification</t>
        </is>
      </c>
      <c r="X1955" s="2" t="n">
        <v>-27.41599</v>
      </c>
      <c r="Y1955" s="2" t="n">
        <v>153.135943</v>
      </c>
      <c r="Z1955" s="2" t="n">
        <v>170</v>
      </c>
    </row>
    <row r="1956">
      <c r="A1956" s="2" t="inlineStr">
        <is>
          <t>Downer</t>
        </is>
      </c>
      <c r="B1956" s="2" t="inlineStr">
        <is>
          <t>QLD EU Subcontractors</t>
        </is>
      </c>
      <c r="C1956" s="2" t="inlineStr">
        <is>
          <t>Other</t>
        </is>
      </c>
      <c r="D1956" s="2" t="inlineStr">
        <is>
          <t>L9.MIN.8704.PROD.WCF</t>
        </is>
      </c>
      <c r="E1956" s="2" t="inlineStr">
        <is>
          <t>L9.MIN.8704.PROD.WCF</t>
        </is>
      </c>
      <c r="M1956" s="2" t="inlineStr">
        <is>
          <t>North Ryde</t>
        </is>
      </c>
      <c r="N1956" s="2" t="inlineStr">
        <is>
          <t>Australia</t>
        </is>
      </c>
      <c r="P1956" s="2" t="inlineStr">
        <is>
          <t>Operational Control</t>
        </is>
      </c>
      <c r="Q1956" s="2" t="inlineStr">
        <is>
          <t>Operational Control</t>
        </is>
      </c>
      <c r="R1956" s="2" t="inlineStr">
        <is>
          <t>Energy and Utilities (EU)</t>
        </is>
      </c>
      <c r="S1956" s="2" t="inlineStr">
        <is>
          <t>Downer</t>
        </is>
      </c>
      <c r="T1956" s="2" t="n">
        <v>100</v>
      </c>
      <c r="W1956" s="2" t="inlineStr">
        <is>
          <t>Classification</t>
        </is>
      </c>
    </row>
    <row r="1957">
      <c r="A1957" s="2" t="inlineStr">
        <is>
          <t>Downer</t>
        </is>
      </c>
      <c r="B1957" s="2" t="inlineStr">
        <is>
          <t>QLD/SA Other Customers EU Subcontractors</t>
        </is>
      </c>
      <c r="C1957" s="2" t="inlineStr">
        <is>
          <t>Other</t>
        </is>
      </c>
      <c r="D1957" s="2" t="inlineStr">
        <is>
          <t>L9.J.23900271</t>
        </is>
      </c>
      <c r="E1957" s="2" t="inlineStr">
        <is>
          <t>L9.J.23900271</t>
        </is>
      </c>
      <c r="F1957" s="2" t="inlineStr">
        <is>
          <t>L9.J.23900271</t>
        </is>
      </c>
      <c r="M1957" s="2" t="inlineStr">
        <is>
          <t>North Ryde</t>
        </is>
      </c>
      <c r="N1957" s="2" t="inlineStr">
        <is>
          <t>Australia</t>
        </is>
      </c>
      <c r="P1957" s="2" t="inlineStr">
        <is>
          <t>Operational Control</t>
        </is>
      </c>
      <c r="Q1957" s="2" t="inlineStr">
        <is>
          <t>Operational Control</t>
        </is>
      </c>
      <c r="R1957" s="2" t="inlineStr">
        <is>
          <t>Energy and Utilities (EU)</t>
        </is>
      </c>
      <c r="S1957" s="2" t="inlineStr">
        <is>
          <t>Downer</t>
        </is>
      </c>
      <c r="T1957" s="2" t="n">
        <v>100</v>
      </c>
      <c r="W1957" s="2" t="inlineStr">
        <is>
          <t>Classification</t>
        </is>
      </c>
    </row>
    <row r="1958">
      <c r="A1958" s="2" t="inlineStr">
        <is>
          <t>Downer</t>
        </is>
      </c>
      <c r="B1958" s="2" t="inlineStr">
        <is>
          <t>QLD/SA Overhead EU Subcontractors</t>
        </is>
      </c>
      <c r="C1958" s="2" t="inlineStr">
        <is>
          <t>Other</t>
        </is>
      </c>
      <c r="D1958" s="2" t="inlineStr">
        <is>
          <t>L9.J.241673</t>
        </is>
      </c>
      <c r="E1958" s="2" t="inlineStr">
        <is>
          <t>L9.J.241673</t>
        </is>
      </c>
      <c r="M1958" s="2" t="inlineStr">
        <is>
          <t>North Ryde</t>
        </is>
      </c>
      <c r="N1958" s="2" t="inlineStr">
        <is>
          <t>Australia</t>
        </is>
      </c>
      <c r="P1958" s="2" t="inlineStr">
        <is>
          <t>Operational Control</t>
        </is>
      </c>
      <c r="Q1958" s="2" t="inlineStr">
        <is>
          <t>Operational Control</t>
        </is>
      </c>
      <c r="R1958" s="2" t="inlineStr">
        <is>
          <t>Energy and Utilities (EU)</t>
        </is>
      </c>
      <c r="S1958" s="2" t="inlineStr">
        <is>
          <t>Downer</t>
        </is>
      </c>
      <c r="T1958" s="2" t="n">
        <v>100</v>
      </c>
      <c r="W1958" s="2" t="inlineStr">
        <is>
          <t>Classification</t>
        </is>
      </c>
    </row>
    <row r="1959">
      <c r="A1959" s="2" t="inlineStr">
        <is>
          <t>Downer</t>
        </is>
      </c>
      <c r="B1959" s="2" t="inlineStr">
        <is>
          <t>Quarry - Bartletts</t>
        </is>
      </c>
      <c r="C1959" s="2" t="inlineStr">
        <is>
          <t>Other</t>
        </is>
      </c>
      <c r="D1959" s="2" t="inlineStr">
        <is>
          <t>L9.DNZJ.55330</t>
        </is>
      </c>
      <c r="E1959" s="2" t="n">
        <v>55330</v>
      </c>
      <c r="H1959" s="2" t="inlineStr">
        <is>
          <t>272 Barlett Rd</t>
        </is>
      </c>
      <c r="I1959" s="2" t="inlineStr">
        <is>
          <t>Richmond</t>
        </is>
      </c>
      <c r="J1959" s="2" t="inlineStr">
        <is>
          <t>Nelson</t>
        </is>
      </c>
      <c r="K1959" s="2" t="n">
        <v>7081</v>
      </c>
      <c r="L1959" s="2" t="inlineStr">
        <is>
          <t>New Zealand</t>
        </is>
      </c>
      <c r="M1959" s="2" t="inlineStr">
        <is>
          <t>Brightwater</t>
        </is>
      </c>
      <c r="N1959" s="2" t="inlineStr">
        <is>
          <t>New Zealand</t>
        </is>
      </c>
      <c r="P1959" s="2" t="inlineStr">
        <is>
          <t>Operational Control</t>
        </is>
      </c>
      <c r="Q1959" s="2" t="inlineStr">
        <is>
          <t>Operational Control</t>
        </is>
      </c>
      <c r="R1959" s="2" t="inlineStr">
        <is>
          <t>Transport &amp; Infrastructure (T&amp;I)</t>
        </is>
      </c>
      <c r="S1959" s="2" t="inlineStr">
        <is>
          <t>Downer</t>
        </is>
      </c>
      <c r="T1959" s="2" t="n">
        <v>100</v>
      </c>
      <c r="W1959" s="2" t="inlineStr">
        <is>
          <t>Classification</t>
        </is>
      </c>
      <c r="X1959" s="2" t="n">
        <v>-41.3418</v>
      </c>
      <c r="Y1959" s="2" t="n">
        <v>173.1185</v>
      </c>
    </row>
    <row r="1960">
      <c r="A1960" s="2" t="inlineStr">
        <is>
          <t>Downer</t>
        </is>
      </c>
      <c r="B1960" s="2" t="inlineStr">
        <is>
          <t>Quarry - WOK</t>
        </is>
      </c>
      <c r="C1960" s="2" t="inlineStr">
        <is>
          <t>Other</t>
        </is>
      </c>
      <c r="D1960" s="2" t="inlineStr">
        <is>
          <t>L9.DNZJ.55192</t>
        </is>
      </c>
      <c r="E1960" s="2" t="n">
        <v>55192</v>
      </c>
      <c r="H1960" s="2" t="inlineStr">
        <is>
          <t>2005 Tiniroto Road</t>
        </is>
      </c>
      <c r="I1960" s="2" t="inlineStr">
        <is>
          <t>Waerengaokuri</t>
        </is>
      </c>
      <c r="J1960" s="2" t="inlineStr">
        <is>
          <t>Waerengaokuri</t>
        </is>
      </c>
      <c r="K1960" s="2" t="n">
        <v>4072</v>
      </c>
      <c r="L1960" s="2" t="inlineStr">
        <is>
          <t>New Zealand</t>
        </is>
      </c>
      <c r="M1960" s="2" t="inlineStr">
        <is>
          <t>Manutuke</t>
        </is>
      </c>
      <c r="N1960" s="2" t="inlineStr">
        <is>
          <t>New Zealand</t>
        </is>
      </c>
      <c r="P1960" s="2" t="inlineStr">
        <is>
          <t>Operational Control</t>
        </is>
      </c>
      <c r="Q1960" s="2" t="inlineStr">
        <is>
          <t>Operational Control</t>
        </is>
      </c>
      <c r="R1960" s="2" t="inlineStr">
        <is>
          <t>Transport &amp; Infrastructure (T&amp;I)</t>
        </is>
      </c>
      <c r="S1960" s="2" t="inlineStr">
        <is>
          <t>Downer</t>
        </is>
      </c>
      <c r="T1960" s="2" t="n">
        <v>100</v>
      </c>
      <c r="W1960" s="2" t="inlineStr">
        <is>
          <t>Classification</t>
        </is>
      </c>
      <c r="X1960" s="2" t="n">
        <v>-38.6919</v>
      </c>
      <c r="Y1960" s="2" t="n">
        <v>177.7543</v>
      </c>
    </row>
    <row r="1961">
      <c r="A1961" s="2" t="inlineStr">
        <is>
          <t>Downer</t>
        </is>
      </c>
      <c r="B1961" s="2" t="inlineStr">
        <is>
          <t>Queenstown (46 Robins Road)</t>
        </is>
      </c>
      <c r="C1961" s="2" t="inlineStr">
        <is>
          <t>Commercial</t>
        </is>
      </c>
      <c r="D1961" s="2" t="inlineStr">
        <is>
          <t>L9.DNZJ.91382</t>
        </is>
      </c>
      <c r="E1961" s="2" t="n">
        <v>91382</v>
      </c>
      <c r="G1961" s="2" t="inlineStr">
        <is>
          <t>COR-NZHO.91382-Queenstown (46 Robins Road)</t>
        </is>
      </c>
      <c r="H1961" s="2" t="inlineStr">
        <is>
          <t>46 Robins Road</t>
        </is>
      </c>
      <c r="I1961" s="2" t="inlineStr">
        <is>
          <t>Queenstown</t>
        </is>
      </c>
      <c r="K1961" s="2" t="n">
        <v>9300</v>
      </c>
      <c r="M1961" s="2" t="inlineStr">
        <is>
          <t>Queenstown</t>
        </is>
      </c>
      <c r="N1961" s="2" t="inlineStr">
        <is>
          <t>New Zealand</t>
        </is>
      </c>
      <c r="P1961" s="2" t="inlineStr">
        <is>
          <t>Operational Control</t>
        </is>
      </c>
      <c r="Q1961" s="2" t="inlineStr">
        <is>
          <t>Operational Control</t>
        </is>
      </c>
      <c r="R1961" s="2" t="inlineStr">
        <is>
          <t>Corporate</t>
        </is>
      </c>
      <c r="S1961" s="2" t="inlineStr">
        <is>
          <t>Downer</t>
        </is>
      </c>
      <c r="T1961" s="2" t="n">
        <v>100</v>
      </c>
      <c r="W1961" s="2" t="inlineStr">
        <is>
          <t>Classification</t>
        </is>
      </c>
    </row>
    <row r="1962">
      <c r="A1962" s="2" t="inlineStr">
        <is>
          <t>Downer</t>
        </is>
      </c>
      <c r="B1962" s="2" t="inlineStr">
        <is>
          <t>Queenstown DC - RCM</t>
        </is>
      </c>
      <c r="C1962" s="2" t="inlineStr">
        <is>
          <t>Other</t>
        </is>
      </c>
      <c r="D1962" s="2" t="inlineStr">
        <is>
          <t>L9.DNZJ.55380</t>
        </is>
      </c>
      <c r="E1962" s="2" t="n">
        <v>55380</v>
      </c>
      <c r="H1962" s="2" t="inlineStr">
        <is>
          <t>130 Kerrs Road</t>
        </is>
      </c>
      <c r="I1962" s="2" t="inlineStr">
        <is>
          <t>Wiri</t>
        </is>
      </c>
      <c r="J1962" s="2" t="inlineStr">
        <is>
          <t>Auckland</t>
        </is>
      </c>
      <c r="K1962" s="2" t="n">
        <v>2104</v>
      </c>
      <c r="L1962" s="2" t="inlineStr">
        <is>
          <t>New Zealand</t>
        </is>
      </c>
      <c r="M1962" s="2" t="inlineStr">
        <is>
          <t>Manurewa</t>
        </is>
      </c>
      <c r="N1962" s="2" t="inlineStr">
        <is>
          <t>New Zealand</t>
        </is>
      </c>
      <c r="P1962" s="2" t="inlineStr">
        <is>
          <t>Operational Control</t>
        </is>
      </c>
      <c r="Q1962" s="2" t="inlineStr">
        <is>
          <t>Operational Control</t>
        </is>
      </c>
      <c r="R1962" s="2" t="inlineStr">
        <is>
          <t>Transport &amp; Infrastructure (T&amp;I)</t>
        </is>
      </c>
      <c r="S1962" s="2" t="inlineStr">
        <is>
          <t>Downer</t>
        </is>
      </c>
      <c r="T1962" s="2" t="n">
        <v>100</v>
      </c>
      <c r="W1962" s="2" t="inlineStr">
        <is>
          <t>Classification</t>
        </is>
      </c>
      <c r="X1962" s="2" t="n">
        <v>-37.0083</v>
      </c>
      <c r="Y1962" s="2" t="n">
        <v>174.8705</v>
      </c>
    </row>
    <row r="1963">
      <c r="A1963" s="2" t="inlineStr">
        <is>
          <t>Downer</t>
        </is>
      </c>
      <c r="B1963" s="2" t="inlineStr">
        <is>
          <t>Queenstown Depot</t>
        </is>
      </c>
      <c r="C1963" s="2" t="inlineStr">
        <is>
          <t>Other</t>
        </is>
      </c>
      <c r="D1963" s="2" t="inlineStr">
        <is>
          <t>L9.DNZJ.55680</t>
        </is>
      </c>
      <c r="E1963" s="2" t="n">
        <v>55680</v>
      </c>
      <c r="H1963" s="2" t="inlineStr">
        <is>
          <t>7-11 Jock Boyd Place</t>
        </is>
      </c>
      <c r="I1963" s="2" t="inlineStr">
        <is>
          <t>Frankton</t>
        </is>
      </c>
      <c r="J1963" s="2" t="inlineStr">
        <is>
          <t>Queenstown</t>
        </is>
      </c>
      <c r="K1963" s="2" t="n">
        <v>9300</v>
      </c>
      <c r="L1963" s="2" t="inlineStr">
        <is>
          <t>New Zealand</t>
        </is>
      </c>
      <c r="M1963" s="2" t="inlineStr">
        <is>
          <t>Queenstown</t>
        </is>
      </c>
      <c r="N1963" s="2" t="inlineStr">
        <is>
          <t>New Zealand</t>
        </is>
      </c>
      <c r="P1963" s="2" t="inlineStr">
        <is>
          <t>Operational Control</t>
        </is>
      </c>
      <c r="Q1963" s="2" t="inlineStr">
        <is>
          <t>Operational Control</t>
        </is>
      </c>
      <c r="R1963" s="2" t="inlineStr">
        <is>
          <t>Transport &amp; Infrastructure (T&amp;I)</t>
        </is>
      </c>
      <c r="S1963" s="2" t="inlineStr">
        <is>
          <t>Downer</t>
        </is>
      </c>
      <c r="T1963" s="2" t="n">
        <v>100</v>
      </c>
      <c r="W1963" s="2" t="inlineStr">
        <is>
          <t>Classification</t>
        </is>
      </c>
      <c r="X1963" s="2" t="n">
        <v>-45.006</v>
      </c>
      <c r="Y1963" s="2" t="n">
        <v>168.7508</v>
      </c>
    </row>
    <row r="1964">
      <c r="A1964" s="2" t="inlineStr">
        <is>
          <t>Downer</t>
        </is>
      </c>
      <c r="B1964" s="2" t="inlineStr">
        <is>
          <t>QUEENSTOWN FIRESTATION UPGRADE</t>
        </is>
      </c>
      <c r="C1964" s="2" t="inlineStr">
        <is>
          <t>Project</t>
        </is>
      </c>
      <c r="D1964" s="2" t="inlineStr">
        <is>
          <t>L9.DNZ.HS0142</t>
        </is>
      </c>
      <c r="E1964" s="2" t="inlineStr">
        <is>
          <t>JP_HS0142</t>
        </is>
      </c>
      <c r="M1964" s="2" t="inlineStr">
        <is>
          <t>Queenstown</t>
        </is>
      </c>
      <c r="N1964" s="2" t="inlineStr">
        <is>
          <t>New Zealand</t>
        </is>
      </c>
      <c r="P1964" s="2" t="inlineStr">
        <is>
          <t>Operational Control</t>
        </is>
      </c>
      <c r="Q1964" s="2" t="inlineStr">
        <is>
          <t>Operational Control</t>
        </is>
      </c>
      <c r="R1964" s="2" t="inlineStr">
        <is>
          <t>Transport &amp; Infrastructure (T&amp;I)</t>
        </is>
      </c>
      <c r="S1964" s="2" t="inlineStr">
        <is>
          <t>Downer</t>
        </is>
      </c>
      <c r="T1964" s="2" t="n">
        <v>100</v>
      </c>
      <c r="W1964" s="2" t="inlineStr">
        <is>
          <t>Classification</t>
        </is>
      </c>
    </row>
    <row r="1965">
      <c r="A1965" s="2" t="inlineStr">
        <is>
          <t>Downer</t>
        </is>
      </c>
      <c r="B1965" s="2" t="inlineStr">
        <is>
          <t>Queenstown Laboratory</t>
        </is>
      </c>
      <c r="C1965" s="2" t="inlineStr">
        <is>
          <t>Other</t>
        </is>
      </c>
      <c r="D1965" s="2" t="inlineStr">
        <is>
          <t>L9.DNZJ.3528</t>
        </is>
      </c>
      <c r="E1965" s="2" t="n">
        <v>3528</v>
      </c>
      <c r="M1965" s="2" t="inlineStr">
        <is>
          <t>Manurewa</t>
        </is>
      </c>
      <c r="N1965" s="2" t="inlineStr">
        <is>
          <t>New Zealand</t>
        </is>
      </c>
      <c r="P1965" s="2" t="inlineStr">
        <is>
          <t>Operational Control</t>
        </is>
      </c>
      <c r="Q1965" s="2" t="inlineStr">
        <is>
          <t>Operational Control</t>
        </is>
      </c>
      <c r="R1965" s="2" t="inlineStr">
        <is>
          <t>Transport &amp; Infrastructure (T&amp;I)</t>
        </is>
      </c>
      <c r="S1965" s="2" t="inlineStr">
        <is>
          <t>Downer</t>
        </is>
      </c>
      <c r="T1965" s="2" t="n">
        <v>100</v>
      </c>
      <c r="W1965" s="2" t="inlineStr">
        <is>
          <t>Classification</t>
        </is>
      </c>
    </row>
    <row r="1966">
      <c r="A1966" s="2" t="inlineStr">
        <is>
          <t>Downer</t>
        </is>
      </c>
      <c r="B1966" s="2" t="inlineStr">
        <is>
          <t>QUU EU Subcontractors</t>
        </is>
      </c>
      <c r="C1966" s="2" t="inlineStr">
        <is>
          <t>Other</t>
        </is>
      </c>
      <c r="D1966" s="2" t="inlineStr">
        <is>
          <t>L9.J.23900117</t>
        </is>
      </c>
      <c r="E1966" s="2" t="inlineStr">
        <is>
          <t>L9.J.23900117</t>
        </is>
      </c>
      <c r="M1966" s="2" t="inlineStr">
        <is>
          <t>North Ryde</t>
        </is>
      </c>
      <c r="N1966" s="2" t="inlineStr">
        <is>
          <t>Australia</t>
        </is>
      </c>
      <c r="P1966" s="2" t="inlineStr">
        <is>
          <t>Operational Control</t>
        </is>
      </c>
      <c r="Q1966" s="2" t="inlineStr">
        <is>
          <t>Operational Control</t>
        </is>
      </c>
      <c r="R1966" s="2" t="inlineStr">
        <is>
          <t>Energy and Utilities (EU)</t>
        </is>
      </c>
      <c r="S1966" s="2" t="inlineStr">
        <is>
          <t>Downer</t>
        </is>
      </c>
      <c r="T1966" s="2" t="n">
        <v>100</v>
      </c>
      <c r="W1966" s="2" t="inlineStr">
        <is>
          <t>Classification</t>
        </is>
      </c>
    </row>
    <row r="1967">
      <c r="A1967" s="2" t="inlineStr">
        <is>
          <t>Downer</t>
        </is>
      </c>
      <c r="B1967" s="2" t="inlineStr">
        <is>
          <t>Raetihi Depot</t>
        </is>
      </c>
      <c r="C1967" s="2" t="inlineStr">
        <is>
          <t>Other</t>
        </is>
      </c>
      <c r="D1967" s="2" t="inlineStr">
        <is>
          <t>L9.DNZJ.55560</t>
        </is>
      </c>
      <c r="E1967" s="2" t="n">
        <v>55560</v>
      </c>
      <c r="H1967" s="2" t="inlineStr">
        <is>
          <t>1 George Street</t>
        </is>
      </c>
      <c r="I1967" s="2" t="inlineStr">
        <is>
          <t>Raetihi</t>
        </is>
      </c>
      <c r="J1967" s="2" t="inlineStr">
        <is>
          <t>Raetihi</t>
        </is>
      </c>
      <c r="K1967" s="2" t="n">
        <v>4632</v>
      </c>
      <c r="L1967" s="2" t="inlineStr">
        <is>
          <t>New Zealand</t>
        </is>
      </c>
      <c r="M1967" s="2" t="inlineStr">
        <is>
          <t>Waiouru</t>
        </is>
      </c>
      <c r="N1967" s="2" t="inlineStr">
        <is>
          <t>New Zealand</t>
        </is>
      </c>
      <c r="P1967" s="2" t="inlineStr">
        <is>
          <t>Operational Control</t>
        </is>
      </c>
      <c r="Q1967" s="2" t="inlineStr">
        <is>
          <t>Operational Control</t>
        </is>
      </c>
      <c r="R1967" s="2" t="inlineStr">
        <is>
          <t>Transport &amp; Infrastructure (T&amp;I)</t>
        </is>
      </c>
      <c r="S1967" s="2" t="inlineStr">
        <is>
          <t>Downer</t>
        </is>
      </c>
      <c r="T1967" s="2" t="n">
        <v>100</v>
      </c>
      <c r="W1967" s="2" t="inlineStr">
        <is>
          <t>Classification</t>
        </is>
      </c>
      <c r="X1967" s="2" t="n">
        <v>-39.4322</v>
      </c>
      <c r="Y1967" s="2" t="n">
        <v>175.2818</v>
      </c>
    </row>
    <row r="1968">
      <c r="A1968" s="2" t="inlineStr">
        <is>
          <t>Downer</t>
        </is>
      </c>
      <c r="B1968" s="2" t="inlineStr">
        <is>
          <t>Rangitata South Irrigation</t>
        </is>
      </c>
      <c r="C1968" s="2" t="inlineStr">
        <is>
          <t>Other</t>
        </is>
      </c>
      <c r="D1968" s="2" t="inlineStr">
        <is>
          <t>L9.DNZJ.561293</t>
        </is>
      </c>
      <c r="E1968" s="2" t="n">
        <v>561293</v>
      </c>
      <c r="M1968" s="2" t="inlineStr">
        <is>
          <t>Auckland</t>
        </is>
      </c>
      <c r="N1968" s="2" t="inlineStr">
        <is>
          <t>New Zealand</t>
        </is>
      </c>
      <c r="P1968" s="2" t="inlineStr">
        <is>
          <t>Operational Control</t>
        </is>
      </c>
      <c r="Q1968" s="2" t="inlineStr">
        <is>
          <t>Operational Control</t>
        </is>
      </c>
      <c r="R1968" s="2" t="inlineStr">
        <is>
          <t>Energy and Utilities (EU)</t>
        </is>
      </c>
      <c r="S1968" s="2" t="inlineStr">
        <is>
          <t>Downer</t>
        </is>
      </c>
      <c r="T1968" s="2" t="n">
        <v>100</v>
      </c>
      <c r="W1968" s="2" t="inlineStr">
        <is>
          <t>Classification</t>
        </is>
      </c>
    </row>
    <row r="1969">
      <c r="A1969" s="2" t="inlineStr">
        <is>
          <t>Downer</t>
        </is>
      </c>
      <c r="B1969" s="2" t="inlineStr">
        <is>
          <t>RCG Maintenance EU Subcontractors</t>
        </is>
      </c>
      <c r="C1969" s="2" t="inlineStr">
        <is>
          <t>Other</t>
        </is>
      </c>
      <c r="D1969" s="2" t="inlineStr">
        <is>
          <t>L9.DNZ.810.20859</t>
        </is>
      </c>
      <c r="E1969" s="2" t="inlineStr">
        <is>
          <t>L9.DNZ.810.20859</t>
        </is>
      </c>
      <c r="M1969" s="2" t="inlineStr">
        <is>
          <t>Auckland City</t>
        </is>
      </c>
      <c r="N1969" s="2" t="inlineStr">
        <is>
          <t>New Zealand</t>
        </is>
      </c>
      <c r="P1969" s="2" t="inlineStr">
        <is>
          <t>Operational Control</t>
        </is>
      </c>
      <c r="Q1969" s="2" t="inlineStr">
        <is>
          <t>Operational Control</t>
        </is>
      </c>
      <c r="R1969" s="2" t="inlineStr">
        <is>
          <t>Energy and Utilities (EU)</t>
        </is>
      </c>
      <c r="S1969" s="2" t="inlineStr">
        <is>
          <t>Downer</t>
        </is>
      </c>
      <c r="T1969" s="2" t="n">
        <v>100</v>
      </c>
      <c r="W1969" s="2" t="inlineStr">
        <is>
          <t>Classification</t>
        </is>
      </c>
    </row>
    <row r="1970">
      <c r="A1970" s="2" t="inlineStr">
        <is>
          <t>Downer</t>
        </is>
      </c>
      <c r="B1970" s="2" t="inlineStr">
        <is>
          <t>RELOCATABLE CLASSROOMS</t>
        </is>
      </c>
      <c r="C1970" s="2" t="inlineStr">
        <is>
          <t>Other</t>
        </is>
      </c>
      <c r="D1970" s="2" t="inlineStr">
        <is>
          <t>L9.DNZ.HS0147</t>
        </is>
      </c>
      <c r="E1970" s="2" t="inlineStr">
        <is>
          <t>JP_HS0147</t>
        </is>
      </c>
      <c r="M1970" s="2" t="inlineStr">
        <is>
          <t>Manurewa</t>
        </is>
      </c>
      <c r="N1970" s="2" t="inlineStr">
        <is>
          <t>New Zealand</t>
        </is>
      </c>
      <c r="P1970" s="2" t="inlineStr">
        <is>
          <t>Operational Control</t>
        </is>
      </c>
      <c r="Q1970" s="2" t="inlineStr">
        <is>
          <t>Operational Control</t>
        </is>
      </c>
      <c r="R1970" s="2" t="inlineStr">
        <is>
          <t>Transport &amp; Infrastructure (T&amp;I)</t>
        </is>
      </c>
      <c r="S1970" s="2" t="inlineStr">
        <is>
          <t>Downer</t>
        </is>
      </c>
      <c r="T1970" s="2" t="n">
        <v>100</v>
      </c>
      <c r="W1970" s="2" t="inlineStr">
        <is>
          <t>Classification</t>
        </is>
      </c>
    </row>
    <row r="1971">
      <c r="A1971" s="2" t="inlineStr">
        <is>
          <t>Downer</t>
        </is>
      </c>
      <c r="B1971" s="2" t="inlineStr">
        <is>
          <t>Remediation Site_Laundry - Abbotsford (VIC)</t>
        </is>
      </c>
      <c r="C1971" s="2" t="inlineStr">
        <is>
          <t>Industrial</t>
        </is>
      </c>
      <c r="D1971" s="2" t="inlineStr">
        <is>
          <t>L9.J.111001</t>
        </is>
      </c>
      <c r="E1971" s="2" t="n">
        <v>9053</v>
      </c>
      <c r="G1971" s="2" t="inlineStr">
        <is>
          <t>Owned</t>
        </is>
      </c>
      <c r="H1971" s="2" t="inlineStr">
        <is>
          <t>18 Victoria Cres</t>
        </is>
      </c>
      <c r="I1971" s="2" t="inlineStr">
        <is>
          <t>Abbotsford</t>
        </is>
      </c>
      <c r="J1971" s="2" t="inlineStr">
        <is>
          <t>VIC</t>
        </is>
      </c>
      <c r="K1971" s="2" t="n">
        <v>3067</v>
      </c>
      <c r="M1971" s="2" t="inlineStr">
        <is>
          <t>Melbourne</t>
        </is>
      </c>
      <c r="N1971" s="2" t="inlineStr">
        <is>
          <t>Australia</t>
        </is>
      </c>
      <c r="P1971" s="2" t="inlineStr">
        <is>
          <t>Operational Control</t>
        </is>
      </c>
      <c r="Q1971" s="2" t="inlineStr">
        <is>
          <t>Operational Control</t>
        </is>
      </c>
      <c r="R1971" s="2" t="inlineStr">
        <is>
          <t>Corporate</t>
        </is>
      </c>
      <c r="S1971" s="2" t="inlineStr">
        <is>
          <t>Downer</t>
        </is>
      </c>
      <c r="T1971" s="2" t="n">
        <v>100</v>
      </c>
      <c r="W1971" s="2" t="inlineStr">
        <is>
          <t>Classification</t>
        </is>
      </c>
      <c r="X1971" s="2" t="n">
        <v>-37.806456</v>
      </c>
      <c r="Y1971" s="2" t="n">
        <v>144.998018</v>
      </c>
      <c r="Z1971" s="2" t="n">
        <v>953</v>
      </c>
    </row>
    <row r="1972">
      <c r="A1972" s="2" t="inlineStr">
        <is>
          <t>Downer</t>
        </is>
      </c>
      <c r="B1972" s="2" t="inlineStr">
        <is>
          <t>Reserved for future use EU Subcontractors</t>
        </is>
      </c>
      <c r="C1972" s="2" t="inlineStr">
        <is>
          <t>Other</t>
        </is>
      </c>
      <c r="D1972" s="2" t="inlineStr">
        <is>
          <t>L9.J.395208</t>
        </is>
      </c>
      <c r="E1972" s="2" t="inlineStr">
        <is>
          <t>L9.J.395208</t>
        </is>
      </c>
      <c r="M1972" s="2" t="inlineStr">
        <is>
          <t>North Ryde</t>
        </is>
      </c>
      <c r="N1972" s="2" t="inlineStr">
        <is>
          <t>Australia</t>
        </is>
      </c>
      <c r="P1972" s="2" t="inlineStr">
        <is>
          <t>Operational Control</t>
        </is>
      </c>
      <c r="Q1972" s="2" t="inlineStr">
        <is>
          <t>Operational Control</t>
        </is>
      </c>
      <c r="R1972" s="2" t="inlineStr">
        <is>
          <t>Energy and Utilities (EU)</t>
        </is>
      </c>
      <c r="S1972" s="2" t="inlineStr">
        <is>
          <t>Downer</t>
        </is>
      </c>
      <c r="T1972" s="2" t="n">
        <v>100</v>
      </c>
      <c r="W1972" s="2" t="inlineStr">
        <is>
          <t>Classification</t>
        </is>
      </c>
    </row>
    <row r="1973">
      <c r="A1973" s="2" t="inlineStr">
        <is>
          <t>Downer</t>
        </is>
      </c>
      <c r="B1973" s="2" t="inlineStr">
        <is>
          <t>Residences_ACT</t>
        </is>
      </c>
      <c r="C1973" s="2" t="inlineStr">
        <is>
          <t>Residence</t>
        </is>
      </c>
      <c r="D1973" s="2" t="inlineStr">
        <is>
          <t>L9.J.24120142</t>
        </is>
      </c>
      <c r="E1973" s="2" t="n">
        <v>24120142</v>
      </c>
      <c r="G1973" s="2" t="inlineStr">
        <is>
          <t>Based on op control form, temporarily assign to UT-24120142 - Bango Wind Farm.</t>
        </is>
      </c>
      <c r="M1973" s="2" t="inlineStr">
        <is>
          <t>Australian Capital Territory</t>
        </is>
      </c>
      <c r="N1973" s="2" t="inlineStr">
        <is>
          <t>Australia</t>
        </is>
      </c>
      <c r="P1973" s="2" t="inlineStr">
        <is>
          <t>Operational Control</t>
        </is>
      </c>
      <c r="Q1973" s="2" t="inlineStr">
        <is>
          <t>Operational Control</t>
        </is>
      </c>
      <c r="R1973" s="2" t="inlineStr">
        <is>
          <t>Energy and Utilities (EU)</t>
        </is>
      </c>
      <c r="S1973" s="2" t="inlineStr">
        <is>
          <t>Downer</t>
        </is>
      </c>
      <c r="T1973" s="2" t="n">
        <v>100</v>
      </c>
      <c r="W1973" s="2" t="inlineStr">
        <is>
          <t>Classification</t>
        </is>
      </c>
    </row>
    <row r="1974">
      <c r="A1974" s="2" t="inlineStr">
        <is>
          <t>Downer</t>
        </is>
      </c>
      <c r="B1974" s="2" t="inlineStr">
        <is>
          <t>Residences_NSW</t>
        </is>
      </c>
      <c r="C1974" s="2" t="inlineStr">
        <is>
          <t>Residence</t>
        </is>
      </c>
      <c r="D1974" s="2" t="inlineStr">
        <is>
          <t>L9.J.24120142</t>
        </is>
      </c>
      <c r="E1974" s="2" t="n">
        <v>24120142</v>
      </c>
      <c r="G1974" s="2" t="inlineStr">
        <is>
          <t>Based on op control form, temporarily assign to UT-24120142 - Bango Wind Farm.</t>
        </is>
      </c>
      <c r="M1974" s="2" t="inlineStr">
        <is>
          <t>New South Wales</t>
        </is>
      </c>
      <c r="N1974" s="2" t="inlineStr">
        <is>
          <t>Australia</t>
        </is>
      </c>
      <c r="P1974" s="2" t="inlineStr">
        <is>
          <t>Operational Control</t>
        </is>
      </c>
      <c r="Q1974" s="2" t="inlineStr">
        <is>
          <t>Operational Control</t>
        </is>
      </c>
      <c r="R1974" s="2" t="inlineStr">
        <is>
          <t>Energy and Utilities (EU)</t>
        </is>
      </c>
      <c r="S1974" s="2" t="inlineStr">
        <is>
          <t>Downer</t>
        </is>
      </c>
      <c r="T1974" s="2" t="n">
        <v>100</v>
      </c>
      <c r="W1974" s="2" t="inlineStr">
        <is>
          <t>Classification</t>
        </is>
      </c>
    </row>
    <row r="1975">
      <c r="A1975" s="2" t="inlineStr">
        <is>
          <t>Downer</t>
        </is>
      </c>
      <c r="B1975" s="2" t="inlineStr">
        <is>
          <t>Residences_QLD</t>
        </is>
      </c>
      <c r="C1975" s="2" t="inlineStr">
        <is>
          <t>Residence</t>
        </is>
      </c>
      <c r="D1975" s="2" t="inlineStr">
        <is>
          <t>L9.J.24120142</t>
        </is>
      </c>
      <c r="E1975" s="2" t="n">
        <v>24120142</v>
      </c>
      <c r="G1975" s="2" t="inlineStr">
        <is>
          <t>Based on op control form, temporarily assign to UT-24120142 - Bango Wind Farm.</t>
        </is>
      </c>
      <c r="M1975" s="2" t="inlineStr">
        <is>
          <t>Queensland</t>
        </is>
      </c>
      <c r="N1975" s="2" t="inlineStr">
        <is>
          <t>Australia</t>
        </is>
      </c>
      <c r="P1975" s="2" t="inlineStr">
        <is>
          <t>Operational Control</t>
        </is>
      </c>
      <c r="Q1975" s="2" t="inlineStr">
        <is>
          <t>Operational Control</t>
        </is>
      </c>
      <c r="R1975" s="2" t="inlineStr">
        <is>
          <t>Energy and Utilities (EU)</t>
        </is>
      </c>
      <c r="S1975" s="2" t="inlineStr">
        <is>
          <t>Downer</t>
        </is>
      </c>
      <c r="T1975" s="2" t="n">
        <v>100</v>
      </c>
      <c r="W1975" s="2" t="inlineStr">
        <is>
          <t>Classification</t>
        </is>
      </c>
    </row>
    <row r="1976">
      <c r="A1976" s="2" t="inlineStr">
        <is>
          <t>Downer</t>
        </is>
      </c>
      <c r="B1976" s="2" t="inlineStr">
        <is>
          <t>Residences_VIC</t>
        </is>
      </c>
      <c r="C1976" s="2" t="inlineStr">
        <is>
          <t>Residence</t>
        </is>
      </c>
      <c r="D1976" s="2" t="inlineStr">
        <is>
          <t>L9.J.24120142</t>
        </is>
      </c>
      <c r="E1976" s="2" t="n">
        <v>24120142</v>
      </c>
      <c r="G1976" s="2" t="inlineStr">
        <is>
          <t>Residential properties being leased by Downer in Shepparton. 
Based on op control form, temporarily assign to UT-24120142 - Bango Wind Farm.</t>
        </is>
      </c>
      <c r="M1976" s="2" t="inlineStr">
        <is>
          <t>Shepparton</t>
        </is>
      </c>
      <c r="N1976" s="2" t="inlineStr">
        <is>
          <t>Australia</t>
        </is>
      </c>
      <c r="P1976" s="2" t="inlineStr">
        <is>
          <t>Operational Control</t>
        </is>
      </c>
      <c r="Q1976" s="2" t="inlineStr">
        <is>
          <t>Operational Control</t>
        </is>
      </c>
      <c r="R1976" s="2" t="inlineStr">
        <is>
          <t>Energy and Utilities (EU)</t>
        </is>
      </c>
      <c r="S1976" s="2" t="inlineStr">
        <is>
          <t>Downer</t>
        </is>
      </c>
      <c r="T1976" s="2" t="n">
        <v>100</v>
      </c>
      <c r="W1976" s="2" t="inlineStr">
        <is>
          <t>Classification</t>
        </is>
      </c>
    </row>
    <row r="1977">
      <c r="A1977" s="2" t="inlineStr">
        <is>
          <t>Downer</t>
        </is>
      </c>
      <c r="B1977" s="2" t="inlineStr">
        <is>
          <t>REV_ANZ Operations</t>
        </is>
      </c>
      <c r="C1977" s="2" t="inlineStr">
        <is>
          <t>Branch</t>
        </is>
      </c>
      <c r="D1977" s="2" t="inlineStr">
        <is>
          <t>L9.J.170240</t>
        </is>
      </c>
      <c r="E1977" s="2" t="inlineStr">
        <is>
          <t>TIANZ</t>
        </is>
      </c>
      <c r="M1977" s="2" t="inlineStr">
        <is>
          <t>North Ryde</t>
        </is>
      </c>
      <c r="N1977" s="2" t="inlineStr">
        <is>
          <t>Australia</t>
        </is>
      </c>
      <c r="P1977" s="2" t="inlineStr">
        <is>
          <t>Operational Control</t>
        </is>
      </c>
      <c r="Q1977" s="2" t="inlineStr">
        <is>
          <t>Operational Control</t>
        </is>
      </c>
      <c r="R1977" s="2" t="inlineStr">
        <is>
          <t>Transport &amp; Infrastructure (T&amp;I)</t>
        </is>
      </c>
      <c r="S1977" s="2" t="inlineStr">
        <is>
          <t>Downer</t>
        </is>
      </c>
      <c r="T1977" s="2" t="n">
        <v>100</v>
      </c>
      <c r="W1977" s="2" t="inlineStr">
        <is>
          <t>Classification</t>
        </is>
      </c>
    </row>
    <row r="1978">
      <c r="A1978" s="2" t="inlineStr">
        <is>
          <t>Downer</t>
        </is>
      </c>
      <c r="B1978" s="2" t="inlineStr">
        <is>
          <t>REV_Asset &amp; Development Services</t>
        </is>
      </c>
      <c r="C1978" s="2" t="inlineStr">
        <is>
          <t>Branch</t>
        </is>
      </c>
      <c r="D1978" s="2" t="inlineStr">
        <is>
          <t>L9.S.13001513</t>
        </is>
      </c>
      <c r="E1978" s="2" t="inlineStr">
        <is>
          <t>ADS3197S</t>
        </is>
      </c>
      <c r="M1978" s="2" t="inlineStr">
        <is>
          <t>New South Wales</t>
        </is>
      </c>
      <c r="N1978" s="2" t="inlineStr">
        <is>
          <t>Australia</t>
        </is>
      </c>
      <c r="P1978" s="2" t="inlineStr">
        <is>
          <t>Operational Control</t>
        </is>
      </c>
      <c r="Q1978" s="2" t="inlineStr">
        <is>
          <t>Operational Control</t>
        </is>
      </c>
      <c r="R1978" s="2" t="inlineStr">
        <is>
          <t>Asset &amp; Development Services (Baseline)</t>
        </is>
      </c>
      <c r="S1978" s="2" t="inlineStr">
        <is>
          <t>Downer</t>
        </is>
      </c>
      <c r="T1978" s="2" t="n">
        <v>100</v>
      </c>
      <c r="V1978" s="11" t="n">
        <v>45107</v>
      </c>
      <c r="W1978" s="2" t="inlineStr">
        <is>
          <t>Classification</t>
        </is>
      </c>
    </row>
    <row r="1979">
      <c r="A1979" s="2" t="inlineStr">
        <is>
          <t>Downer</t>
        </is>
      </c>
      <c r="B1979" s="2" t="inlineStr">
        <is>
          <t>REV_AU Maintenance &amp; Pavements</t>
        </is>
      </c>
      <c r="C1979" s="2" t="inlineStr">
        <is>
          <t>Branch</t>
        </is>
      </c>
      <c r="D1979" s="2" t="inlineStr">
        <is>
          <t>L9.J.170238</t>
        </is>
      </c>
      <c r="E1979" s="2" t="inlineStr">
        <is>
          <t>TIAMP</t>
        </is>
      </c>
      <c r="M1979" s="2" t="inlineStr">
        <is>
          <t>North Ryde</t>
        </is>
      </c>
      <c r="N1979" s="2" t="inlineStr">
        <is>
          <t>Australia</t>
        </is>
      </c>
      <c r="P1979" s="2" t="inlineStr">
        <is>
          <t>Operational Control</t>
        </is>
      </c>
      <c r="Q1979" s="2" t="inlineStr">
        <is>
          <t>Operational Control</t>
        </is>
      </c>
      <c r="R1979" s="2" t="inlineStr">
        <is>
          <t>Transport &amp; Infrastructure (T&amp;I)</t>
        </is>
      </c>
      <c r="S1979" s="2" t="inlineStr">
        <is>
          <t>Downer</t>
        </is>
      </c>
      <c r="T1979" s="2" t="n">
        <v>100</v>
      </c>
      <c r="W1979" s="2" t="inlineStr">
        <is>
          <t>Classification</t>
        </is>
      </c>
    </row>
    <row r="1980">
      <c r="A1980" s="2" t="inlineStr">
        <is>
          <t>Downer</t>
        </is>
      </c>
      <c r="B1980" s="2" t="inlineStr">
        <is>
          <t>REV_AU National Operations</t>
        </is>
      </c>
      <c r="C1980" s="2" t="inlineStr">
        <is>
          <t>Branch</t>
        </is>
      </c>
      <c r="D1980" s="2" t="inlineStr">
        <is>
          <t>L9.J.170938</t>
        </is>
      </c>
      <c r="E1980" s="2" t="inlineStr">
        <is>
          <t>TIANO</t>
        </is>
      </c>
      <c r="M1980" s="2" t="inlineStr">
        <is>
          <t>North Ryde</t>
        </is>
      </c>
      <c r="N1980" s="2" t="inlineStr">
        <is>
          <t>Australia</t>
        </is>
      </c>
      <c r="P1980" s="2" t="inlineStr">
        <is>
          <t>Operational Control</t>
        </is>
      </c>
      <c r="Q1980" s="2" t="inlineStr">
        <is>
          <t>Operational Control</t>
        </is>
      </c>
      <c r="R1980" s="2" t="inlineStr">
        <is>
          <t>Transport &amp; Infrastructure (T&amp;I)</t>
        </is>
      </c>
      <c r="S1980" s="2" t="inlineStr">
        <is>
          <t>Downer</t>
        </is>
      </c>
      <c r="T1980" s="2" t="n">
        <v>100</v>
      </c>
      <c r="W1980" s="2" t="inlineStr">
        <is>
          <t>Classification</t>
        </is>
      </c>
    </row>
    <row r="1981">
      <c r="A1981" s="2" t="inlineStr">
        <is>
          <t>Downer</t>
        </is>
      </c>
      <c r="B1981" s="2" t="inlineStr">
        <is>
          <t>REV_Base &amp; Estate Management</t>
        </is>
      </c>
      <c r="C1981" s="2" t="inlineStr">
        <is>
          <t>Branch</t>
        </is>
      </c>
      <c r="D1981" s="2" t="inlineStr">
        <is>
          <t>L9.S.13000771</t>
        </is>
      </c>
      <c r="E1981" s="2" t="inlineStr">
        <is>
          <t>SICSBEM</t>
        </is>
      </c>
      <c r="M1981" s="2" t="inlineStr">
        <is>
          <t>North Ryde</t>
        </is>
      </c>
      <c r="N1981" s="2" t="inlineStr">
        <is>
          <t>Australia</t>
        </is>
      </c>
      <c r="P1981" s="2" t="inlineStr">
        <is>
          <t>Operational Control</t>
        </is>
      </c>
      <c r="Q1981" s="2" t="inlineStr">
        <is>
          <t>Operational Control</t>
        </is>
      </c>
      <c r="R1981" s="2" t="inlineStr">
        <is>
          <t>Social Infra &amp; Citizen Serv (SICS)</t>
        </is>
      </c>
      <c r="S1981" s="2" t="inlineStr">
        <is>
          <t>Downer</t>
        </is>
      </c>
      <c r="T1981" s="2" t="n">
        <v>100</v>
      </c>
      <c r="W1981" s="2" t="inlineStr">
        <is>
          <t>Classification</t>
        </is>
      </c>
    </row>
    <row r="1982">
      <c r="A1982" s="2" t="inlineStr">
        <is>
          <t>Downer</t>
        </is>
      </c>
      <c r="B1982" s="2" t="inlineStr">
        <is>
          <t>REV_Corporate Australia</t>
        </is>
      </c>
      <c r="C1982" s="2" t="inlineStr">
        <is>
          <t>Branch</t>
        </is>
      </c>
      <c r="D1982" s="2" t="inlineStr">
        <is>
          <t>L9.J.100151</t>
        </is>
      </c>
      <c r="E1982" s="2" t="inlineStr">
        <is>
          <t>CORAU</t>
        </is>
      </c>
      <c r="M1982" s="2" t="inlineStr">
        <is>
          <t>North Ryde</t>
        </is>
      </c>
      <c r="N1982" s="2" t="inlineStr">
        <is>
          <t>Australia</t>
        </is>
      </c>
      <c r="P1982" s="2" t="inlineStr">
        <is>
          <t>Operational Control</t>
        </is>
      </c>
      <c r="Q1982" s="2" t="inlineStr">
        <is>
          <t>Operational Control</t>
        </is>
      </c>
      <c r="R1982" s="2" t="inlineStr">
        <is>
          <t>Corporate</t>
        </is>
      </c>
      <c r="S1982" s="2" t="inlineStr">
        <is>
          <t>Downer</t>
        </is>
      </c>
      <c r="T1982" s="2" t="n">
        <v>100</v>
      </c>
      <c r="W1982" s="2" t="inlineStr">
        <is>
          <t>Classification</t>
        </is>
      </c>
    </row>
    <row r="1983">
      <c r="A1983" s="2" t="inlineStr">
        <is>
          <t>Downer</t>
        </is>
      </c>
      <c r="B1983" s="2" t="inlineStr">
        <is>
          <t>REV_Downer Professional Services</t>
        </is>
      </c>
      <c r="C1983" s="2" t="inlineStr">
        <is>
          <t>Branch</t>
        </is>
      </c>
      <c r="D1983" s="2" t="inlineStr">
        <is>
          <t>L9.J.505011</t>
        </is>
      </c>
      <c r="E1983" s="2" t="inlineStr">
        <is>
          <t>SICSDPS</t>
        </is>
      </c>
      <c r="M1983" s="2" t="inlineStr">
        <is>
          <t>North Ryde</t>
        </is>
      </c>
      <c r="N1983" s="2" t="inlineStr">
        <is>
          <t>Australia</t>
        </is>
      </c>
      <c r="P1983" s="2" t="inlineStr">
        <is>
          <t>Operational Control</t>
        </is>
      </c>
      <c r="Q1983" s="2" t="inlineStr">
        <is>
          <t>Operational Control</t>
        </is>
      </c>
      <c r="R1983" s="2" t="inlineStr">
        <is>
          <t>Social Infra &amp; Citizen Serv (SICS)</t>
        </is>
      </c>
      <c r="S1983" s="2" t="inlineStr">
        <is>
          <t>Downer</t>
        </is>
      </c>
      <c r="T1983" s="2" t="n">
        <v>100</v>
      </c>
      <c r="W1983" s="2" t="inlineStr">
        <is>
          <t>Classification</t>
        </is>
      </c>
    </row>
    <row r="1984">
      <c r="A1984" s="2" t="inlineStr">
        <is>
          <t>Downer</t>
        </is>
      </c>
      <c r="B1984" s="2" t="inlineStr">
        <is>
          <t>REV_E&amp;C Legacy</t>
        </is>
      </c>
      <c r="C1984" s="2" t="inlineStr">
        <is>
          <t>Branch</t>
        </is>
      </c>
      <c r="D1984" s="2" t="inlineStr">
        <is>
          <t>L9.J.362020</t>
        </is>
      </c>
      <c r="E1984" s="2" t="inlineStr">
        <is>
          <t>L9.J.362020</t>
        </is>
      </c>
      <c r="M1984" s="2" t="inlineStr">
        <is>
          <t>North Ryde</t>
        </is>
      </c>
      <c r="N1984" s="2" t="inlineStr">
        <is>
          <t>Australia</t>
        </is>
      </c>
      <c r="P1984" s="2" t="inlineStr">
        <is>
          <t>Operational Control</t>
        </is>
      </c>
      <c r="Q1984" s="2" t="inlineStr">
        <is>
          <t>Operational Control</t>
        </is>
      </c>
      <c r="R1984" s="2" t="inlineStr">
        <is>
          <t>Corporate</t>
        </is>
      </c>
      <c r="S1984" s="2" t="inlineStr">
        <is>
          <t>Downer</t>
        </is>
      </c>
      <c r="T1984" s="2" t="n">
        <v>100</v>
      </c>
      <c r="W1984" s="2" t="inlineStr">
        <is>
          <t>Classification</t>
        </is>
      </c>
    </row>
    <row r="1985">
      <c r="A1985" s="2" t="inlineStr">
        <is>
          <t>Downer</t>
        </is>
      </c>
      <c r="B1985" s="2" t="inlineStr">
        <is>
          <t>REV_Energy &amp; Industrial</t>
        </is>
      </c>
      <c r="C1985" s="2" t="inlineStr">
        <is>
          <t>Other</t>
        </is>
      </c>
      <c r="D1985" s="2" t="inlineStr">
        <is>
          <t>L9.J.381</t>
        </is>
      </c>
      <c r="E1985" s="2" t="inlineStr">
        <is>
          <t>L9.J.381</t>
        </is>
      </c>
      <c r="M1985" s="2" t="inlineStr">
        <is>
          <t>North Ryde</t>
        </is>
      </c>
      <c r="N1985" s="2" t="inlineStr">
        <is>
          <t>Australia</t>
        </is>
      </c>
      <c r="P1985" s="2" t="inlineStr">
        <is>
          <t>Operational Control</t>
        </is>
      </c>
      <c r="Q1985" s="2" t="inlineStr">
        <is>
          <t>Operational Control</t>
        </is>
      </c>
      <c r="R1985" s="2" t="inlineStr">
        <is>
          <t>Energy and Utilities (EU)</t>
        </is>
      </c>
      <c r="S1985" s="2" t="inlineStr">
        <is>
          <t>Downer</t>
        </is>
      </c>
      <c r="T1985" s="2" t="n">
        <v>100</v>
      </c>
      <c r="W1985" s="2" t="inlineStr">
        <is>
          <t>Classification</t>
        </is>
      </c>
    </row>
    <row r="1986">
      <c r="A1986" s="2" t="inlineStr">
        <is>
          <t>Downer</t>
        </is>
      </c>
      <c r="B1986" s="2" t="inlineStr">
        <is>
          <t>REV_Energy AU</t>
        </is>
      </c>
      <c r="C1986" s="2" t="inlineStr">
        <is>
          <t>Branch</t>
        </is>
      </c>
      <c r="D1986" s="2" t="inlineStr">
        <is>
          <t>L9.J.229500</t>
        </is>
      </c>
      <c r="E1986" s="2" t="inlineStr">
        <is>
          <t>UTLEAU</t>
        </is>
      </c>
      <c r="M1986" s="2" t="inlineStr">
        <is>
          <t>North Ryde</t>
        </is>
      </c>
      <c r="N1986" s="2" t="inlineStr">
        <is>
          <t>Australia</t>
        </is>
      </c>
      <c r="P1986" s="2" t="inlineStr">
        <is>
          <t>Operational Control</t>
        </is>
      </c>
      <c r="Q1986" s="2" t="inlineStr">
        <is>
          <t>Operational Control</t>
        </is>
      </c>
      <c r="R1986" s="2" t="inlineStr">
        <is>
          <t>Energy and Utilities (EU)</t>
        </is>
      </c>
      <c r="S1986" s="2" t="inlineStr">
        <is>
          <t>Downer</t>
        </is>
      </c>
      <c r="T1986" s="2" t="n">
        <v>100</v>
      </c>
      <c r="W1986" s="2" t="inlineStr">
        <is>
          <t>Classification</t>
        </is>
      </c>
    </row>
    <row r="1987">
      <c r="A1987" s="2" t="inlineStr">
        <is>
          <t>Downer</t>
        </is>
      </c>
      <c r="B1987" s="2" t="inlineStr">
        <is>
          <t>REV_Energy NZ</t>
        </is>
      </c>
      <c r="C1987" s="2" t="inlineStr">
        <is>
          <t>Branch</t>
        </is>
      </c>
      <c r="D1987" s="2" t="inlineStr">
        <is>
          <t>L9.DNZJ.1500</t>
        </is>
      </c>
      <c r="E1987" s="2" t="inlineStr">
        <is>
          <t>UTLENZ</t>
        </is>
      </c>
      <c r="M1987" s="2" t="inlineStr">
        <is>
          <t>North Ryde</t>
        </is>
      </c>
      <c r="N1987" s="2" t="inlineStr">
        <is>
          <t>Australia</t>
        </is>
      </c>
      <c r="P1987" s="2" t="inlineStr">
        <is>
          <t>Operational Control</t>
        </is>
      </c>
      <c r="Q1987" s="2" t="inlineStr">
        <is>
          <t>Operational Control</t>
        </is>
      </c>
      <c r="R1987" s="2" t="inlineStr">
        <is>
          <t>Energy and Utilities (EU)</t>
        </is>
      </c>
      <c r="S1987" s="2" t="inlineStr">
        <is>
          <t>Downer</t>
        </is>
      </c>
      <c r="T1987" s="2" t="n">
        <v>100</v>
      </c>
      <c r="W1987" s="2" t="inlineStr">
        <is>
          <t>Classification</t>
        </is>
      </c>
    </row>
    <row r="1988">
      <c r="A1988" s="2" t="inlineStr">
        <is>
          <t>Downer</t>
        </is>
      </c>
      <c r="B1988" s="2" t="inlineStr">
        <is>
          <t>REV_EU Gap</t>
        </is>
      </c>
      <c r="C1988" s="2" t="inlineStr">
        <is>
          <t>Other</t>
        </is>
      </c>
      <c r="D1988" s="2" t="inlineStr">
        <is>
          <t>L9.J.392150</t>
        </is>
      </c>
      <c r="E1988" s="2" t="inlineStr">
        <is>
          <t>L9.J.392150</t>
        </is>
      </c>
      <c r="M1988" s="2" t="inlineStr">
        <is>
          <t>North Ryde</t>
        </is>
      </c>
      <c r="N1988" s="2" t="inlineStr">
        <is>
          <t>Australia</t>
        </is>
      </c>
      <c r="P1988" s="2" t="inlineStr">
        <is>
          <t>Operational Control</t>
        </is>
      </c>
      <c r="Q1988" s="2" t="inlineStr">
        <is>
          <t>Operational Control</t>
        </is>
      </c>
      <c r="R1988" s="2" t="inlineStr">
        <is>
          <t>Energy and Utilities (EU)</t>
        </is>
      </c>
      <c r="S1988" s="2" t="inlineStr">
        <is>
          <t>Downer</t>
        </is>
      </c>
      <c r="T1988" s="2" t="n">
        <v>100</v>
      </c>
      <c r="W1988" s="2" t="inlineStr">
        <is>
          <t>Classification</t>
        </is>
      </c>
    </row>
    <row r="1989">
      <c r="A1989" s="2" t="inlineStr">
        <is>
          <t>Downer</t>
        </is>
      </c>
      <c r="B1989" s="2" t="inlineStr">
        <is>
          <t>REV_EU Support</t>
        </is>
      </c>
      <c r="C1989" s="2" t="inlineStr">
        <is>
          <t>Other</t>
        </is>
      </c>
      <c r="D1989" s="2" t="inlineStr">
        <is>
          <t>L9.DUA.30172800</t>
        </is>
      </c>
      <c r="E1989" s="2" t="inlineStr">
        <is>
          <t>L9.DUA.30172800</t>
        </is>
      </c>
      <c r="M1989" s="2" t="inlineStr">
        <is>
          <t>North Ryde</t>
        </is>
      </c>
      <c r="N1989" s="2" t="inlineStr">
        <is>
          <t>Australia</t>
        </is>
      </c>
      <c r="P1989" s="2" t="inlineStr">
        <is>
          <t>Operational Control</t>
        </is>
      </c>
      <c r="Q1989" s="2" t="inlineStr">
        <is>
          <t>Operational Control</t>
        </is>
      </c>
      <c r="R1989" s="2" t="inlineStr">
        <is>
          <t>Energy and Utilities (EU)</t>
        </is>
      </c>
      <c r="S1989" s="2" t="inlineStr">
        <is>
          <t>Downer</t>
        </is>
      </c>
      <c r="T1989" s="2" t="n">
        <v>100</v>
      </c>
      <c r="W1989" s="2" t="inlineStr">
        <is>
          <t>Classification</t>
        </is>
      </c>
    </row>
    <row r="1990">
      <c r="A1990" s="2" t="inlineStr">
        <is>
          <t>Downer</t>
        </is>
      </c>
      <c r="B1990" s="2" t="inlineStr">
        <is>
          <t>REV_Fleet &amp; Assets</t>
        </is>
      </c>
      <c r="C1990" s="2" t="inlineStr">
        <is>
          <t>Other</t>
        </is>
      </c>
      <c r="D1990" s="2" t="inlineStr">
        <is>
          <t>L9.DNZJ.1937</t>
        </is>
      </c>
      <c r="E1990" s="2" t="inlineStr">
        <is>
          <t>L9.DNZJ.1937</t>
        </is>
      </c>
      <c r="M1990" s="2" t="inlineStr">
        <is>
          <t>North Ryde</t>
        </is>
      </c>
      <c r="N1990" s="2" t="inlineStr">
        <is>
          <t>Australia</t>
        </is>
      </c>
      <c r="P1990" s="2" t="inlineStr">
        <is>
          <t>Operational Control</t>
        </is>
      </c>
      <c r="Q1990" s="2" t="inlineStr">
        <is>
          <t>Operational Control</t>
        </is>
      </c>
      <c r="R1990" s="2" t="inlineStr">
        <is>
          <t>Transport &amp; Infrastructure (T&amp;I)</t>
        </is>
      </c>
      <c r="S1990" s="2" t="inlineStr">
        <is>
          <t>Downer</t>
        </is>
      </c>
      <c r="T1990" s="2" t="n">
        <v>100</v>
      </c>
      <c r="W1990" s="2" t="inlineStr">
        <is>
          <t>Classification</t>
        </is>
      </c>
    </row>
    <row r="1991">
      <c r="A1991" s="2" t="inlineStr">
        <is>
          <t>Downer</t>
        </is>
      </c>
      <c r="B1991" s="2" t="inlineStr">
        <is>
          <t>REV_Future Energy Solutions</t>
        </is>
      </c>
      <c r="C1991" s="2" t="inlineStr">
        <is>
          <t>Branch</t>
        </is>
      </c>
      <c r="D1991" s="2" t="inlineStr">
        <is>
          <t>L9.J.382111</t>
        </is>
      </c>
      <c r="E1991" s="2" t="inlineStr">
        <is>
          <t>IEFES</t>
        </is>
      </c>
      <c r="M1991" s="2" t="inlineStr">
        <is>
          <t>North Ryde</t>
        </is>
      </c>
      <c r="N1991" s="2" t="inlineStr">
        <is>
          <t>Australia</t>
        </is>
      </c>
      <c r="P1991" s="2" t="inlineStr">
        <is>
          <t>Operational Control</t>
        </is>
      </c>
      <c r="Q1991" s="2" t="inlineStr">
        <is>
          <t>Operational Control</t>
        </is>
      </c>
      <c r="R1991" s="2" t="inlineStr">
        <is>
          <t>Energy and Utilities (EU)</t>
        </is>
      </c>
      <c r="S1991" s="2" t="inlineStr">
        <is>
          <t>Downer</t>
        </is>
      </c>
      <c r="T1991" s="2" t="n">
        <v>100</v>
      </c>
      <c r="W1991" s="2" t="inlineStr">
        <is>
          <t>Classification</t>
        </is>
      </c>
    </row>
    <row r="1992">
      <c r="A1992" s="2" t="inlineStr">
        <is>
          <t>Downer</t>
        </is>
      </c>
      <c r="B1992" s="2" t="inlineStr">
        <is>
          <t>REV_Government &amp; IFM</t>
        </is>
      </c>
      <c r="C1992" s="2" t="inlineStr">
        <is>
          <t>Branch</t>
        </is>
      </c>
      <c r="D1992" s="2" t="inlineStr">
        <is>
          <t>L9.S.13000747</t>
        </is>
      </c>
      <c r="E1992" s="2" t="inlineStr">
        <is>
          <t>SICSGIFM</t>
        </is>
      </c>
      <c r="M1992" s="2" t="inlineStr">
        <is>
          <t>North Ryde</t>
        </is>
      </c>
      <c r="N1992" s="2" t="inlineStr">
        <is>
          <t>Australia</t>
        </is>
      </c>
      <c r="P1992" s="2" t="inlineStr">
        <is>
          <t>Operational Control</t>
        </is>
      </c>
      <c r="Q1992" s="2" t="inlineStr">
        <is>
          <t>Operational Control</t>
        </is>
      </c>
      <c r="R1992" s="2" t="inlineStr">
        <is>
          <t>Social Infra &amp; Citizen Serv (SICS)</t>
        </is>
      </c>
      <c r="S1992" s="2" t="inlineStr">
        <is>
          <t>Downer</t>
        </is>
      </c>
      <c r="T1992" s="2" t="n">
        <v>100</v>
      </c>
      <c r="W1992" s="2" t="inlineStr">
        <is>
          <t>Classification</t>
        </is>
      </c>
    </row>
    <row r="1993">
      <c r="A1993" s="2" t="inlineStr">
        <is>
          <t>Downer</t>
        </is>
      </c>
      <c r="B1993" s="2" t="inlineStr">
        <is>
          <t>REV_Hawkins</t>
        </is>
      </c>
      <c r="C1993" s="2" t="inlineStr">
        <is>
          <t>Branch</t>
        </is>
      </c>
      <c r="D1993" s="2" t="inlineStr">
        <is>
          <t>L9.DNZ.CEN</t>
        </is>
      </c>
      <c r="E1993" s="2" t="inlineStr">
        <is>
          <t>TIHA</t>
        </is>
      </c>
      <c r="M1993" s="2" t="inlineStr">
        <is>
          <t>North Ryde</t>
        </is>
      </c>
      <c r="N1993" s="2" t="inlineStr">
        <is>
          <t>Australia</t>
        </is>
      </c>
      <c r="P1993" s="2" t="inlineStr">
        <is>
          <t>Operational Control</t>
        </is>
      </c>
      <c r="Q1993" s="2" t="inlineStr">
        <is>
          <t>Operational Control</t>
        </is>
      </c>
      <c r="R1993" s="2" t="inlineStr">
        <is>
          <t>Transport &amp; Infrastructure (T&amp;I)</t>
        </is>
      </c>
      <c r="S1993" s="2" t="inlineStr">
        <is>
          <t>Downer</t>
        </is>
      </c>
      <c r="T1993" s="2" t="n">
        <v>100</v>
      </c>
      <c r="W1993" s="2" t="inlineStr">
        <is>
          <t>Classification</t>
        </is>
      </c>
    </row>
    <row r="1994">
      <c r="A1994" s="2" t="inlineStr">
        <is>
          <t>Downer</t>
        </is>
      </c>
      <c r="B1994" s="2" t="inlineStr">
        <is>
          <t>REV_Health &amp; Education</t>
        </is>
      </c>
      <c r="C1994" s="2" t="inlineStr">
        <is>
          <t>Branch</t>
        </is>
      </c>
      <c r="D1994" s="2" t="inlineStr">
        <is>
          <t>L9.S.13000770</t>
        </is>
      </c>
      <c r="E1994" s="2" t="inlineStr">
        <is>
          <t>SICSHE</t>
        </is>
      </c>
      <c r="M1994" s="2" t="inlineStr">
        <is>
          <t>North Ryde</t>
        </is>
      </c>
      <c r="N1994" s="2" t="inlineStr">
        <is>
          <t>Australia</t>
        </is>
      </c>
      <c r="P1994" s="2" t="inlineStr">
        <is>
          <t>Operational Control</t>
        </is>
      </c>
      <c r="Q1994" s="2" t="inlineStr">
        <is>
          <t>Operational Control</t>
        </is>
      </c>
      <c r="R1994" s="2" t="inlineStr">
        <is>
          <t>Social Infra &amp; Citizen Serv (SICS)</t>
        </is>
      </c>
      <c r="S1994" s="2" t="inlineStr">
        <is>
          <t>Downer</t>
        </is>
      </c>
      <c r="T1994" s="2" t="n">
        <v>100</v>
      </c>
      <c r="W1994" s="2" t="inlineStr">
        <is>
          <t>Classification</t>
        </is>
      </c>
    </row>
    <row r="1995">
      <c r="A1995" s="2" t="inlineStr">
        <is>
          <t>Downer</t>
        </is>
      </c>
      <c r="B1995" s="2" t="inlineStr">
        <is>
          <t>REV_Industrial &amp; Energy East</t>
        </is>
      </c>
      <c r="C1995" s="2" t="inlineStr">
        <is>
          <t>Branch</t>
        </is>
      </c>
      <c r="D1995" s="2" t="inlineStr">
        <is>
          <t>L9.J.38215096</t>
        </is>
      </c>
      <c r="E1995" s="2" t="inlineStr">
        <is>
          <t>IEIEE</t>
        </is>
      </c>
      <c r="M1995" s="2" t="inlineStr">
        <is>
          <t>North Ryde</t>
        </is>
      </c>
      <c r="N1995" s="2" t="inlineStr">
        <is>
          <t>Australia</t>
        </is>
      </c>
      <c r="P1995" s="2" t="inlineStr">
        <is>
          <t>Operational Control</t>
        </is>
      </c>
      <c r="Q1995" s="2" t="inlineStr">
        <is>
          <t>Operational Control</t>
        </is>
      </c>
      <c r="R1995" s="2" t="inlineStr">
        <is>
          <t>Energy and Utilities (EU)</t>
        </is>
      </c>
      <c r="S1995" s="2" t="inlineStr">
        <is>
          <t>Downer</t>
        </is>
      </c>
      <c r="T1995" s="2" t="n">
        <v>100</v>
      </c>
      <c r="W1995" s="2" t="inlineStr">
        <is>
          <t>Classification</t>
        </is>
      </c>
    </row>
    <row r="1996">
      <c r="A1996" s="2" t="inlineStr">
        <is>
          <t>Downer</t>
        </is>
      </c>
      <c r="B1996" s="2" t="inlineStr">
        <is>
          <t>REV_Industrial &amp; Energy Support</t>
        </is>
      </c>
      <c r="C1996" s="2" t="inlineStr">
        <is>
          <t>Branch</t>
        </is>
      </c>
      <c r="D1996" s="2" t="inlineStr">
        <is>
          <t>L9.J.382160</t>
        </is>
      </c>
      <c r="E1996" s="2" t="inlineStr">
        <is>
          <t>IEIEW</t>
        </is>
      </c>
      <c r="M1996" s="2" t="inlineStr">
        <is>
          <t>North Ryde</t>
        </is>
      </c>
      <c r="N1996" s="2" t="inlineStr">
        <is>
          <t>Australia</t>
        </is>
      </c>
      <c r="P1996" s="2" t="inlineStr">
        <is>
          <t>Operational Control</t>
        </is>
      </c>
      <c r="Q1996" s="2" t="inlineStr">
        <is>
          <t>Operational Control</t>
        </is>
      </c>
      <c r="R1996" s="2" t="inlineStr">
        <is>
          <t>Energy and Utilities (EU)</t>
        </is>
      </c>
      <c r="S1996" s="2" t="inlineStr">
        <is>
          <t>Downer</t>
        </is>
      </c>
      <c r="T1996" s="2" t="n">
        <v>100</v>
      </c>
      <c r="W1996" s="2" t="inlineStr">
        <is>
          <t>Classification</t>
        </is>
      </c>
    </row>
    <row r="1997">
      <c r="A1997" s="2" t="inlineStr">
        <is>
          <t>Downer</t>
        </is>
      </c>
      <c r="B1997" s="2" t="inlineStr">
        <is>
          <t>REV_Industrial &amp; Energy West</t>
        </is>
      </c>
      <c r="C1997" s="2" t="inlineStr">
        <is>
          <t>Branch</t>
        </is>
      </c>
      <c r="D1997" s="2" t="inlineStr">
        <is>
          <t>L9.J.38230093</t>
        </is>
      </c>
      <c r="E1997" s="2" t="inlineStr">
        <is>
          <t>IEIEW</t>
        </is>
      </c>
      <c r="M1997" s="2" t="inlineStr">
        <is>
          <t>North Ryde</t>
        </is>
      </c>
      <c r="N1997" s="2" t="inlineStr">
        <is>
          <t>Australia</t>
        </is>
      </c>
      <c r="P1997" s="2" t="inlineStr">
        <is>
          <t>Operational Control</t>
        </is>
      </c>
      <c r="Q1997" s="2" t="inlineStr">
        <is>
          <t>Operational Control</t>
        </is>
      </c>
      <c r="R1997" s="2" t="inlineStr">
        <is>
          <t>Energy and Utilities (EU)</t>
        </is>
      </c>
      <c r="S1997" s="2" t="inlineStr">
        <is>
          <t>Downer</t>
        </is>
      </c>
      <c r="T1997" s="2" t="n">
        <v>100</v>
      </c>
      <c r="W1997" s="2" t="inlineStr">
        <is>
          <t>Classification</t>
        </is>
      </c>
    </row>
    <row r="1998">
      <c r="A1998" s="2" t="inlineStr">
        <is>
          <t>Downer</t>
        </is>
      </c>
      <c r="B1998" s="2" t="inlineStr">
        <is>
          <t>REV_Industrial &amp; Power Generation</t>
        </is>
      </c>
      <c r="C1998" s="2" t="inlineStr">
        <is>
          <t>Other</t>
        </is>
      </c>
      <c r="D1998" s="2" t="inlineStr">
        <is>
          <t>L9.ENG.360.84.105</t>
        </is>
      </c>
      <c r="E1998" s="2" t="inlineStr">
        <is>
          <t>L9.ENG.360.84.105</t>
        </is>
      </c>
      <c r="M1998" s="2" t="inlineStr">
        <is>
          <t>North Ryde</t>
        </is>
      </c>
      <c r="N1998" s="2" t="inlineStr">
        <is>
          <t>Australia</t>
        </is>
      </c>
      <c r="P1998" s="2" t="inlineStr">
        <is>
          <t>Operational Control</t>
        </is>
      </c>
      <c r="Q1998" s="2" t="inlineStr">
        <is>
          <t>Operational Control</t>
        </is>
      </c>
      <c r="R1998" s="2" t="inlineStr">
        <is>
          <t>Energy and Utilities (EU)</t>
        </is>
      </c>
      <c r="S1998" s="2" t="inlineStr">
        <is>
          <t>Downer</t>
        </is>
      </c>
      <c r="T1998" s="2" t="n">
        <v>100</v>
      </c>
      <c r="W1998" s="2" t="inlineStr">
        <is>
          <t>Classification</t>
        </is>
      </c>
    </row>
    <row r="1999">
      <c r="A1999" s="2" t="inlineStr">
        <is>
          <t>Downer</t>
        </is>
      </c>
      <c r="B1999" s="2" t="inlineStr">
        <is>
          <t>REV_Infrastructure Projects</t>
        </is>
      </c>
      <c r="C1999" s="2" t="inlineStr">
        <is>
          <t>Branch</t>
        </is>
      </c>
      <c r="D1999" s="2" t="inlineStr">
        <is>
          <t>L9.J.201</t>
        </is>
      </c>
      <c r="E1999" s="2" t="inlineStr">
        <is>
          <t>DTIP</t>
        </is>
      </c>
      <c r="M1999" s="2" t="inlineStr">
        <is>
          <t>North Ryde</t>
        </is>
      </c>
      <c r="N1999" s="2" t="inlineStr">
        <is>
          <t>Australia</t>
        </is>
      </c>
      <c r="P1999" s="2" t="inlineStr">
        <is>
          <t>Operational Control</t>
        </is>
      </c>
      <c r="Q1999" s="2" t="inlineStr">
        <is>
          <t>Operational Control</t>
        </is>
      </c>
      <c r="R1999" s="2" t="inlineStr">
        <is>
          <t>Corporate</t>
        </is>
      </c>
      <c r="S1999" s="2" t="inlineStr">
        <is>
          <t>Downer</t>
        </is>
      </c>
      <c r="T1999" s="2" t="n">
        <v>100</v>
      </c>
      <c r="W1999" s="2" t="inlineStr">
        <is>
          <t>Classification</t>
        </is>
      </c>
    </row>
    <row r="2000">
      <c r="A2000" s="2" t="inlineStr">
        <is>
          <t>Downer</t>
        </is>
      </c>
      <c r="B2000" s="2" t="inlineStr">
        <is>
          <t>REV_Integrated Gas</t>
        </is>
      </c>
      <c r="C2000" s="2" t="inlineStr">
        <is>
          <t>Branch</t>
        </is>
      </c>
      <c r="D2000" s="2" t="inlineStr">
        <is>
          <t>L9.J.382761</t>
        </is>
      </c>
      <c r="E2000" s="2" t="inlineStr">
        <is>
          <t>IEIG</t>
        </is>
      </c>
      <c r="M2000" s="2" t="inlineStr">
        <is>
          <t>North Ryde</t>
        </is>
      </c>
      <c r="N2000" s="2" t="inlineStr">
        <is>
          <t>Australia</t>
        </is>
      </c>
      <c r="P2000" s="2" t="inlineStr">
        <is>
          <t>Operational Control</t>
        </is>
      </c>
      <c r="Q2000" s="2" t="inlineStr">
        <is>
          <t>Operational Control</t>
        </is>
      </c>
      <c r="R2000" s="2" t="inlineStr">
        <is>
          <t>Energy and Utilities (EU)</t>
        </is>
      </c>
      <c r="S2000" s="2" t="inlineStr">
        <is>
          <t>Downer</t>
        </is>
      </c>
      <c r="T2000" s="2" t="n">
        <v>100</v>
      </c>
      <c r="W2000" s="2" t="inlineStr">
        <is>
          <t>Classification</t>
        </is>
      </c>
    </row>
    <row r="2001">
      <c r="A2001" s="2" t="inlineStr">
        <is>
          <t>Downer</t>
        </is>
      </c>
      <c r="B2001" s="2" t="inlineStr">
        <is>
          <t>REV_Intra Elim</t>
        </is>
      </c>
      <c r="C2001" s="2" t="inlineStr">
        <is>
          <t>Branch</t>
        </is>
      </c>
      <c r="D2001" s="2" t="inlineStr">
        <is>
          <t>L9.J.100001</t>
        </is>
      </c>
      <c r="E2001" s="2" t="inlineStr">
        <is>
          <t>CORIE</t>
        </is>
      </c>
      <c r="M2001" s="2" t="inlineStr">
        <is>
          <t>North Ryde</t>
        </is>
      </c>
      <c r="N2001" s="2" t="inlineStr">
        <is>
          <t>Australia</t>
        </is>
      </c>
      <c r="P2001" s="2" t="inlineStr">
        <is>
          <t>Operational Control</t>
        </is>
      </c>
      <c r="Q2001" s="2" t="inlineStr">
        <is>
          <t>Operational Control</t>
        </is>
      </c>
      <c r="R2001" s="2" t="inlineStr">
        <is>
          <t>Corporate</t>
        </is>
      </c>
      <c r="S2001" s="2" t="inlineStr">
        <is>
          <t>Downer</t>
        </is>
      </c>
      <c r="T2001" s="2" t="n">
        <v>100</v>
      </c>
      <c r="W2001" s="2" t="inlineStr">
        <is>
          <t>Classification</t>
        </is>
      </c>
    </row>
    <row r="2002">
      <c r="A2002" s="2" t="inlineStr">
        <is>
          <t>Downer</t>
        </is>
      </c>
      <c r="B2002" s="2" t="inlineStr">
        <is>
          <t>REV_Managing Contracts</t>
        </is>
      </c>
      <c r="C2002" s="2" t="inlineStr">
        <is>
          <t>Other</t>
        </is>
      </c>
      <c r="D2002" s="2" t="inlineStr">
        <is>
          <t>L9.S.16016670</t>
        </is>
      </c>
      <c r="E2002" s="2" t="inlineStr">
        <is>
          <t>L9.S.16016670</t>
        </is>
      </c>
      <c r="M2002" s="2" t="inlineStr">
        <is>
          <t>North Ryde</t>
        </is>
      </c>
      <c r="N2002" s="2" t="inlineStr">
        <is>
          <t>Australia</t>
        </is>
      </c>
      <c r="P2002" s="2" t="inlineStr">
        <is>
          <t>Operational Control</t>
        </is>
      </c>
      <c r="Q2002" s="2" t="inlineStr">
        <is>
          <t>Operational Control</t>
        </is>
      </c>
      <c r="R2002" s="2" t="inlineStr">
        <is>
          <t>Social Infra &amp; Citizen Serv (SICS)</t>
        </is>
      </c>
      <c r="S2002" s="2" t="inlineStr">
        <is>
          <t>Downer</t>
        </is>
      </c>
      <c r="T2002" s="2" t="n">
        <v>100</v>
      </c>
      <c r="W2002" s="2" t="inlineStr">
        <is>
          <t>Classification</t>
        </is>
      </c>
    </row>
    <row r="2003">
      <c r="A2003" s="2" t="inlineStr">
        <is>
          <t>Downer</t>
        </is>
      </c>
      <c r="B2003" s="2" t="inlineStr">
        <is>
          <t>REV_Mineral Technologies</t>
        </is>
      </c>
      <c r="C2003" s="2" t="inlineStr">
        <is>
          <t>Branch</t>
        </is>
      </c>
      <c r="D2003" s="2" t="inlineStr">
        <is>
          <t>L9.J.395101</t>
        </is>
      </c>
      <c r="E2003" s="2" t="inlineStr">
        <is>
          <t>IEMT</t>
        </is>
      </c>
      <c r="M2003" s="2" t="inlineStr">
        <is>
          <t>North Ryde</t>
        </is>
      </c>
      <c r="N2003" s="2" t="inlineStr">
        <is>
          <t>Australia</t>
        </is>
      </c>
      <c r="P2003" s="2" t="inlineStr">
        <is>
          <t>Operational Control</t>
        </is>
      </c>
      <c r="Q2003" s="2" t="inlineStr">
        <is>
          <t>Operational Control</t>
        </is>
      </c>
      <c r="R2003" s="2" t="inlineStr">
        <is>
          <t>Energy and Utilities (EU)</t>
        </is>
      </c>
      <c r="S2003" s="2" t="inlineStr">
        <is>
          <t>Downer</t>
        </is>
      </c>
      <c r="T2003" s="2" t="n">
        <v>100</v>
      </c>
      <c r="W2003" s="2" t="inlineStr">
        <is>
          <t>Classification</t>
        </is>
      </c>
    </row>
    <row r="2004">
      <c r="A2004" s="2" t="inlineStr">
        <is>
          <t>Downer</t>
        </is>
      </c>
      <c r="B2004" s="2" t="inlineStr">
        <is>
          <t>REV_Mining</t>
        </is>
      </c>
      <c r="C2004" s="2" t="inlineStr">
        <is>
          <t>Other</t>
        </is>
      </c>
      <c r="D2004" s="2" t="inlineStr">
        <is>
          <t>L9.COR.130.02151</t>
        </is>
      </c>
      <c r="E2004" s="2" t="inlineStr">
        <is>
          <t>L9.COR.130.02151</t>
        </is>
      </c>
      <c r="M2004" s="2" t="inlineStr">
        <is>
          <t>North Ryde</t>
        </is>
      </c>
      <c r="N2004" s="2" t="inlineStr">
        <is>
          <t>Australia</t>
        </is>
      </c>
      <c r="P2004" s="2" t="inlineStr">
        <is>
          <t>Operational Control</t>
        </is>
      </c>
      <c r="Q2004" s="2" t="inlineStr">
        <is>
          <t>Operational Control</t>
        </is>
      </c>
      <c r="R2004" s="2" t="inlineStr">
        <is>
          <t>Corporate</t>
        </is>
      </c>
      <c r="S2004" s="2" t="inlineStr">
        <is>
          <t>Downer</t>
        </is>
      </c>
      <c r="T2004" s="2" t="n">
        <v>100</v>
      </c>
      <c r="W2004" s="2" t="inlineStr">
        <is>
          <t>Classification</t>
        </is>
      </c>
    </row>
    <row r="2005">
      <c r="A2005" s="2" t="inlineStr">
        <is>
          <t>Downer</t>
        </is>
      </c>
      <c r="B2005" s="2" t="inlineStr">
        <is>
          <t>REV_Network Services</t>
        </is>
      </c>
      <c r="C2005" s="2" t="inlineStr">
        <is>
          <t>Other</t>
        </is>
      </c>
      <c r="D2005" s="2" t="inlineStr">
        <is>
          <t>L9.S.WPSTLSTH00</t>
        </is>
      </c>
      <c r="E2005" s="2" t="inlineStr">
        <is>
          <t>L9.S.WPSTLSTH00</t>
        </is>
      </c>
      <c r="M2005" s="2" t="inlineStr">
        <is>
          <t>North Ryde</t>
        </is>
      </c>
      <c r="N2005" s="2" t="inlineStr">
        <is>
          <t>Australia</t>
        </is>
      </c>
      <c r="P2005" s="2" t="inlineStr">
        <is>
          <t>Operational Control</t>
        </is>
      </c>
      <c r="Q2005" s="2" t="inlineStr">
        <is>
          <t>Operational Control</t>
        </is>
      </c>
      <c r="R2005" s="2" t="inlineStr">
        <is>
          <t>Energy and Utilities (EU)</t>
        </is>
      </c>
      <c r="S2005" s="2" t="inlineStr">
        <is>
          <t>Downer</t>
        </is>
      </c>
      <c r="T2005" s="2" t="n">
        <v>100</v>
      </c>
      <c r="W2005" s="2" t="inlineStr">
        <is>
          <t>Classification</t>
        </is>
      </c>
    </row>
    <row r="2006">
      <c r="A2006" s="2" t="inlineStr">
        <is>
          <t>Downer</t>
        </is>
      </c>
      <c r="B2006" s="2" t="inlineStr">
        <is>
          <t>REV_New Zealand Transport &amp; Infrastructure</t>
        </is>
      </c>
      <c r="C2006" s="2" t="inlineStr">
        <is>
          <t>Branch</t>
        </is>
      </c>
      <c r="D2006" s="2" t="inlineStr">
        <is>
          <t>L9.DNZJ.8501</t>
        </is>
      </c>
      <c r="E2006" s="2" t="inlineStr">
        <is>
          <t>TINZTI</t>
        </is>
      </c>
      <c r="M2006" s="2" t="inlineStr">
        <is>
          <t>North Ryde</t>
        </is>
      </c>
      <c r="N2006" s="2" t="inlineStr">
        <is>
          <t>Australia</t>
        </is>
      </c>
      <c r="P2006" s="2" t="inlineStr">
        <is>
          <t>Operational Control</t>
        </is>
      </c>
      <c r="Q2006" s="2" t="inlineStr">
        <is>
          <t>Operational Control</t>
        </is>
      </c>
      <c r="R2006" s="2" t="inlineStr">
        <is>
          <t>Transport &amp; Infrastructure (T&amp;I)</t>
        </is>
      </c>
      <c r="S2006" s="2" t="inlineStr">
        <is>
          <t>Downer</t>
        </is>
      </c>
      <c r="T2006" s="2" t="n">
        <v>100</v>
      </c>
      <c r="W2006" s="2" t="inlineStr">
        <is>
          <t>Classification</t>
        </is>
      </c>
    </row>
    <row r="2007">
      <c r="A2007" s="2" t="inlineStr">
        <is>
          <t>Downer</t>
        </is>
      </c>
      <c r="B2007" s="2" t="inlineStr">
        <is>
          <t>REV_NZ NSC IT Property WF and Elins</t>
        </is>
      </c>
      <c r="C2007" s="2" t="inlineStr">
        <is>
          <t>Branch</t>
        </is>
      </c>
      <c r="D2007" s="2" t="inlineStr">
        <is>
          <t>L9.DNZJ.9003</t>
        </is>
      </c>
      <c r="E2007" s="2" t="inlineStr">
        <is>
          <t>CORNZ</t>
        </is>
      </c>
      <c r="M2007" s="2" t="inlineStr">
        <is>
          <t>North Ryde</t>
        </is>
      </c>
      <c r="N2007" s="2" t="inlineStr">
        <is>
          <t>Australia</t>
        </is>
      </c>
      <c r="P2007" s="2" t="inlineStr">
        <is>
          <t>Operational Control</t>
        </is>
      </c>
      <c r="Q2007" s="2" t="inlineStr">
        <is>
          <t>Operational Control</t>
        </is>
      </c>
      <c r="R2007" s="2" t="inlineStr">
        <is>
          <t>Corporate</t>
        </is>
      </c>
      <c r="S2007" s="2" t="inlineStr">
        <is>
          <t>Downer</t>
        </is>
      </c>
      <c r="T2007" s="2" t="n">
        <v>100</v>
      </c>
      <c r="W2007" s="2" t="inlineStr">
        <is>
          <t>Classification</t>
        </is>
      </c>
    </row>
    <row r="2008">
      <c r="A2008" s="2" t="inlineStr">
        <is>
          <t>Downer</t>
        </is>
      </c>
      <c r="B2008" s="2" t="inlineStr">
        <is>
          <t>REV_NZ NSC, IT, Property, WF &amp; Elins</t>
        </is>
      </c>
      <c r="C2008" s="2" t="inlineStr">
        <is>
          <t>Depot</t>
        </is>
      </c>
      <c r="D2008" s="2" t="inlineStr">
        <is>
          <t>L9.DNZJ.9003</t>
        </is>
      </c>
      <c r="E2008" s="2" t="inlineStr">
        <is>
          <t>RNZIPWE</t>
        </is>
      </c>
      <c r="M2008" s="2" t="inlineStr">
        <is>
          <t>North Ryde</t>
        </is>
      </c>
      <c r="N2008" s="2" t="inlineStr">
        <is>
          <t>Australia</t>
        </is>
      </c>
      <c r="P2008" s="2" t="inlineStr">
        <is>
          <t>Operational Control</t>
        </is>
      </c>
      <c r="Q2008" s="2" t="inlineStr">
        <is>
          <t>Operational Control</t>
        </is>
      </c>
      <c r="R2008" s="2" t="inlineStr">
        <is>
          <t>Corporate</t>
        </is>
      </c>
      <c r="S2008" s="2" t="inlineStr">
        <is>
          <t>Downer</t>
        </is>
      </c>
      <c r="T2008" s="2" t="n">
        <v>100</v>
      </c>
      <c r="W2008" s="2" t="inlineStr">
        <is>
          <t>Classification</t>
        </is>
      </c>
    </row>
    <row r="2009">
      <c r="A2009" s="2" t="inlineStr">
        <is>
          <t>Downer</t>
        </is>
      </c>
      <c r="B2009" s="2" t="inlineStr">
        <is>
          <t>REV_Passenger North</t>
        </is>
      </c>
      <c r="C2009" s="2" t="inlineStr">
        <is>
          <t>Other</t>
        </is>
      </c>
      <c r="D2009" s="2" t="inlineStr">
        <is>
          <t>L9.J.709250</t>
        </is>
      </c>
      <c r="E2009" s="2" t="inlineStr">
        <is>
          <t>L9.J.709250</t>
        </is>
      </c>
      <c r="M2009" s="2" t="inlineStr">
        <is>
          <t>North Ryde</t>
        </is>
      </c>
      <c r="N2009" s="2" t="inlineStr">
        <is>
          <t>Australia</t>
        </is>
      </c>
      <c r="P2009" s="2" t="inlineStr">
        <is>
          <t>Operational Control</t>
        </is>
      </c>
      <c r="Q2009" s="2" t="inlineStr">
        <is>
          <t>Operational Control</t>
        </is>
      </c>
      <c r="R2009" s="2" t="inlineStr">
        <is>
          <t>Rail &amp; Transit Systems (RTS)</t>
        </is>
      </c>
      <c r="S2009" s="2" t="inlineStr">
        <is>
          <t>Downer</t>
        </is>
      </c>
      <c r="T2009" s="2" t="n">
        <v>100</v>
      </c>
      <c r="W2009" s="2" t="inlineStr">
        <is>
          <t>Classification</t>
        </is>
      </c>
    </row>
    <row r="2010">
      <c r="A2010" s="2" t="inlineStr">
        <is>
          <t>Downer</t>
        </is>
      </c>
      <c r="B2010" s="2" t="inlineStr">
        <is>
          <t>REV_Passenger South</t>
        </is>
      </c>
      <c r="C2010" s="2" t="inlineStr">
        <is>
          <t>Other</t>
        </is>
      </c>
      <c r="D2010" s="2" t="inlineStr">
        <is>
          <t>L9.J.709506</t>
        </is>
      </c>
      <c r="E2010" s="2" t="inlineStr">
        <is>
          <t>L9.J.709506</t>
        </is>
      </c>
      <c r="M2010" s="2" t="inlineStr">
        <is>
          <t>North Ryde</t>
        </is>
      </c>
      <c r="N2010" s="2" t="inlineStr">
        <is>
          <t>Australia</t>
        </is>
      </c>
      <c r="P2010" s="2" t="inlineStr">
        <is>
          <t>Operational Control</t>
        </is>
      </c>
      <c r="Q2010" s="2" t="inlineStr">
        <is>
          <t>Operational Control</t>
        </is>
      </c>
      <c r="R2010" s="2" t="inlineStr">
        <is>
          <t>Rail &amp; Transit Systems (RTS)</t>
        </is>
      </c>
      <c r="S2010" s="2" t="inlineStr">
        <is>
          <t>Downer</t>
        </is>
      </c>
      <c r="T2010" s="2" t="n">
        <v>100</v>
      </c>
      <c r="W2010" s="2" t="inlineStr">
        <is>
          <t>Classification</t>
        </is>
      </c>
    </row>
    <row r="2011">
      <c r="A2011" s="2" t="inlineStr">
        <is>
          <t>Downer</t>
        </is>
      </c>
      <c r="B2011" s="2" t="inlineStr">
        <is>
          <t>REV_Power Projects</t>
        </is>
      </c>
      <c r="C2011" s="2" t="inlineStr">
        <is>
          <t>Depot</t>
        </is>
      </c>
      <c r="D2011" s="2" t="inlineStr">
        <is>
          <t>L9.J.240116</t>
        </is>
      </c>
      <c r="E2011" s="2" t="inlineStr">
        <is>
          <t>RPP</t>
        </is>
      </c>
      <c r="M2011" s="2" t="inlineStr">
        <is>
          <t>North Ryde</t>
        </is>
      </c>
      <c r="N2011" s="2" t="inlineStr">
        <is>
          <t>Australia</t>
        </is>
      </c>
      <c r="P2011" s="2" t="inlineStr">
        <is>
          <t>Operational Control</t>
        </is>
      </c>
      <c r="Q2011" s="2" t="inlineStr">
        <is>
          <t>Operational Control</t>
        </is>
      </c>
      <c r="R2011" s="2" t="inlineStr">
        <is>
          <t>Energy and Utilities (EU)</t>
        </is>
      </c>
      <c r="S2011" s="2" t="inlineStr">
        <is>
          <t>Downer</t>
        </is>
      </c>
      <c r="T2011" s="2" t="n">
        <v>100</v>
      </c>
      <c r="W2011" s="2" t="inlineStr">
        <is>
          <t>Classification</t>
        </is>
      </c>
    </row>
    <row r="2012">
      <c r="A2012" s="2" t="inlineStr">
        <is>
          <t>Downer</t>
        </is>
      </c>
      <c r="B2012" s="2" t="inlineStr">
        <is>
          <t>REV_Precinct Upgrade &amp; New Energy</t>
        </is>
      </c>
      <c r="C2012" s="2" t="inlineStr">
        <is>
          <t>Branch</t>
        </is>
      </c>
      <c r="D2012" s="2" t="inlineStr">
        <is>
          <t>L9.J.234249</t>
        </is>
      </c>
      <c r="E2012" s="2" t="inlineStr">
        <is>
          <t>SICSPUNE</t>
        </is>
      </c>
      <c r="M2012" s="2" t="inlineStr">
        <is>
          <t>North Ryde</t>
        </is>
      </c>
      <c r="N2012" s="2" t="inlineStr">
        <is>
          <t>Australia</t>
        </is>
      </c>
      <c r="P2012" s="2" t="inlineStr">
        <is>
          <t>Operational Control</t>
        </is>
      </c>
      <c r="Q2012" s="2" t="inlineStr">
        <is>
          <t>Operational Control</t>
        </is>
      </c>
      <c r="R2012" s="2" t="inlineStr">
        <is>
          <t>Social Infra &amp; Citizen Serv (SICS)</t>
        </is>
      </c>
      <c r="S2012" s="2" t="inlineStr">
        <is>
          <t>Downer</t>
        </is>
      </c>
      <c r="T2012" s="2" t="n">
        <v>100</v>
      </c>
      <c r="W2012" s="2" t="inlineStr">
        <is>
          <t>Classification</t>
        </is>
      </c>
    </row>
    <row r="2013">
      <c r="A2013" s="2" t="inlineStr">
        <is>
          <t>Downer</t>
        </is>
      </c>
      <c r="B2013" s="2" t="inlineStr">
        <is>
          <t>REV_Rail Services Victoria Pty Ltd</t>
        </is>
      </c>
      <c r="C2013" s="2" t="inlineStr">
        <is>
          <t>Branch</t>
        </is>
      </c>
      <c r="D2013" s="2" t="inlineStr">
        <is>
          <t>L9.J.10920022</t>
        </is>
      </c>
      <c r="E2013" s="2" t="inlineStr">
        <is>
          <t>RTSRSV</t>
        </is>
      </c>
      <c r="M2013" s="2" t="inlineStr">
        <is>
          <t>North Ryde</t>
        </is>
      </c>
      <c r="N2013" s="2" t="inlineStr">
        <is>
          <t>Australia</t>
        </is>
      </c>
      <c r="P2013" s="2" t="inlineStr">
        <is>
          <t>Operational Control</t>
        </is>
      </c>
      <c r="Q2013" s="2" t="inlineStr">
        <is>
          <t>Operational Control</t>
        </is>
      </c>
      <c r="R2013" s="2" t="inlineStr">
        <is>
          <t>Rail &amp; Transit Systems (RTS)</t>
        </is>
      </c>
      <c r="S2013" s="2" t="inlineStr">
        <is>
          <t>Downer</t>
        </is>
      </c>
      <c r="T2013" s="2" t="n">
        <v>100</v>
      </c>
      <c r="W2013" s="2" t="inlineStr">
        <is>
          <t>Classification</t>
        </is>
      </c>
    </row>
    <row r="2014">
      <c r="A2014" s="2" t="inlineStr">
        <is>
          <t>Downer</t>
        </is>
      </c>
      <c r="B2014" s="2" t="inlineStr">
        <is>
          <t>REV_Repurpose IT</t>
        </is>
      </c>
      <c r="C2014" s="2" t="inlineStr">
        <is>
          <t>Branch</t>
        </is>
      </c>
      <c r="D2014" s="2" t="inlineStr">
        <is>
          <t>L9.J.150505</t>
        </is>
      </c>
      <c r="E2014" s="2" t="inlineStr">
        <is>
          <t>TIRIT</t>
        </is>
      </c>
      <c r="M2014" s="2" t="inlineStr">
        <is>
          <t>North Ryde</t>
        </is>
      </c>
      <c r="N2014" s="2" t="inlineStr">
        <is>
          <t>Australia</t>
        </is>
      </c>
      <c r="P2014" s="2" t="inlineStr">
        <is>
          <t>Operational Control</t>
        </is>
      </c>
      <c r="Q2014" s="2" t="inlineStr">
        <is>
          <t>Operational Control</t>
        </is>
      </c>
      <c r="R2014" s="2" t="inlineStr">
        <is>
          <t>Transport &amp; Infrastructure (T&amp;I)</t>
        </is>
      </c>
      <c r="S2014" s="2" t="inlineStr">
        <is>
          <t>Downer</t>
        </is>
      </c>
      <c r="T2014" s="2" t="n">
        <v>100</v>
      </c>
      <c r="W2014" s="2" t="inlineStr">
        <is>
          <t>Classification</t>
        </is>
      </c>
    </row>
    <row r="2015">
      <c r="A2015" s="2" t="inlineStr">
        <is>
          <t>Downer</t>
        </is>
      </c>
      <c r="B2015" s="2" t="inlineStr">
        <is>
          <t>REV_RTS Digital</t>
        </is>
      </c>
      <c r="C2015" s="2" t="inlineStr">
        <is>
          <t>Branch</t>
        </is>
      </c>
      <c r="D2015" s="2" t="inlineStr">
        <is>
          <t>L9.J.70620001</t>
        </is>
      </c>
      <c r="E2015" s="2" t="inlineStr">
        <is>
          <t>RTSDIG</t>
        </is>
      </c>
      <c r="M2015" s="2" t="inlineStr">
        <is>
          <t>North Ryde</t>
        </is>
      </c>
      <c r="N2015" s="2" t="inlineStr">
        <is>
          <t>Australia</t>
        </is>
      </c>
      <c r="P2015" s="2" t="inlineStr">
        <is>
          <t>Operational Control</t>
        </is>
      </c>
      <c r="Q2015" s="2" t="inlineStr">
        <is>
          <t>Operational Control</t>
        </is>
      </c>
      <c r="R2015" s="2" t="inlineStr">
        <is>
          <t>Rail &amp; Transit Systems (RTS)</t>
        </is>
      </c>
      <c r="S2015" s="2" t="inlineStr">
        <is>
          <t>Downer</t>
        </is>
      </c>
      <c r="T2015" s="2" t="n">
        <v>100</v>
      </c>
      <c r="W2015" s="2" t="inlineStr">
        <is>
          <t>Classification</t>
        </is>
      </c>
    </row>
    <row r="2016">
      <c r="A2016" s="2" t="inlineStr">
        <is>
          <t>Downer</t>
        </is>
      </c>
      <c r="B2016" s="2" t="inlineStr">
        <is>
          <t>REV_RTS FREIGHT</t>
        </is>
      </c>
      <c r="C2016" s="2" t="inlineStr">
        <is>
          <t>Branch</t>
        </is>
      </c>
      <c r="D2016" s="2" t="inlineStr">
        <is>
          <t>L9.J.70900047</t>
        </is>
      </c>
      <c r="E2016" s="2" t="inlineStr">
        <is>
          <t>RTSFREI</t>
        </is>
      </c>
      <c r="M2016" s="2" t="inlineStr">
        <is>
          <t>North Ryde</t>
        </is>
      </c>
      <c r="N2016" s="2" t="inlineStr">
        <is>
          <t>Australia</t>
        </is>
      </c>
      <c r="P2016" s="2" t="inlineStr">
        <is>
          <t>Operational Control</t>
        </is>
      </c>
      <c r="Q2016" s="2" t="inlineStr">
        <is>
          <t>Operational Control</t>
        </is>
      </c>
      <c r="R2016" s="2" t="inlineStr">
        <is>
          <t>Rail &amp; Transit Systems (RTS)</t>
        </is>
      </c>
      <c r="S2016" s="2" t="inlineStr">
        <is>
          <t>Downer</t>
        </is>
      </c>
      <c r="T2016" s="2" t="n">
        <v>100</v>
      </c>
      <c r="W2016" s="2" t="inlineStr">
        <is>
          <t>Classification</t>
        </is>
      </c>
    </row>
    <row r="2017">
      <c r="A2017" s="2" t="inlineStr">
        <is>
          <t>Downer</t>
        </is>
      </c>
      <c r="B2017" s="2" t="inlineStr">
        <is>
          <t>REV_RTS Head Office</t>
        </is>
      </c>
      <c r="C2017" s="2" t="inlineStr">
        <is>
          <t>Other</t>
        </is>
      </c>
      <c r="D2017" s="2" t="inlineStr">
        <is>
          <t>L9.J.799999</t>
        </is>
      </c>
      <c r="E2017" s="2" t="inlineStr">
        <is>
          <t>L9.J.799999</t>
        </is>
      </c>
      <c r="M2017" s="2" t="inlineStr">
        <is>
          <t>North Ryde</t>
        </is>
      </c>
      <c r="N2017" s="2" t="inlineStr">
        <is>
          <t>Australia</t>
        </is>
      </c>
      <c r="P2017" s="2" t="inlineStr">
        <is>
          <t>Operational Control</t>
        </is>
      </c>
      <c r="Q2017" s="2" t="inlineStr">
        <is>
          <t>Operational Control</t>
        </is>
      </c>
      <c r="R2017" s="2" t="inlineStr">
        <is>
          <t>Rail &amp; Transit Systems (RTS)</t>
        </is>
      </c>
      <c r="S2017" s="2" t="inlineStr">
        <is>
          <t>Downer</t>
        </is>
      </c>
      <c r="T2017" s="2" t="n">
        <v>100</v>
      </c>
      <c r="W2017" s="2" t="inlineStr">
        <is>
          <t>Classification</t>
        </is>
      </c>
    </row>
    <row r="2018">
      <c r="A2018" s="2" t="inlineStr">
        <is>
          <t>Downer</t>
        </is>
      </c>
      <c r="B2018" s="2" t="inlineStr">
        <is>
          <t>REV_RTS NSW</t>
        </is>
      </c>
      <c r="C2018" s="2" t="inlineStr">
        <is>
          <t>Branch</t>
        </is>
      </c>
      <c r="D2018" s="2" t="inlineStr">
        <is>
          <t>L9.J.709601</t>
        </is>
      </c>
      <c r="E2018" s="2" t="inlineStr">
        <is>
          <t>RTSNSW</t>
        </is>
      </c>
      <c r="M2018" s="2" t="inlineStr">
        <is>
          <t>North Ryde</t>
        </is>
      </c>
      <c r="N2018" s="2" t="inlineStr">
        <is>
          <t>Australia</t>
        </is>
      </c>
      <c r="P2018" s="2" t="inlineStr">
        <is>
          <t>Operational Control</t>
        </is>
      </c>
      <c r="Q2018" s="2" t="inlineStr">
        <is>
          <t>Operational Control</t>
        </is>
      </c>
      <c r="R2018" s="2" t="inlineStr">
        <is>
          <t>Rail &amp; Transit Systems (RTS)</t>
        </is>
      </c>
      <c r="S2018" s="2" t="inlineStr">
        <is>
          <t>Downer</t>
        </is>
      </c>
      <c r="T2018" s="2" t="n">
        <v>100</v>
      </c>
      <c r="W2018" s="2" t="inlineStr">
        <is>
          <t>Classification</t>
        </is>
      </c>
    </row>
    <row r="2019">
      <c r="A2019" s="2" t="inlineStr">
        <is>
          <t>Downer</t>
        </is>
      </c>
      <c r="B2019" s="2" t="inlineStr">
        <is>
          <t>REV_RTS Opportunities</t>
        </is>
      </c>
      <c r="C2019" s="2" t="inlineStr">
        <is>
          <t>Branch</t>
        </is>
      </c>
      <c r="D2019" s="2" t="inlineStr">
        <is>
          <t>L9.J.709010</t>
        </is>
      </c>
      <c r="E2019" s="2" t="inlineStr">
        <is>
          <t>RTSOPPS</t>
        </is>
      </c>
      <c r="M2019" s="2" t="inlineStr">
        <is>
          <t>North Ryde</t>
        </is>
      </c>
      <c r="N2019" s="2" t="inlineStr">
        <is>
          <t>Australia</t>
        </is>
      </c>
      <c r="P2019" s="2" t="inlineStr">
        <is>
          <t>Operational Control</t>
        </is>
      </c>
      <c r="Q2019" s="2" t="inlineStr">
        <is>
          <t>Operational Control</t>
        </is>
      </c>
      <c r="R2019" s="2" t="inlineStr">
        <is>
          <t>Rail &amp; Transit Systems (RTS)</t>
        </is>
      </c>
      <c r="S2019" s="2" t="inlineStr">
        <is>
          <t>Downer</t>
        </is>
      </c>
      <c r="T2019" s="2" t="n">
        <v>100</v>
      </c>
      <c r="W2019" s="2" t="inlineStr">
        <is>
          <t>Classification</t>
        </is>
      </c>
    </row>
    <row r="2020">
      <c r="A2020" s="2" t="inlineStr">
        <is>
          <t>Downer</t>
        </is>
      </c>
      <c r="B2020" s="2" t="inlineStr">
        <is>
          <t>REV_RTS QLD</t>
        </is>
      </c>
      <c r="C2020" s="2" t="inlineStr">
        <is>
          <t>Branch</t>
        </is>
      </c>
      <c r="D2020" s="2" t="inlineStr">
        <is>
          <t>L9.J.709202</t>
        </is>
      </c>
      <c r="E2020" s="2" t="inlineStr">
        <is>
          <t>RTSQLD</t>
        </is>
      </c>
      <c r="M2020" s="2" t="inlineStr">
        <is>
          <t>North Ryde</t>
        </is>
      </c>
      <c r="N2020" s="2" t="inlineStr">
        <is>
          <t>Australia</t>
        </is>
      </c>
      <c r="P2020" s="2" t="inlineStr">
        <is>
          <t>Operational Control</t>
        </is>
      </c>
      <c r="Q2020" s="2" t="inlineStr">
        <is>
          <t>Operational Control</t>
        </is>
      </c>
      <c r="R2020" s="2" t="inlineStr">
        <is>
          <t>Rail &amp; Transit Systems (RTS)</t>
        </is>
      </c>
      <c r="S2020" s="2" t="inlineStr">
        <is>
          <t>Downer</t>
        </is>
      </c>
      <c r="T2020" s="2" t="n">
        <v>100</v>
      </c>
      <c r="W2020" s="2" t="inlineStr">
        <is>
          <t>Classification</t>
        </is>
      </c>
    </row>
    <row r="2021">
      <c r="A2021" s="2" t="inlineStr">
        <is>
          <t>Downer</t>
        </is>
      </c>
      <c r="B2021" s="2" t="inlineStr">
        <is>
          <t>REV_RTS VIC</t>
        </is>
      </c>
      <c r="C2021" s="2" t="inlineStr">
        <is>
          <t>Branch</t>
        </is>
      </c>
      <c r="D2021" s="2" t="inlineStr">
        <is>
          <t>L9.J.709401</t>
        </is>
      </c>
      <c r="E2021" s="2" t="inlineStr">
        <is>
          <t>RTSVIC</t>
        </is>
      </c>
      <c r="M2021" s="2" t="inlineStr">
        <is>
          <t>North Ryde</t>
        </is>
      </c>
      <c r="N2021" s="2" t="inlineStr">
        <is>
          <t>Australia</t>
        </is>
      </c>
      <c r="P2021" s="2" t="inlineStr">
        <is>
          <t>Operational Control</t>
        </is>
      </c>
      <c r="Q2021" s="2" t="inlineStr">
        <is>
          <t>Operational Control</t>
        </is>
      </c>
      <c r="R2021" s="2" t="inlineStr">
        <is>
          <t>Rail &amp; Transit Systems (RTS)</t>
        </is>
      </c>
      <c r="S2021" s="2" t="inlineStr">
        <is>
          <t>Downer</t>
        </is>
      </c>
      <c r="T2021" s="2" t="n">
        <v>100</v>
      </c>
      <c r="W2021" s="2" t="inlineStr">
        <is>
          <t>Classification</t>
        </is>
      </c>
    </row>
    <row r="2022">
      <c r="A2022" s="2" t="inlineStr">
        <is>
          <t>Downer</t>
        </is>
      </c>
      <c r="B2022" s="2" t="inlineStr">
        <is>
          <t>REV_RTS WA</t>
        </is>
      </c>
      <c r="C2022" s="2" t="inlineStr">
        <is>
          <t>Branch</t>
        </is>
      </c>
      <c r="D2022" s="2" t="inlineStr">
        <is>
          <t>L9.J.709002</t>
        </is>
      </c>
      <c r="E2022" s="2" t="inlineStr">
        <is>
          <t>RTSRSV</t>
        </is>
      </c>
      <c r="M2022" s="2" t="inlineStr">
        <is>
          <t>North Ryde</t>
        </is>
      </c>
      <c r="N2022" s="2" t="inlineStr">
        <is>
          <t>Australia</t>
        </is>
      </c>
      <c r="P2022" s="2" t="inlineStr">
        <is>
          <t>Operational Control</t>
        </is>
      </c>
      <c r="Q2022" s="2" t="inlineStr">
        <is>
          <t>Operational Control</t>
        </is>
      </c>
      <c r="R2022" s="2" t="inlineStr">
        <is>
          <t>Rail &amp; Transit Systems (RTS)</t>
        </is>
      </c>
      <c r="S2022" s="2" t="inlineStr">
        <is>
          <t>Downer</t>
        </is>
      </c>
      <c r="T2022" s="2" t="n">
        <v>100</v>
      </c>
      <c r="W2022" s="2" t="inlineStr">
        <is>
          <t>Classification</t>
        </is>
      </c>
    </row>
    <row r="2023">
      <c r="A2023" s="2" t="inlineStr">
        <is>
          <t>Downer</t>
        </is>
      </c>
      <c r="B2023" s="2" t="inlineStr">
        <is>
          <t>REV_Social Infrastructure &amp; Citizen Services Sup</t>
        </is>
      </c>
      <c r="C2023" s="2" t="inlineStr">
        <is>
          <t>Branch</t>
        </is>
      </c>
      <c r="D2023" s="2" t="inlineStr">
        <is>
          <t>L9.S.11001200</t>
        </is>
      </c>
      <c r="E2023" s="2" t="inlineStr">
        <is>
          <t>SICSSICSS</t>
        </is>
      </c>
      <c r="M2023" s="2" t="inlineStr">
        <is>
          <t>North Ryde</t>
        </is>
      </c>
      <c r="N2023" s="2" t="inlineStr">
        <is>
          <t>Australia</t>
        </is>
      </c>
      <c r="P2023" s="2" t="inlineStr">
        <is>
          <t>Operational Control</t>
        </is>
      </c>
      <c r="Q2023" s="2" t="inlineStr">
        <is>
          <t>Operational Control</t>
        </is>
      </c>
      <c r="R2023" s="2" t="inlineStr">
        <is>
          <t>Social Infra &amp; Citizen Serv (SICS)</t>
        </is>
      </c>
      <c r="S2023" s="2" t="inlineStr">
        <is>
          <t>Downer</t>
        </is>
      </c>
      <c r="T2023" s="2" t="n">
        <v>100</v>
      </c>
      <c r="W2023" s="2" t="inlineStr">
        <is>
          <t>Classification</t>
        </is>
      </c>
    </row>
    <row r="2024">
      <c r="A2024" s="2" t="inlineStr">
        <is>
          <t>Downer</t>
        </is>
      </c>
      <c r="B2024" s="2" t="inlineStr">
        <is>
          <t>REV_Social Infrastructure &amp; Citizen Services Support</t>
        </is>
      </c>
      <c r="C2024" s="2" t="inlineStr">
        <is>
          <t>Depot</t>
        </is>
      </c>
      <c r="D2024" s="2" t="inlineStr">
        <is>
          <t>L9.S.11001200</t>
        </is>
      </c>
      <c r="E2024" s="2" t="inlineStr">
        <is>
          <t>RSICSS</t>
        </is>
      </c>
      <c r="M2024" s="2" t="inlineStr">
        <is>
          <t>North Ryde</t>
        </is>
      </c>
      <c r="N2024" s="2" t="inlineStr">
        <is>
          <t>Australia</t>
        </is>
      </c>
      <c r="P2024" s="2" t="inlineStr">
        <is>
          <t>Operational Control</t>
        </is>
      </c>
      <c r="Q2024" s="2" t="inlineStr">
        <is>
          <t>Operational Control</t>
        </is>
      </c>
      <c r="R2024" s="2" t="inlineStr">
        <is>
          <t>Social Infra &amp; Citizen Serv (SICS)</t>
        </is>
      </c>
      <c r="S2024" s="2" t="inlineStr">
        <is>
          <t>Downer</t>
        </is>
      </c>
      <c r="T2024" s="2" t="n">
        <v>100</v>
      </c>
      <c r="W2024" s="2" t="inlineStr">
        <is>
          <t>Classification</t>
        </is>
      </c>
    </row>
    <row r="2025">
      <c r="A2025" s="2" t="inlineStr">
        <is>
          <t>Downer</t>
        </is>
      </c>
      <c r="B2025" s="2" t="inlineStr">
        <is>
          <t>REV_T&amp;I Gap</t>
        </is>
      </c>
      <c r="C2025" s="2" t="inlineStr">
        <is>
          <t>Other</t>
        </is>
      </c>
      <c r="D2025" s="2" t="inlineStr">
        <is>
          <t>L9.J.259103</t>
        </is>
      </c>
      <c r="E2025" s="2" t="inlineStr">
        <is>
          <t>L9.J.259103</t>
        </is>
      </c>
      <c r="M2025" s="2" t="inlineStr">
        <is>
          <t>North Ryde</t>
        </is>
      </c>
      <c r="N2025" s="2" t="inlineStr">
        <is>
          <t>Australia</t>
        </is>
      </c>
      <c r="P2025" s="2" t="inlineStr">
        <is>
          <t>Operational Control</t>
        </is>
      </c>
      <c r="Q2025" s="2" t="inlineStr">
        <is>
          <t>Operational Control</t>
        </is>
      </c>
      <c r="R2025" s="2" t="inlineStr">
        <is>
          <t>Transport &amp; Infrastructure (T&amp;I)</t>
        </is>
      </c>
      <c r="S2025" s="2" t="inlineStr">
        <is>
          <t>Downer</t>
        </is>
      </c>
      <c r="T2025" s="2" t="n">
        <v>100</v>
      </c>
      <c r="W2025" s="2" t="inlineStr">
        <is>
          <t>Classification</t>
        </is>
      </c>
    </row>
    <row r="2026">
      <c r="A2026" s="2" t="inlineStr">
        <is>
          <t>Downer</t>
        </is>
      </c>
      <c r="B2026" s="2" t="inlineStr">
        <is>
          <t>REV_T&amp;I Head Office</t>
        </is>
      </c>
      <c r="C2026" s="2" t="inlineStr">
        <is>
          <t>Branch</t>
        </is>
      </c>
      <c r="D2026" s="2" t="inlineStr">
        <is>
          <t>L9.J.170833</t>
        </is>
      </c>
      <c r="E2026" s="2" t="inlineStr">
        <is>
          <t>TITIHO</t>
        </is>
      </c>
      <c r="M2026" s="2" t="inlineStr">
        <is>
          <t>North Ryde</t>
        </is>
      </c>
      <c r="N2026" s="2" t="inlineStr">
        <is>
          <t>Australia</t>
        </is>
      </c>
      <c r="P2026" s="2" t="inlineStr">
        <is>
          <t>Operational Control</t>
        </is>
      </c>
      <c r="Q2026" s="2" t="inlineStr">
        <is>
          <t>Operational Control</t>
        </is>
      </c>
      <c r="R2026" s="2" t="inlineStr">
        <is>
          <t>Transport &amp; Infrastructure (T&amp;I)</t>
        </is>
      </c>
      <c r="S2026" s="2" t="inlineStr">
        <is>
          <t>Downer</t>
        </is>
      </c>
      <c r="T2026" s="2" t="n">
        <v>100</v>
      </c>
      <c r="W2026" s="2" t="inlineStr">
        <is>
          <t>Classification</t>
        </is>
      </c>
    </row>
    <row r="2027">
      <c r="A2027" s="2" t="inlineStr">
        <is>
          <t>Downer</t>
        </is>
      </c>
      <c r="B2027" s="2" t="inlineStr">
        <is>
          <t>REV_Telco AU</t>
        </is>
      </c>
      <c r="C2027" s="2" t="inlineStr">
        <is>
          <t>Branch</t>
        </is>
      </c>
      <c r="D2027" s="2" t="inlineStr">
        <is>
          <t>L9.S.TSTELWA00</t>
        </is>
      </c>
      <c r="E2027" s="2" t="inlineStr">
        <is>
          <t>UTLTAU</t>
        </is>
      </c>
      <c r="M2027" s="2" t="inlineStr">
        <is>
          <t>North Ryde</t>
        </is>
      </c>
      <c r="N2027" s="2" t="inlineStr">
        <is>
          <t>Australia</t>
        </is>
      </c>
      <c r="P2027" s="2" t="inlineStr">
        <is>
          <t>Operational Control</t>
        </is>
      </c>
      <c r="Q2027" s="2" t="inlineStr">
        <is>
          <t>Operational Control</t>
        </is>
      </c>
      <c r="R2027" s="2" t="inlineStr">
        <is>
          <t>Energy and Utilities (EU)</t>
        </is>
      </c>
      <c r="S2027" s="2" t="inlineStr">
        <is>
          <t>Downer</t>
        </is>
      </c>
      <c r="T2027" s="2" t="n">
        <v>100</v>
      </c>
      <c r="W2027" s="2" t="inlineStr">
        <is>
          <t>Classification</t>
        </is>
      </c>
    </row>
    <row r="2028">
      <c r="A2028" s="2" t="inlineStr">
        <is>
          <t>Downer</t>
        </is>
      </c>
      <c r="B2028" s="2" t="inlineStr">
        <is>
          <t>REV_Telco NZ</t>
        </is>
      </c>
      <c r="C2028" s="2" t="inlineStr">
        <is>
          <t>Branch</t>
        </is>
      </c>
      <c r="D2028" s="2" t="inlineStr">
        <is>
          <t>L9.DNZ.810.10.057</t>
        </is>
      </c>
      <c r="E2028" s="2" t="inlineStr">
        <is>
          <t>UTLTNZ</t>
        </is>
      </c>
      <c r="M2028" s="2" t="inlineStr">
        <is>
          <t>North Ryde</t>
        </is>
      </c>
      <c r="N2028" s="2" t="inlineStr">
        <is>
          <t>Australia</t>
        </is>
      </c>
      <c r="P2028" s="2" t="inlineStr">
        <is>
          <t>Operational Control</t>
        </is>
      </c>
      <c r="Q2028" s="2" t="inlineStr">
        <is>
          <t>Operational Control</t>
        </is>
      </c>
      <c r="R2028" s="2" t="inlineStr">
        <is>
          <t>Energy and Utilities (EU)</t>
        </is>
      </c>
      <c r="S2028" s="2" t="inlineStr">
        <is>
          <t>Downer</t>
        </is>
      </c>
      <c r="T2028" s="2" t="n">
        <v>100</v>
      </c>
      <c r="W2028" s="2" t="inlineStr">
        <is>
          <t>Classification</t>
        </is>
      </c>
    </row>
    <row r="2029">
      <c r="A2029" s="2" t="inlineStr">
        <is>
          <t>Downer</t>
        </is>
      </c>
      <c r="B2029" s="2" t="inlineStr">
        <is>
          <t>REV_Telecommunications</t>
        </is>
      </c>
      <c r="C2029" s="2" t="inlineStr">
        <is>
          <t>Other</t>
        </is>
      </c>
      <c r="D2029" s="2" t="inlineStr">
        <is>
          <t>L9.DNZJ.56900</t>
        </is>
      </c>
      <c r="E2029" s="2" t="inlineStr">
        <is>
          <t>L9.DNZJ.56900</t>
        </is>
      </c>
      <c r="M2029" s="2" t="inlineStr">
        <is>
          <t>North Ryde</t>
        </is>
      </c>
      <c r="N2029" s="2" t="inlineStr">
        <is>
          <t>Australia</t>
        </is>
      </c>
      <c r="P2029" s="2" t="inlineStr">
        <is>
          <t>Operational Control</t>
        </is>
      </c>
      <c r="Q2029" s="2" t="inlineStr">
        <is>
          <t>Operational Control</t>
        </is>
      </c>
      <c r="R2029" s="2" t="inlineStr">
        <is>
          <t>Energy and Utilities (EU)</t>
        </is>
      </c>
      <c r="S2029" s="2" t="inlineStr">
        <is>
          <t>Downer</t>
        </is>
      </c>
      <c r="T2029" s="2" t="n">
        <v>100</v>
      </c>
      <c r="W2029" s="2" t="inlineStr">
        <is>
          <t>Classification</t>
        </is>
      </c>
    </row>
    <row r="2030">
      <c r="A2030" s="2" t="inlineStr">
        <is>
          <t>Downer</t>
        </is>
      </c>
      <c r="B2030" s="2" t="inlineStr">
        <is>
          <t>REV_Telecommunications &amp; Networks</t>
        </is>
      </c>
      <c r="C2030" s="2" t="inlineStr">
        <is>
          <t>Other</t>
        </is>
      </c>
      <c r="D2030" s="2" t="inlineStr">
        <is>
          <t>L9.J.234</t>
        </is>
      </c>
      <c r="E2030" s="2" t="inlineStr">
        <is>
          <t>L9.J.234</t>
        </is>
      </c>
      <c r="M2030" s="2" t="inlineStr">
        <is>
          <t>North Ryde</t>
        </is>
      </c>
      <c r="N2030" s="2" t="inlineStr">
        <is>
          <t>Australia</t>
        </is>
      </c>
      <c r="P2030" s="2" t="inlineStr">
        <is>
          <t>Operational Control</t>
        </is>
      </c>
      <c r="Q2030" s="2" t="inlineStr">
        <is>
          <t>Operational Control</t>
        </is>
      </c>
      <c r="R2030" s="2" t="inlineStr">
        <is>
          <t>Energy and Utilities (EU)</t>
        </is>
      </c>
      <c r="S2030" s="2" t="inlineStr">
        <is>
          <t>Downer</t>
        </is>
      </c>
      <c r="T2030" s="2" t="n">
        <v>100</v>
      </c>
      <c r="W2030" s="2" t="inlineStr">
        <is>
          <t>Classification</t>
        </is>
      </c>
    </row>
    <row r="2031">
      <c r="A2031" s="2" t="inlineStr">
        <is>
          <t>Downer</t>
        </is>
      </c>
      <c r="B2031" s="2" t="inlineStr">
        <is>
          <t>REV_Transport &amp; Infrastructure AU</t>
        </is>
      </c>
      <c r="C2031" s="2" t="inlineStr">
        <is>
          <t>Other</t>
        </is>
      </c>
      <c r="D2031" s="2" t="inlineStr">
        <is>
          <t>L9.J.170615</t>
        </is>
      </c>
      <c r="E2031" s="2" t="inlineStr">
        <is>
          <t>L9.J.170615</t>
        </is>
      </c>
      <c r="M2031" s="2" t="inlineStr">
        <is>
          <t>North Ryde</t>
        </is>
      </c>
      <c r="N2031" s="2" t="inlineStr">
        <is>
          <t>Australia</t>
        </is>
      </c>
      <c r="P2031" s="2" t="inlineStr">
        <is>
          <t>Operational Control</t>
        </is>
      </c>
      <c r="Q2031" s="2" t="inlineStr">
        <is>
          <t>Operational Control</t>
        </is>
      </c>
      <c r="R2031" s="2" t="inlineStr">
        <is>
          <t>Transport &amp; Infrastructure (T&amp;I)</t>
        </is>
      </c>
      <c r="S2031" s="2" t="inlineStr">
        <is>
          <t>Downer</t>
        </is>
      </c>
      <c r="T2031" s="2" t="n">
        <v>100</v>
      </c>
      <c r="W2031" s="2" t="inlineStr">
        <is>
          <t>Classification</t>
        </is>
      </c>
    </row>
    <row r="2032">
      <c r="A2032" s="2" t="inlineStr">
        <is>
          <t>Downer</t>
        </is>
      </c>
      <c r="B2032" s="2" t="inlineStr">
        <is>
          <t>REV_Transport &amp; Infrastructure NZ</t>
        </is>
      </c>
      <c r="C2032" s="2" t="inlineStr">
        <is>
          <t>Other</t>
        </is>
      </c>
      <c r="D2032" s="2" t="inlineStr">
        <is>
          <t>L9.DNZJ.8134</t>
        </is>
      </c>
      <c r="E2032" s="2" t="inlineStr">
        <is>
          <t>L9.DNZJ.8134</t>
        </is>
      </c>
      <c r="M2032" s="2" t="inlineStr">
        <is>
          <t>North Ryde</t>
        </is>
      </c>
      <c r="N2032" s="2" t="inlineStr">
        <is>
          <t>Australia</t>
        </is>
      </c>
      <c r="P2032" s="2" t="inlineStr">
        <is>
          <t>Operational Control</t>
        </is>
      </c>
      <c r="Q2032" s="2" t="inlineStr">
        <is>
          <t>Operational Control</t>
        </is>
      </c>
      <c r="R2032" s="2" t="inlineStr">
        <is>
          <t>Transport &amp; Infrastructure (T&amp;I)</t>
        </is>
      </c>
      <c r="S2032" s="2" t="inlineStr">
        <is>
          <t>Downer</t>
        </is>
      </c>
      <c r="T2032" s="2" t="n">
        <v>100</v>
      </c>
      <c r="W2032" s="2" t="inlineStr">
        <is>
          <t>Classification</t>
        </is>
      </c>
    </row>
    <row r="2033">
      <c r="A2033" s="2" t="inlineStr">
        <is>
          <t>Downer</t>
        </is>
      </c>
      <c r="B2033" s="2" t="inlineStr">
        <is>
          <t>REV_Utilites Gap</t>
        </is>
      </c>
      <c r="C2033" s="2" t="inlineStr">
        <is>
          <t>Depot</t>
        </is>
      </c>
      <c r="D2033" s="2" t="inlineStr">
        <is>
          <t>L9.J.24110010</t>
        </is>
      </c>
      <c r="E2033" s="2" t="inlineStr">
        <is>
          <t>RUG</t>
        </is>
      </c>
      <c r="M2033" s="2" t="inlineStr">
        <is>
          <t>North Ryde</t>
        </is>
      </c>
      <c r="N2033" s="2" t="inlineStr">
        <is>
          <t>Australia</t>
        </is>
      </c>
      <c r="P2033" s="2" t="inlineStr">
        <is>
          <t>Operational Control</t>
        </is>
      </c>
      <c r="Q2033" s="2" t="inlineStr">
        <is>
          <t>Operational Control</t>
        </is>
      </c>
      <c r="R2033" s="2" t="inlineStr">
        <is>
          <t>Energy and Utilities (EU)</t>
        </is>
      </c>
      <c r="S2033" s="2" t="inlineStr">
        <is>
          <t>Downer</t>
        </is>
      </c>
      <c r="T2033" s="2" t="n">
        <v>100</v>
      </c>
      <c r="W2033" s="2" t="inlineStr">
        <is>
          <t>Classification</t>
        </is>
      </c>
    </row>
    <row r="2034">
      <c r="A2034" s="2" t="inlineStr">
        <is>
          <t>Downer</t>
        </is>
      </c>
      <c r="B2034" s="2" t="inlineStr">
        <is>
          <t>REV_Utilities Gap</t>
        </is>
      </c>
      <c r="C2034" s="2" t="inlineStr">
        <is>
          <t>Branch</t>
        </is>
      </c>
      <c r="D2034" s="2" t="inlineStr">
        <is>
          <t>L9.J.24110010</t>
        </is>
      </c>
      <c r="E2034" s="2" t="inlineStr">
        <is>
          <t>UTLGAP</t>
        </is>
      </c>
      <c r="M2034" s="2" t="inlineStr">
        <is>
          <t>North Ryde</t>
        </is>
      </c>
      <c r="N2034" s="2" t="inlineStr">
        <is>
          <t>Australia</t>
        </is>
      </c>
      <c r="P2034" s="2" t="inlineStr">
        <is>
          <t>Operational Control</t>
        </is>
      </c>
      <c r="Q2034" s="2" t="inlineStr">
        <is>
          <t>Operational Control</t>
        </is>
      </c>
      <c r="R2034" s="2" t="inlineStr">
        <is>
          <t>Energy and Utilities (EU)</t>
        </is>
      </c>
      <c r="S2034" s="2" t="inlineStr">
        <is>
          <t>Downer</t>
        </is>
      </c>
      <c r="T2034" s="2" t="n">
        <v>100</v>
      </c>
      <c r="W2034" s="2" t="inlineStr">
        <is>
          <t>Classification</t>
        </is>
      </c>
    </row>
    <row r="2035">
      <c r="A2035" s="2" t="inlineStr">
        <is>
          <t>Downer</t>
        </is>
      </c>
      <c r="B2035" s="2" t="inlineStr">
        <is>
          <t>REV_Utilities Legacy &amp; Other</t>
        </is>
      </c>
      <c r="C2035" s="2" t="inlineStr">
        <is>
          <t>Branch</t>
        </is>
      </c>
      <c r="D2035" s="2" t="inlineStr">
        <is>
          <t>L9.J.241120</t>
        </is>
      </c>
      <c r="E2035" s="2" t="inlineStr">
        <is>
          <t>UTLLEGO</t>
        </is>
      </c>
      <c r="M2035" s="2" t="inlineStr">
        <is>
          <t>North Ryde</t>
        </is>
      </c>
      <c r="N2035" s="2" t="inlineStr">
        <is>
          <t>Australia</t>
        </is>
      </c>
      <c r="P2035" s="2" t="inlineStr">
        <is>
          <t>Operational Control</t>
        </is>
      </c>
      <c r="Q2035" s="2" t="inlineStr">
        <is>
          <t>Operational Control</t>
        </is>
      </c>
      <c r="R2035" s="2" t="inlineStr">
        <is>
          <t>Energy and Utilities (EU)</t>
        </is>
      </c>
      <c r="S2035" s="2" t="inlineStr">
        <is>
          <t>Downer</t>
        </is>
      </c>
      <c r="T2035" s="2" t="n">
        <v>100</v>
      </c>
      <c r="W2035" s="2" t="inlineStr">
        <is>
          <t>Classification</t>
        </is>
      </c>
    </row>
    <row r="2036">
      <c r="A2036" s="2" t="inlineStr">
        <is>
          <t>Downer</t>
        </is>
      </c>
      <c r="B2036" s="2" t="inlineStr">
        <is>
          <t>REV_Utilities Legacy &amp; Other AU</t>
        </is>
      </c>
      <c r="C2036" s="2" t="inlineStr">
        <is>
          <t>Depot</t>
        </is>
      </c>
      <c r="D2036" s="2" t="inlineStr">
        <is>
          <t>L9.J.241120</t>
        </is>
      </c>
      <c r="E2036" s="2" t="inlineStr">
        <is>
          <t>RULO</t>
        </is>
      </c>
      <c r="M2036" s="2" t="inlineStr">
        <is>
          <t>North Ryde</t>
        </is>
      </c>
      <c r="N2036" s="2" t="inlineStr">
        <is>
          <t>Australia</t>
        </is>
      </c>
      <c r="P2036" s="2" t="inlineStr">
        <is>
          <t>Operational Control</t>
        </is>
      </c>
      <c r="Q2036" s="2" t="inlineStr">
        <is>
          <t>Operational Control</t>
        </is>
      </c>
      <c r="R2036" s="2" t="inlineStr">
        <is>
          <t>Energy and Utilities (EU)</t>
        </is>
      </c>
      <c r="S2036" s="2" t="inlineStr">
        <is>
          <t>Downer</t>
        </is>
      </c>
      <c r="T2036" s="2" t="n">
        <v>100</v>
      </c>
      <c r="W2036" s="2" t="inlineStr">
        <is>
          <t>Classification</t>
        </is>
      </c>
    </row>
    <row r="2037">
      <c r="A2037" s="2" t="inlineStr">
        <is>
          <t>Downer</t>
        </is>
      </c>
      <c r="B2037" s="2" t="inlineStr">
        <is>
          <t>REV_Utilities Projects NZ</t>
        </is>
      </c>
      <c r="C2037" s="2" t="inlineStr">
        <is>
          <t>Branch</t>
        </is>
      </c>
      <c r="D2037" s="2" t="inlineStr">
        <is>
          <t>L9.DNZJ.63920</t>
        </is>
      </c>
      <c r="E2037" s="2" t="inlineStr">
        <is>
          <t>UTLPRONZ</t>
        </is>
      </c>
      <c r="M2037" s="2" t="inlineStr">
        <is>
          <t>North Ryde</t>
        </is>
      </c>
      <c r="N2037" s="2" t="inlineStr">
        <is>
          <t>Australia</t>
        </is>
      </c>
      <c r="P2037" s="2" t="inlineStr">
        <is>
          <t>Operational Control</t>
        </is>
      </c>
      <c r="Q2037" s="2" t="inlineStr">
        <is>
          <t>Operational Control</t>
        </is>
      </c>
      <c r="R2037" s="2" t="inlineStr">
        <is>
          <t>Energy and Utilities (EU)</t>
        </is>
      </c>
      <c r="S2037" s="2" t="inlineStr">
        <is>
          <t>Downer</t>
        </is>
      </c>
      <c r="T2037" s="2" t="n">
        <v>100</v>
      </c>
      <c r="W2037" s="2" t="inlineStr">
        <is>
          <t>Classification</t>
        </is>
      </c>
    </row>
    <row r="2038">
      <c r="A2038" s="2" t="inlineStr">
        <is>
          <t>Downer</t>
        </is>
      </c>
      <c r="B2038" s="2" t="inlineStr">
        <is>
          <t>REV_Utilities Support</t>
        </is>
      </c>
      <c r="C2038" s="2" t="inlineStr">
        <is>
          <t>Branch</t>
        </is>
      </c>
      <c r="D2038" s="2" t="inlineStr">
        <is>
          <t>L9.DNZJ.63990</t>
        </is>
      </c>
      <c r="E2038" s="2" t="inlineStr">
        <is>
          <t>UTLSUPP</t>
        </is>
      </c>
      <c r="M2038" s="2" t="inlineStr">
        <is>
          <t>North Ryde</t>
        </is>
      </c>
      <c r="N2038" s="2" t="inlineStr">
        <is>
          <t>Australia</t>
        </is>
      </c>
      <c r="P2038" s="2" t="inlineStr">
        <is>
          <t>Operational Control</t>
        </is>
      </c>
      <c r="Q2038" s="2" t="inlineStr">
        <is>
          <t>Operational Control</t>
        </is>
      </c>
      <c r="R2038" s="2" t="inlineStr">
        <is>
          <t>Energy and Utilities (EU)</t>
        </is>
      </c>
      <c r="S2038" s="2" t="inlineStr">
        <is>
          <t>Downer</t>
        </is>
      </c>
      <c r="T2038" s="2" t="n">
        <v>100</v>
      </c>
      <c r="W2038" s="2" t="inlineStr">
        <is>
          <t>Classification</t>
        </is>
      </c>
    </row>
    <row r="2039">
      <c r="A2039" s="2" t="inlineStr">
        <is>
          <t>Downer</t>
        </is>
      </c>
      <c r="B2039" s="2" t="inlineStr">
        <is>
          <t>REV_VEC Contracting</t>
        </is>
      </c>
      <c r="C2039" s="2" t="inlineStr">
        <is>
          <t>Branch</t>
        </is>
      </c>
      <c r="D2039" s="2" t="inlineStr">
        <is>
          <t>L9.J.170833</t>
        </is>
      </c>
      <c r="E2039" s="2" t="inlineStr">
        <is>
          <t>TIVEC</t>
        </is>
      </c>
      <c r="M2039" s="2" t="inlineStr">
        <is>
          <t>North Ryde</t>
        </is>
      </c>
      <c r="N2039" s="2" t="inlineStr">
        <is>
          <t>Australia</t>
        </is>
      </c>
      <c r="P2039" s="2" t="inlineStr">
        <is>
          <t>Operational Control</t>
        </is>
      </c>
      <c r="Q2039" s="2" t="inlineStr">
        <is>
          <t>Operational Control</t>
        </is>
      </c>
      <c r="R2039" s="2" t="inlineStr">
        <is>
          <t>Transport &amp; Infrastructure (T&amp;I)</t>
        </is>
      </c>
      <c r="S2039" s="2" t="inlineStr">
        <is>
          <t>Downer</t>
        </is>
      </c>
      <c r="T2039" s="2" t="n">
        <v>100</v>
      </c>
      <c r="W2039" s="2" t="inlineStr">
        <is>
          <t>Classification</t>
        </is>
      </c>
    </row>
    <row r="2040">
      <c r="A2040" s="2" t="inlineStr">
        <is>
          <t>Downer</t>
        </is>
      </c>
      <c r="B2040" s="2" t="inlineStr">
        <is>
          <t>REV_Water</t>
        </is>
      </c>
      <c r="C2040" s="2" t="inlineStr">
        <is>
          <t>Other</t>
        </is>
      </c>
      <c r="D2040" s="2" t="inlineStr">
        <is>
          <t>L9.J.39220126</t>
        </is>
      </c>
      <c r="E2040" s="2" t="inlineStr">
        <is>
          <t>L9.J.39220126</t>
        </is>
      </c>
      <c r="M2040" s="2" t="inlineStr">
        <is>
          <t>North Ryde</t>
        </is>
      </c>
      <c r="N2040" s="2" t="inlineStr">
        <is>
          <t>Australia</t>
        </is>
      </c>
      <c r="P2040" s="2" t="inlineStr">
        <is>
          <t>Operational Control</t>
        </is>
      </c>
      <c r="Q2040" s="2" t="inlineStr">
        <is>
          <t>Operational Control</t>
        </is>
      </c>
      <c r="R2040" s="2" t="inlineStr">
        <is>
          <t>Energy and Utilities (EU)</t>
        </is>
      </c>
      <c r="S2040" s="2" t="inlineStr">
        <is>
          <t>Downer</t>
        </is>
      </c>
      <c r="T2040" s="2" t="n">
        <v>100</v>
      </c>
      <c r="W2040" s="2" t="inlineStr">
        <is>
          <t>Classification</t>
        </is>
      </c>
    </row>
    <row r="2041">
      <c r="A2041" s="2" t="inlineStr">
        <is>
          <t>Downer</t>
        </is>
      </c>
      <c r="B2041" s="2" t="inlineStr">
        <is>
          <t>REV_Water &amp; Automation NZ</t>
        </is>
      </c>
      <c r="C2041" s="2" t="inlineStr">
        <is>
          <t>Branch</t>
        </is>
      </c>
      <c r="D2041" s="2" t="inlineStr">
        <is>
          <t>L9.DNZJ.56906</t>
        </is>
      </c>
      <c r="E2041" s="2" t="inlineStr">
        <is>
          <t>UTLWANZ</t>
        </is>
      </c>
      <c r="M2041" s="2" t="inlineStr">
        <is>
          <t>North Ryde</t>
        </is>
      </c>
      <c r="N2041" s="2" t="inlineStr">
        <is>
          <t>Australia</t>
        </is>
      </c>
      <c r="P2041" s="2" t="inlineStr">
        <is>
          <t>Operational Control</t>
        </is>
      </c>
      <c r="Q2041" s="2" t="inlineStr">
        <is>
          <t>Operational Control</t>
        </is>
      </c>
      <c r="R2041" s="2" t="inlineStr">
        <is>
          <t>Energy and Utilities (EU)</t>
        </is>
      </c>
      <c r="S2041" s="2" t="inlineStr">
        <is>
          <t>Downer</t>
        </is>
      </c>
      <c r="T2041" s="2" t="n">
        <v>100</v>
      </c>
      <c r="W2041" s="2" t="inlineStr">
        <is>
          <t>Classification</t>
        </is>
      </c>
    </row>
    <row r="2042">
      <c r="A2042" s="2" t="inlineStr">
        <is>
          <t>Downer</t>
        </is>
      </c>
      <c r="B2042" s="2" t="inlineStr">
        <is>
          <t>REV_Water Services AU</t>
        </is>
      </c>
      <c r="C2042" s="2" t="inlineStr">
        <is>
          <t>Branch</t>
        </is>
      </c>
      <c r="D2042" s="2" t="inlineStr">
        <is>
          <t>L9.J.241210</t>
        </is>
      </c>
      <c r="E2042" s="2" t="inlineStr">
        <is>
          <t>UTLWSAU</t>
        </is>
      </c>
      <c r="M2042" s="2" t="inlineStr">
        <is>
          <t>North Ryde</t>
        </is>
      </c>
      <c r="N2042" s="2" t="inlineStr">
        <is>
          <t>Australia</t>
        </is>
      </c>
      <c r="P2042" s="2" t="inlineStr">
        <is>
          <t>Operational Control</t>
        </is>
      </c>
      <c r="Q2042" s="2" t="inlineStr">
        <is>
          <t>Operational Control</t>
        </is>
      </c>
      <c r="R2042" s="2" t="inlineStr">
        <is>
          <t>Energy and Utilities (EU)</t>
        </is>
      </c>
      <c r="S2042" s="2" t="inlineStr">
        <is>
          <t>Downer</t>
        </is>
      </c>
      <c r="T2042" s="2" t="n">
        <v>100</v>
      </c>
      <c r="W2042" s="2" t="inlineStr">
        <is>
          <t>Classification</t>
        </is>
      </c>
    </row>
    <row r="2043">
      <c r="A2043" s="2" t="inlineStr">
        <is>
          <t>Downer</t>
        </is>
      </c>
      <c r="B2043" s="2" t="inlineStr">
        <is>
          <t>RFU - Power Systems - East EU Subcontractors</t>
        </is>
      </c>
      <c r="C2043" s="2" t="inlineStr">
        <is>
          <t>Other</t>
        </is>
      </c>
      <c r="D2043" s="2" t="inlineStr">
        <is>
          <t>L9.J.24150015</t>
        </is>
      </c>
      <c r="E2043" s="2" t="inlineStr">
        <is>
          <t>L9.J.24150015</t>
        </is>
      </c>
      <c r="M2043" s="2" t="inlineStr">
        <is>
          <t>North Ryde</t>
        </is>
      </c>
      <c r="N2043" s="2" t="inlineStr">
        <is>
          <t>Australia</t>
        </is>
      </c>
      <c r="P2043" s="2" t="inlineStr">
        <is>
          <t>Operational Control</t>
        </is>
      </c>
      <c r="Q2043" s="2" t="inlineStr">
        <is>
          <t>Operational Control</t>
        </is>
      </c>
      <c r="R2043" s="2" t="inlineStr">
        <is>
          <t>Energy and Utilities (EU)</t>
        </is>
      </c>
      <c r="S2043" s="2" t="inlineStr">
        <is>
          <t>Downer</t>
        </is>
      </c>
      <c r="T2043" s="2" t="n">
        <v>100</v>
      </c>
      <c r="W2043" s="2" t="inlineStr">
        <is>
          <t>Classification</t>
        </is>
      </c>
    </row>
    <row r="2044">
      <c r="A2044" s="2" t="inlineStr">
        <is>
          <t>Downer</t>
        </is>
      </c>
      <c r="B2044" s="2" t="inlineStr">
        <is>
          <t>Richlands</t>
        </is>
      </c>
      <c r="C2044" s="2" t="inlineStr">
        <is>
          <t>Depot</t>
        </is>
      </c>
      <c r="D2044" s="2" t="inlineStr">
        <is>
          <t>L9.ENG.340.14505</t>
        </is>
      </c>
      <c r="E2044" s="2" t="n">
        <v>2023</v>
      </c>
      <c r="F2044" s="2" t="n">
        <v>247</v>
      </c>
      <c r="H2044" s="2" t="inlineStr">
        <is>
          <t>145 Archerfield Rd</t>
        </is>
      </c>
      <c r="I2044" s="2" t="inlineStr">
        <is>
          <t>Richlands</t>
        </is>
      </c>
      <c r="J2044" s="2" t="inlineStr">
        <is>
          <t>QLD</t>
        </is>
      </c>
      <c r="K2044" s="2" t="n">
        <v>4077</v>
      </c>
      <c r="L2044" s="2" t="inlineStr">
        <is>
          <t>Australia</t>
        </is>
      </c>
      <c r="M2044" s="2" t="inlineStr">
        <is>
          <t>Queensland</t>
        </is>
      </c>
      <c r="N2044" s="2" t="inlineStr">
        <is>
          <t>Australia</t>
        </is>
      </c>
      <c r="P2044" s="2" t="inlineStr">
        <is>
          <t>Operational Control</t>
        </is>
      </c>
      <c r="Q2044" s="2" t="inlineStr">
        <is>
          <t>Operational Control</t>
        </is>
      </c>
      <c r="R2044" s="2" t="inlineStr">
        <is>
          <t>Energy and Utilities (EU)</t>
        </is>
      </c>
      <c r="S2044" s="2" t="inlineStr">
        <is>
          <t>Downer</t>
        </is>
      </c>
      <c r="T2044" s="2" t="n">
        <v>100</v>
      </c>
      <c r="W2044" s="2" t="inlineStr">
        <is>
          <t>Classification</t>
        </is>
      </c>
      <c r="X2044" s="2" t="n">
        <v>-27.58007</v>
      </c>
      <c r="Y2044" s="2" t="n">
        <v>152.956007</v>
      </c>
      <c r="Z2044" s="2" t="n">
        <v>243</v>
      </c>
    </row>
    <row r="2045">
      <c r="A2045" s="2" t="inlineStr">
        <is>
          <t>Downer</t>
        </is>
      </c>
      <c r="B2045" s="2" t="inlineStr">
        <is>
          <t>Ringway</t>
        </is>
      </c>
      <c r="C2045" s="2" t="inlineStr">
        <is>
          <t>Other</t>
        </is>
      </c>
      <c r="D2045" s="2" t="inlineStr">
        <is>
          <t>L9.DNZJ.313250</t>
        </is>
      </c>
      <c r="E2045" s="2" t="n">
        <v>313250</v>
      </c>
      <c r="H2045" s="2" t="inlineStr">
        <is>
          <t>130 Kerrs Road</t>
        </is>
      </c>
      <c r="I2045" s="2" t="inlineStr">
        <is>
          <t>Wiri</t>
        </is>
      </c>
      <c r="J2045" s="2" t="inlineStr">
        <is>
          <t>Auckland</t>
        </is>
      </c>
      <c r="K2045" s="2" t="n">
        <v>2104</v>
      </c>
      <c r="L2045" s="2" t="inlineStr">
        <is>
          <t>New Zealand</t>
        </is>
      </c>
      <c r="M2045" s="2" t="inlineStr">
        <is>
          <t>Manurewa</t>
        </is>
      </c>
      <c r="N2045" s="2" t="inlineStr">
        <is>
          <t>New Zealand</t>
        </is>
      </c>
      <c r="P2045" s="2" t="inlineStr">
        <is>
          <t>Operational Control</t>
        </is>
      </c>
      <c r="Q2045" s="2" t="inlineStr">
        <is>
          <t>Operational Control</t>
        </is>
      </c>
      <c r="R2045" s="2" t="inlineStr">
        <is>
          <t>Transport &amp; Infrastructure (T&amp;I)</t>
        </is>
      </c>
      <c r="S2045" s="2" t="inlineStr">
        <is>
          <t>Downer</t>
        </is>
      </c>
      <c r="T2045" s="2" t="n">
        <v>100</v>
      </c>
      <c r="W2045" s="2" t="inlineStr">
        <is>
          <t>Classification</t>
        </is>
      </c>
      <c r="X2045" s="2" t="n">
        <v>-37.0083</v>
      </c>
      <c r="Y2045" s="2" t="n">
        <v>174.8705</v>
      </c>
    </row>
    <row r="2046">
      <c r="A2046" s="2" t="inlineStr">
        <is>
          <t>Downer</t>
        </is>
      </c>
      <c r="B2046" s="2" t="inlineStr">
        <is>
          <t>Riversdale Chip Production</t>
        </is>
      </c>
      <c r="C2046" s="2" t="inlineStr">
        <is>
          <t>Other</t>
        </is>
      </c>
      <c r="D2046" s="2" t="inlineStr">
        <is>
          <t>L9.DNZJ.313450</t>
        </is>
      </c>
      <c r="E2046" s="2" t="n">
        <v>313450</v>
      </c>
      <c r="M2046" s="2" t="inlineStr">
        <is>
          <t>Manurewa</t>
        </is>
      </c>
      <c r="N2046" s="2" t="inlineStr">
        <is>
          <t>New Zealand</t>
        </is>
      </c>
      <c r="P2046" s="2" t="inlineStr">
        <is>
          <t>Operational Control</t>
        </is>
      </c>
      <c r="Q2046" s="2" t="inlineStr">
        <is>
          <t>Operational Control</t>
        </is>
      </c>
      <c r="R2046" s="2" t="inlineStr">
        <is>
          <t>Transport &amp; Infrastructure (T&amp;I)</t>
        </is>
      </c>
      <c r="S2046" s="2" t="inlineStr">
        <is>
          <t>Downer</t>
        </is>
      </c>
      <c r="T2046" s="2" t="n">
        <v>100</v>
      </c>
      <c r="W2046" s="2" t="inlineStr">
        <is>
          <t>Classification</t>
        </is>
      </c>
    </row>
    <row r="2047">
      <c r="A2047" s="2" t="inlineStr">
        <is>
          <t>Downer</t>
        </is>
      </c>
      <c r="B2047" s="2" t="inlineStr">
        <is>
          <t>RMA Management</t>
        </is>
      </c>
      <c r="C2047" s="2" t="inlineStr">
        <is>
          <t>Other</t>
        </is>
      </c>
      <c r="D2047" s="2" t="inlineStr">
        <is>
          <t>L9.DNZ.810.10.128</t>
        </is>
      </c>
      <c r="E2047" s="2" t="n">
        <v>10128</v>
      </c>
      <c r="F2047" s="2" t="n">
        <v>10128</v>
      </c>
      <c r="G2047" s="2" t="inlineStr">
        <is>
          <t>SI-NZF-10.128 RMA Management</t>
        </is>
      </c>
      <c r="M2047" s="2" t="inlineStr">
        <is>
          <t>Wellington</t>
        </is>
      </c>
      <c r="N2047" s="2" t="inlineStr">
        <is>
          <t>New Zealand</t>
        </is>
      </c>
      <c r="P2047" s="2" t="inlineStr">
        <is>
          <t>Operational Control</t>
        </is>
      </c>
      <c r="Q2047" s="2" t="inlineStr">
        <is>
          <t>Operational Control</t>
        </is>
      </c>
      <c r="R2047" s="2" t="inlineStr">
        <is>
          <t>Social Infra &amp; Citizen Serv (SICS)</t>
        </is>
      </c>
      <c r="S2047" s="2" t="inlineStr">
        <is>
          <t>Downer</t>
        </is>
      </c>
      <c r="T2047" s="2" t="n">
        <v>100</v>
      </c>
      <c r="W2047" s="2" t="inlineStr">
        <is>
          <t>Classification</t>
        </is>
      </c>
    </row>
    <row r="2048">
      <c r="A2048" s="2" t="inlineStr">
        <is>
          <t>Downer</t>
        </is>
      </c>
      <c r="B2048" s="2" t="inlineStr">
        <is>
          <t>Rooksby St, Gladstone</t>
        </is>
      </c>
      <c r="C2048" s="2" t="inlineStr">
        <is>
          <t>Office</t>
        </is>
      </c>
      <c r="D2048" s="2" t="inlineStr">
        <is>
          <t>L9.J.38215021</t>
        </is>
      </c>
      <c r="E2048" s="2" t="inlineStr">
        <is>
          <t>ASV-363.376.302.420</t>
        </is>
      </c>
      <c r="F2048" s="2" t="n">
        <v>22</v>
      </c>
      <c r="G2048" s="2" t="inlineStr">
        <is>
          <t>Bensted St, Gladstone moved to 7 Rooksby St Gladstone</t>
        </is>
      </c>
      <c r="H2048" s="2" t="inlineStr">
        <is>
          <t>7 Rooksby Street</t>
        </is>
      </c>
      <c r="I2048" s="2" t="inlineStr">
        <is>
          <t>Gladstone</t>
        </is>
      </c>
      <c r="J2048" s="2" t="inlineStr">
        <is>
          <t>QLD</t>
        </is>
      </c>
      <c r="K2048" s="2" t="n">
        <v>4680</v>
      </c>
      <c r="L2048" s="2" t="inlineStr">
        <is>
          <t>Australia</t>
        </is>
      </c>
      <c r="M2048" s="2" t="inlineStr">
        <is>
          <t>Queensland</t>
        </is>
      </c>
      <c r="N2048" s="2" t="inlineStr">
        <is>
          <t>Australia</t>
        </is>
      </c>
      <c r="P2048" s="2" t="inlineStr">
        <is>
          <t>Operational Control</t>
        </is>
      </c>
      <c r="Q2048" s="2" t="inlineStr">
        <is>
          <t>Operational Control</t>
        </is>
      </c>
      <c r="R2048" s="2" t="inlineStr">
        <is>
          <t>Energy and Utilities (EU)</t>
        </is>
      </c>
      <c r="S2048" s="2" t="inlineStr">
        <is>
          <t>Downer</t>
        </is>
      </c>
      <c r="T2048" s="2" t="n">
        <v>100</v>
      </c>
      <c r="W2048" s="2" t="inlineStr">
        <is>
          <t>Classification</t>
        </is>
      </c>
      <c r="X2048" s="2" t="n">
        <v>-23.858</v>
      </c>
      <c r="Y2048" s="2" t="n">
        <v>151.227</v>
      </c>
      <c r="Z2048" s="2" t="n">
        <v>692</v>
      </c>
    </row>
    <row r="2049">
      <c r="A2049" s="2" t="inlineStr">
        <is>
          <t>Downer</t>
        </is>
      </c>
      <c r="B2049" s="2" t="inlineStr">
        <is>
          <t>Rotorua Private Hospitals - 45002537</t>
        </is>
      </c>
      <c r="C2049" s="2" t="inlineStr">
        <is>
          <t>Other</t>
        </is>
      </c>
      <c r="D2049" s="2" t="inlineStr">
        <is>
          <t>L9.S.24000145</t>
        </is>
      </c>
      <c r="E2049" s="2" t="n">
        <v>2000004533</v>
      </c>
      <c r="H2049" s="2" t="inlineStr">
        <is>
          <t>130 Kerrs Road</t>
        </is>
      </c>
      <c r="I2049" s="2" t="inlineStr">
        <is>
          <t>Wiri</t>
        </is>
      </c>
      <c r="J2049" s="2" t="inlineStr">
        <is>
          <t>Auckland</t>
        </is>
      </c>
      <c r="K2049" s="2" t="n">
        <v>2104</v>
      </c>
      <c r="L2049" s="2" t="inlineStr">
        <is>
          <t>New Zealand</t>
        </is>
      </c>
      <c r="M2049" s="2" t="inlineStr">
        <is>
          <t>Manurewa</t>
        </is>
      </c>
      <c r="N2049" s="2" t="inlineStr">
        <is>
          <t>New Zealand</t>
        </is>
      </c>
      <c r="P2049" s="2" t="inlineStr">
        <is>
          <t>Operational Control</t>
        </is>
      </c>
      <c r="Q2049" s="2" t="inlineStr">
        <is>
          <t>Operational Control</t>
        </is>
      </c>
      <c r="R2049" s="2" t="inlineStr">
        <is>
          <t>Social Infra &amp; Citizen Serv (SICS)</t>
        </is>
      </c>
      <c r="S2049" s="2" t="inlineStr">
        <is>
          <t>Downer</t>
        </is>
      </c>
      <c r="T2049" s="2" t="n">
        <v>100</v>
      </c>
      <c r="W2049" s="2" t="inlineStr">
        <is>
          <t>Classification</t>
        </is>
      </c>
      <c r="X2049" s="2" t="n">
        <v>-37.0083</v>
      </c>
      <c r="Y2049" s="2" t="n">
        <v>174.8705</v>
      </c>
    </row>
    <row r="2050">
      <c r="A2050" s="2" t="inlineStr">
        <is>
          <t>Downer</t>
        </is>
      </c>
      <c r="B2050" s="2" t="inlineStr">
        <is>
          <t>ROTOTUNA HIGH SCH D&amp;C</t>
        </is>
      </c>
      <c r="C2050" s="2" t="inlineStr">
        <is>
          <t>Other</t>
        </is>
      </c>
      <c r="D2050" s="2" t="inlineStr">
        <is>
          <t>L9.DNZ.HC0350</t>
        </is>
      </c>
      <c r="E2050" s="2" t="inlineStr">
        <is>
          <t>JP_HC0350</t>
        </is>
      </c>
      <c r="M2050" s="2" t="inlineStr">
        <is>
          <t>Manurewa</t>
        </is>
      </c>
      <c r="N2050" s="2" t="inlineStr">
        <is>
          <t>New Zealand</t>
        </is>
      </c>
      <c r="P2050" s="2" t="inlineStr">
        <is>
          <t>Operational Control</t>
        </is>
      </c>
      <c r="Q2050" s="2" t="inlineStr">
        <is>
          <t>Operational Control</t>
        </is>
      </c>
      <c r="R2050" s="2" t="inlineStr">
        <is>
          <t>Transport &amp; Infrastructure (T&amp;I)</t>
        </is>
      </c>
      <c r="S2050" s="2" t="inlineStr">
        <is>
          <t>Downer</t>
        </is>
      </c>
      <c r="T2050" s="2" t="n">
        <v>100</v>
      </c>
      <c r="W2050" s="2" t="inlineStr">
        <is>
          <t>Classification</t>
        </is>
      </c>
    </row>
    <row r="2051">
      <c r="A2051" s="2" t="inlineStr">
        <is>
          <t>Downer</t>
        </is>
      </c>
      <c r="B2051" s="2" t="inlineStr">
        <is>
          <t>RPQ Mackay Depot</t>
        </is>
      </c>
      <c r="C2051" s="2" t="inlineStr">
        <is>
          <t>Depot</t>
        </is>
      </c>
      <c r="D2051" s="2" t="inlineStr">
        <is>
          <t>L9.J.173130</t>
        </is>
      </c>
      <c r="E2051" s="2" t="n">
        <v>173130</v>
      </c>
      <c r="G2051" s="2" t="inlineStr">
        <is>
          <t>TI-173130 - RPQ Asphalt Mackay</t>
        </is>
      </c>
      <c r="M2051" s="2" t="inlineStr">
        <is>
          <t>Mackay</t>
        </is>
      </c>
      <c r="N2051" s="2" t="inlineStr">
        <is>
          <t>Australia</t>
        </is>
      </c>
      <c r="P2051" s="2" t="inlineStr">
        <is>
          <t>Operational Control</t>
        </is>
      </c>
      <c r="Q2051" s="2" t="inlineStr">
        <is>
          <t>Operational Control</t>
        </is>
      </c>
      <c r="R2051" s="2" t="inlineStr">
        <is>
          <t>Transport &amp; Infrastructure (T&amp;I)</t>
        </is>
      </c>
      <c r="S2051" s="2" t="inlineStr">
        <is>
          <t>Downer</t>
        </is>
      </c>
      <c r="T2051" s="2" t="n">
        <v>100</v>
      </c>
      <c r="W2051" s="2" t="inlineStr">
        <is>
          <t>Classification</t>
        </is>
      </c>
    </row>
    <row r="2052">
      <c r="A2052" s="2" t="inlineStr">
        <is>
          <t>Downer</t>
        </is>
      </c>
      <c r="B2052" s="2" t="inlineStr">
        <is>
          <t>RPQ NSW Chinderah</t>
        </is>
      </c>
      <c r="C2052" s="2" t="inlineStr">
        <is>
          <t>Depot</t>
        </is>
      </c>
      <c r="D2052" s="2" t="inlineStr">
        <is>
          <t>L9.J.171210</t>
        </is>
      </c>
      <c r="E2052" s="2" t="inlineStr">
        <is>
          <t>L9.J.171210</t>
        </is>
      </c>
      <c r="G2052" s="2" t="inlineStr">
        <is>
          <t>This was previously a part of NSW Spray Seal until separate depots were split out.</t>
        </is>
      </c>
      <c r="H2052" s="2" t="inlineStr">
        <is>
          <t>24 Ozone St</t>
        </is>
      </c>
      <c r="I2052" s="2" t="inlineStr">
        <is>
          <t>Chinderah</t>
        </is>
      </c>
      <c r="J2052" s="2" t="inlineStr">
        <is>
          <t>NSW</t>
        </is>
      </c>
      <c r="K2052" s="2" t="n">
        <v>2487</v>
      </c>
      <c r="L2052" s="2" t="inlineStr">
        <is>
          <t>Australia</t>
        </is>
      </c>
      <c r="M2052" s="2" t="inlineStr">
        <is>
          <t>New South Wales</t>
        </is>
      </c>
      <c r="N2052" s="2" t="inlineStr">
        <is>
          <t>Australia</t>
        </is>
      </c>
      <c r="P2052" s="2" t="inlineStr">
        <is>
          <t>Operational Control</t>
        </is>
      </c>
      <c r="Q2052" s="2" t="inlineStr">
        <is>
          <t>Operational Control</t>
        </is>
      </c>
      <c r="R2052" s="2" t="inlineStr">
        <is>
          <t>Transport &amp; Infrastructure (T&amp;I)</t>
        </is>
      </c>
      <c r="S2052" s="2" t="inlineStr">
        <is>
          <t>Downer</t>
        </is>
      </c>
      <c r="T2052" s="2" t="n">
        <v>100</v>
      </c>
      <c r="W2052" s="2" t="inlineStr">
        <is>
          <t>Classification</t>
        </is>
      </c>
      <c r="X2052" s="2" t="n">
        <v>-29.717988</v>
      </c>
      <c r="Y2052" s="2" t="n">
        <v>152.948332</v>
      </c>
      <c r="Z2052" s="2" t="n">
        <v>310</v>
      </c>
    </row>
    <row r="2053">
      <c r="A2053" s="2" t="inlineStr">
        <is>
          <t>Downer</t>
        </is>
      </c>
      <c r="B2053" s="2" t="inlineStr">
        <is>
          <t>RPQ NSW Lismore Depot</t>
        </is>
      </c>
      <c r="C2053" s="2" t="inlineStr">
        <is>
          <t>Depot</t>
        </is>
      </c>
      <c r="D2053" s="2" t="inlineStr">
        <is>
          <t>L9.J.170426</t>
        </is>
      </c>
      <c r="E2053" s="2" t="n">
        <v>170426</v>
      </c>
      <c r="G2053" s="2" t="inlineStr">
        <is>
          <t>We lease a portion of the quarry. Utilities are paid for by the quarry owner.
Note (26/11/2024): asset type is updated from asphalt plant to depot. Moved asphalt plant data to new Envizi location "Lismore Asphalt plant".
THIS SITE IS NOT THE ASPHALT PLANT SITE, BUT DEPOT FOR CREWS</t>
        </is>
      </c>
      <c r="H2053" s="2" t="inlineStr">
        <is>
          <t>60 Lancaster Dr</t>
        </is>
      </c>
      <c r="I2053" s="2" t="inlineStr">
        <is>
          <t>Goonellabah</t>
        </is>
      </c>
      <c r="K2053" s="2" t="n">
        <v>2480</v>
      </c>
      <c r="M2053" s="2" t="inlineStr">
        <is>
          <t>Lismore</t>
        </is>
      </c>
      <c r="N2053" s="2" t="inlineStr">
        <is>
          <t>Australia</t>
        </is>
      </c>
      <c r="P2053" s="2" t="inlineStr">
        <is>
          <t>Operational Control</t>
        </is>
      </c>
      <c r="Q2053" s="2" t="inlineStr">
        <is>
          <t>Operational Control</t>
        </is>
      </c>
      <c r="R2053" s="2" t="inlineStr">
        <is>
          <t>Transport &amp; Infrastructure (T&amp;I)</t>
        </is>
      </c>
      <c r="S2053" s="2" t="inlineStr">
        <is>
          <t>Downer</t>
        </is>
      </c>
      <c r="T2053" s="2" t="n">
        <v>100</v>
      </c>
      <c r="W2053" s="2" t="inlineStr">
        <is>
          <t>Classification</t>
        </is>
      </c>
    </row>
    <row r="2054">
      <c r="A2054" s="2" t="inlineStr">
        <is>
          <t>Downer</t>
        </is>
      </c>
      <c r="B2054" s="2" t="inlineStr">
        <is>
          <t>RPQ NSW Moree</t>
        </is>
      </c>
      <c r="C2054" s="2" t="inlineStr">
        <is>
          <t>Depot</t>
        </is>
      </c>
      <c r="D2054" s="2" t="inlineStr">
        <is>
          <t>L9.J.171220</t>
        </is>
      </c>
      <c r="E2054" s="2" t="inlineStr">
        <is>
          <t>L9.J.171220</t>
        </is>
      </c>
      <c r="G2054" s="2" t="inlineStr">
        <is>
          <t>This was previously a part of NSW Spray Seal until separate depots were split out.</t>
        </is>
      </c>
      <c r="H2054" s="2" t="inlineStr">
        <is>
          <t>122 Gwydir Str</t>
        </is>
      </c>
      <c r="I2054" s="2" t="inlineStr">
        <is>
          <t>Moree</t>
        </is>
      </c>
      <c r="J2054" s="2" t="inlineStr">
        <is>
          <t>NSW</t>
        </is>
      </c>
      <c r="K2054" s="2" t="n">
        <v>2400</v>
      </c>
      <c r="L2054" s="2" t="inlineStr">
        <is>
          <t>Australia</t>
        </is>
      </c>
      <c r="M2054" s="2" t="inlineStr">
        <is>
          <t>New South Wales</t>
        </is>
      </c>
      <c r="N2054" s="2" t="inlineStr">
        <is>
          <t>Australia</t>
        </is>
      </c>
      <c r="P2054" s="2" t="inlineStr">
        <is>
          <t>Operational Control</t>
        </is>
      </c>
      <c r="Q2054" s="2" t="inlineStr">
        <is>
          <t>Operational Control</t>
        </is>
      </c>
      <c r="R2054" s="2" t="inlineStr">
        <is>
          <t>Transport &amp; Infrastructure (T&amp;I)</t>
        </is>
      </c>
      <c r="S2054" s="2" t="inlineStr">
        <is>
          <t>Downer</t>
        </is>
      </c>
      <c r="T2054" s="2" t="n">
        <v>100</v>
      </c>
      <c r="W2054" s="2" t="inlineStr">
        <is>
          <t>Classification</t>
        </is>
      </c>
      <c r="X2054" s="2" t="n">
        <v>-29.717988</v>
      </c>
      <c r="Y2054" s="2" t="n">
        <v>152.948332</v>
      </c>
      <c r="Z2054" s="2" t="n">
        <v>310</v>
      </c>
    </row>
    <row r="2055">
      <c r="A2055" s="2" t="inlineStr">
        <is>
          <t>Downer</t>
        </is>
      </c>
      <c r="B2055" s="2" t="inlineStr">
        <is>
          <t>RPQ NSW South Grafton</t>
        </is>
      </c>
      <c r="C2055" s="2" t="inlineStr">
        <is>
          <t>Depot</t>
        </is>
      </c>
      <c r="D2055" s="2" t="inlineStr">
        <is>
          <t>L9.J.171215</t>
        </is>
      </c>
      <c r="E2055" s="2" t="inlineStr">
        <is>
          <t>L9.J.171215</t>
        </is>
      </c>
      <c r="G2055" s="2" t="inlineStr">
        <is>
          <t>This was previously a part of NSW Spray Seal until separate depots were split out.</t>
        </is>
      </c>
      <c r="H2055" s="2" t="inlineStr">
        <is>
          <t>3 Tyson Street</t>
        </is>
      </c>
      <c r="I2055" s="2" t="inlineStr">
        <is>
          <t>South Grafton</t>
        </is>
      </c>
      <c r="J2055" s="2" t="inlineStr">
        <is>
          <t>NSW</t>
        </is>
      </c>
      <c r="K2055" s="2" t="n">
        <v>2460</v>
      </c>
      <c r="L2055" s="2" t="inlineStr">
        <is>
          <t>Australia</t>
        </is>
      </c>
      <c r="M2055" s="2" t="inlineStr">
        <is>
          <t>New South Wales</t>
        </is>
      </c>
      <c r="N2055" s="2" t="inlineStr">
        <is>
          <t>Australia</t>
        </is>
      </c>
      <c r="P2055" s="2" t="inlineStr">
        <is>
          <t>Operational Control</t>
        </is>
      </c>
      <c r="Q2055" s="2" t="inlineStr">
        <is>
          <t>Operational Control</t>
        </is>
      </c>
      <c r="R2055" s="2" t="inlineStr">
        <is>
          <t>Transport &amp; Infrastructure (T&amp;I)</t>
        </is>
      </c>
      <c r="S2055" s="2" t="inlineStr">
        <is>
          <t>Downer</t>
        </is>
      </c>
      <c r="T2055" s="2" t="n">
        <v>100</v>
      </c>
      <c r="W2055" s="2" t="inlineStr">
        <is>
          <t>Classification</t>
        </is>
      </c>
      <c r="X2055" s="2" t="n">
        <v>-29.717988</v>
      </c>
      <c r="Y2055" s="2" t="n">
        <v>152.948332</v>
      </c>
      <c r="Z2055" s="2" t="n">
        <v>310</v>
      </c>
    </row>
    <row r="2056">
      <c r="A2056" s="2" t="inlineStr">
        <is>
          <t>Downer</t>
        </is>
      </c>
      <c r="B2056" s="2" t="inlineStr">
        <is>
          <t>RPQ Spray Seal</t>
        </is>
      </c>
      <c r="C2056" s="2" t="inlineStr">
        <is>
          <t>Depot</t>
        </is>
      </c>
      <c r="D2056" s="2" t="inlineStr">
        <is>
          <t>L9.J.171230</t>
        </is>
      </c>
      <c r="E2056" s="2" t="n">
        <v>171230</v>
      </c>
      <c r="G2056" s="2" t="inlineStr">
        <is>
          <t>Includes all depot and spray seal depots RPQ Queensland</t>
        </is>
      </c>
      <c r="H2056" s="2" t="inlineStr">
        <is>
          <t>66 Hugh Street</t>
        </is>
      </c>
      <c r="I2056" s="2" t="inlineStr">
        <is>
          <t>Pinkenba</t>
        </is>
      </c>
      <c r="J2056" s="2" t="inlineStr">
        <is>
          <t>QLD</t>
        </is>
      </c>
      <c r="K2056" s="2" t="n">
        <v>4008</v>
      </c>
      <c r="L2056" s="2" t="inlineStr">
        <is>
          <t>Australia</t>
        </is>
      </c>
      <c r="M2056" s="2" t="inlineStr">
        <is>
          <t>Queensland</t>
        </is>
      </c>
      <c r="N2056" s="2" t="inlineStr">
        <is>
          <t>Australia</t>
        </is>
      </c>
      <c r="P2056" s="2" t="inlineStr">
        <is>
          <t>Operational Control</t>
        </is>
      </c>
      <c r="Q2056" s="2" t="inlineStr">
        <is>
          <t>Operational Control</t>
        </is>
      </c>
      <c r="R2056" s="2" t="inlineStr">
        <is>
          <t>Transport &amp; Infrastructure (T&amp;I)</t>
        </is>
      </c>
      <c r="S2056" s="2" t="inlineStr">
        <is>
          <t>Downer</t>
        </is>
      </c>
      <c r="T2056" s="2" t="n">
        <v>100</v>
      </c>
      <c r="W2056" s="2" t="inlineStr">
        <is>
          <t>Classification</t>
        </is>
      </c>
      <c r="X2056" s="2" t="n">
        <v>-27.427598</v>
      </c>
      <c r="Y2056" s="2" t="n">
        <v>153.111754</v>
      </c>
      <c r="Z2056" s="2" t="n">
        <v>310</v>
      </c>
    </row>
    <row r="2057">
      <c r="A2057" s="2" t="inlineStr">
        <is>
          <t>Downer</t>
        </is>
      </c>
      <c r="B2057" s="2" t="inlineStr">
        <is>
          <t>RPQ Swanbank</t>
        </is>
      </c>
      <c r="C2057" s="2" t="inlineStr">
        <is>
          <t>Asphalt Plant</t>
        </is>
      </c>
      <c r="D2057" s="2" t="inlineStr">
        <is>
          <t>L9.J.171505</t>
        </is>
      </c>
      <c r="E2057" s="2" t="n">
        <v>171505</v>
      </c>
      <c r="H2057" s="2" t="inlineStr">
        <is>
          <t>206 - 258 Swanbank Road</t>
        </is>
      </c>
      <c r="I2057" s="2" t="inlineStr">
        <is>
          <t>Swanbank</t>
        </is>
      </c>
      <c r="J2057" s="2" t="inlineStr">
        <is>
          <t>QLD</t>
        </is>
      </c>
      <c r="K2057" s="2" t="n">
        <v>4306</v>
      </c>
      <c r="L2057" s="2" t="inlineStr">
        <is>
          <t>Australia</t>
        </is>
      </c>
      <c r="M2057" s="2" t="inlineStr">
        <is>
          <t>Queensland</t>
        </is>
      </c>
      <c r="N2057" s="2" t="inlineStr">
        <is>
          <t>Australia</t>
        </is>
      </c>
      <c r="P2057" s="2" t="inlineStr">
        <is>
          <t>Operational Control</t>
        </is>
      </c>
      <c r="Q2057" s="2" t="inlineStr">
        <is>
          <t>Operational Control</t>
        </is>
      </c>
      <c r="R2057" s="2" t="inlineStr">
        <is>
          <t>Transport &amp; Infrastructure (T&amp;I)</t>
        </is>
      </c>
      <c r="S2057" s="2" t="inlineStr">
        <is>
          <t>Downer</t>
        </is>
      </c>
      <c r="T2057" s="2" t="n">
        <v>100</v>
      </c>
      <c r="W2057" s="2" t="inlineStr">
        <is>
          <t>Classification</t>
        </is>
      </c>
      <c r="X2057" s="2" t="n">
        <v>-27.656127</v>
      </c>
      <c r="Y2057" s="2" t="n">
        <v>152.805873</v>
      </c>
      <c r="Z2057" s="2" t="n">
        <v>170</v>
      </c>
    </row>
    <row r="2058">
      <c r="A2058" s="2" t="inlineStr">
        <is>
          <t>Downer</t>
        </is>
      </c>
      <c r="B2058" s="2" t="inlineStr">
        <is>
          <t>RPQ Townsville</t>
        </is>
      </c>
      <c r="C2058" s="2" t="inlineStr">
        <is>
          <t>Depot</t>
        </is>
      </c>
      <c r="D2058" s="2" t="inlineStr">
        <is>
          <t>L9.J.171235</t>
        </is>
      </c>
      <c r="E2058" s="2" t="n">
        <v>171235</v>
      </c>
      <c r="H2058" s="2" t="inlineStr">
        <is>
          <t>181 Enterprise St</t>
        </is>
      </c>
      <c r="I2058" s="2" t="inlineStr">
        <is>
          <t>Bohle</t>
        </is>
      </c>
      <c r="J2058" s="2" t="inlineStr">
        <is>
          <t>QLD</t>
        </is>
      </c>
      <c r="K2058" s="2" t="n">
        <v>4818</v>
      </c>
      <c r="L2058" s="2" t="inlineStr">
        <is>
          <t>Australia</t>
        </is>
      </c>
      <c r="M2058" s="2" t="inlineStr">
        <is>
          <t>Queensland</t>
        </is>
      </c>
      <c r="N2058" s="2" t="inlineStr">
        <is>
          <t>Australia</t>
        </is>
      </c>
      <c r="P2058" s="2" t="inlineStr">
        <is>
          <t>Operational Control</t>
        </is>
      </c>
      <c r="Q2058" s="2" t="inlineStr">
        <is>
          <t>Operational Control</t>
        </is>
      </c>
      <c r="R2058" s="2" t="inlineStr">
        <is>
          <t>Transport &amp; Infrastructure (T&amp;I)</t>
        </is>
      </c>
      <c r="S2058" s="2" t="inlineStr">
        <is>
          <t>Downer</t>
        </is>
      </c>
      <c r="T2058" s="2" t="n">
        <v>100</v>
      </c>
      <c r="W2058" s="2" t="inlineStr">
        <is>
          <t>Classification</t>
        </is>
      </c>
      <c r="X2058" s="2" t="n">
        <v>-19.255021</v>
      </c>
      <c r="Y2058" s="2" t="n">
        <v>146.722741</v>
      </c>
      <c r="Z2058" s="2" t="n">
        <v>170</v>
      </c>
    </row>
    <row r="2059">
      <c r="A2059" s="2" t="inlineStr">
        <is>
          <t>Downer</t>
        </is>
      </c>
      <c r="B2059" s="2" t="inlineStr">
        <is>
          <t>Ruapehu People/Plant</t>
        </is>
      </c>
      <c r="C2059" s="2" t="inlineStr">
        <is>
          <t>Other</t>
        </is>
      </c>
      <c r="D2059" s="2" t="inlineStr">
        <is>
          <t>L9.DNZJ.66208</t>
        </is>
      </c>
      <c r="E2059" s="2" t="n">
        <v>66208</v>
      </c>
      <c r="H2059" s="2" t="inlineStr">
        <is>
          <t>130 Kerrs Road</t>
        </is>
      </c>
      <c r="I2059" s="2" t="inlineStr">
        <is>
          <t>Wiri</t>
        </is>
      </c>
      <c r="J2059" s="2" t="inlineStr">
        <is>
          <t>Auckland</t>
        </is>
      </c>
      <c r="K2059" s="2" t="n">
        <v>2104</v>
      </c>
      <c r="L2059" s="2" t="inlineStr">
        <is>
          <t>New Zealand</t>
        </is>
      </c>
      <c r="M2059" s="2" t="inlineStr">
        <is>
          <t>Manurewa</t>
        </is>
      </c>
      <c r="N2059" s="2" t="inlineStr">
        <is>
          <t>New Zealand</t>
        </is>
      </c>
      <c r="P2059" s="2" t="inlineStr">
        <is>
          <t>Operational Control</t>
        </is>
      </c>
      <c r="Q2059" s="2" t="inlineStr">
        <is>
          <t>Operational Control</t>
        </is>
      </c>
      <c r="R2059" s="2" t="inlineStr">
        <is>
          <t>Transport &amp; Infrastructure (T&amp;I)</t>
        </is>
      </c>
      <c r="S2059" s="2" t="inlineStr">
        <is>
          <t>Downer</t>
        </is>
      </c>
      <c r="T2059" s="2" t="n">
        <v>100</v>
      </c>
      <c r="W2059" s="2" t="inlineStr">
        <is>
          <t>Classification</t>
        </is>
      </c>
      <c r="X2059" s="2" t="n">
        <v>-37.0083</v>
      </c>
      <c r="Y2059" s="2" t="n">
        <v>174.8705</v>
      </c>
    </row>
    <row r="2060">
      <c r="A2060" s="2" t="inlineStr">
        <is>
          <t>Downer</t>
        </is>
      </c>
      <c r="B2060" s="2" t="inlineStr">
        <is>
          <t>Rural Connectivity Group (RCG) EU Subcontractors</t>
        </is>
      </c>
      <c r="C2060" s="2" t="inlineStr">
        <is>
          <t>Other</t>
        </is>
      </c>
      <c r="D2060" s="2" t="inlineStr">
        <is>
          <t>L9.DNZ.810.20793</t>
        </is>
      </c>
      <c r="E2060" s="2" t="inlineStr">
        <is>
          <t>L9.DNZ.810.20793</t>
        </is>
      </c>
      <c r="M2060" s="2" t="inlineStr">
        <is>
          <t>Auckland City</t>
        </is>
      </c>
      <c r="N2060" s="2" t="inlineStr">
        <is>
          <t>New Zealand</t>
        </is>
      </c>
      <c r="P2060" s="2" t="inlineStr">
        <is>
          <t>Operational Control</t>
        </is>
      </c>
      <c r="Q2060" s="2" t="inlineStr">
        <is>
          <t>Operational Control</t>
        </is>
      </c>
      <c r="R2060" s="2" t="inlineStr">
        <is>
          <t>Energy and Utilities (EU)</t>
        </is>
      </c>
      <c r="S2060" s="2" t="inlineStr">
        <is>
          <t>Downer</t>
        </is>
      </c>
      <c r="T2060" s="2" t="n">
        <v>100</v>
      </c>
      <c r="W2060" s="2" t="inlineStr">
        <is>
          <t>Classification</t>
        </is>
      </c>
    </row>
    <row r="2061">
      <c r="A2061" s="2" t="inlineStr">
        <is>
          <t>Downer</t>
        </is>
      </c>
      <c r="B2061" s="2" t="inlineStr">
        <is>
          <t>Santos EU Subcontractors</t>
        </is>
      </c>
      <c r="C2061" s="2" t="inlineStr">
        <is>
          <t>Other</t>
        </is>
      </c>
      <c r="D2061" s="2" t="inlineStr">
        <is>
          <t>L9.J.38250025</t>
        </is>
      </c>
      <c r="E2061" s="2" t="inlineStr">
        <is>
          <t>L9.J.38250025</t>
        </is>
      </c>
      <c r="M2061" s="2" t="inlineStr">
        <is>
          <t>North Ryde</t>
        </is>
      </c>
      <c r="N2061" s="2" t="inlineStr">
        <is>
          <t>Australia</t>
        </is>
      </c>
      <c r="P2061" s="2" t="inlineStr">
        <is>
          <t>Operational Control</t>
        </is>
      </c>
      <c r="Q2061" s="2" t="inlineStr">
        <is>
          <t>Operational Control</t>
        </is>
      </c>
      <c r="R2061" s="2" t="inlineStr">
        <is>
          <t>Energy and Utilities (EU)</t>
        </is>
      </c>
      <c r="S2061" s="2" t="inlineStr">
        <is>
          <t>Downer</t>
        </is>
      </c>
      <c r="T2061" s="2" t="n">
        <v>100</v>
      </c>
      <c r="W2061" s="2" t="inlineStr">
        <is>
          <t>Classification</t>
        </is>
      </c>
    </row>
    <row r="2062">
      <c r="A2062" s="2" t="inlineStr">
        <is>
          <t>Downer</t>
        </is>
      </c>
      <c r="B2062" s="2" t="inlineStr">
        <is>
          <t>SAXTON CREEK UPGRADE STAGE 4</t>
        </is>
      </c>
      <c r="C2062" s="2" t="inlineStr">
        <is>
          <t>Other</t>
        </is>
      </c>
      <c r="D2062" s="2" t="inlineStr">
        <is>
          <t>L9.DNZJ.DS2667</t>
        </is>
      </c>
      <c r="E2062" s="2" t="inlineStr">
        <is>
          <t>JP_DS2667</t>
        </is>
      </c>
      <c r="H2062" s="2" t="inlineStr">
        <is>
          <t>6 Dorset Street</t>
        </is>
      </c>
      <c r="I2062" s="2" t="inlineStr">
        <is>
          <t>Richmond</t>
        </is>
      </c>
      <c r="J2062" s="2" t="inlineStr">
        <is>
          <t>Richmond</t>
        </is>
      </c>
      <c r="K2062" s="2" t="n">
        <v>7020</v>
      </c>
      <c r="L2062" s="2" t="inlineStr">
        <is>
          <t>New Zealand</t>
        </is>
      </c>
      <c r="M2062" s="2" t="inlineStr">
        <is>
          <t>Brightwater</t>
        </is>
      </c>
      <c r="N2062" s="2" t="inlineStr">
        <is>
          <t>New Zealand</t>
        </is>
      </c>
      <c r="P2062" s="2" t="inlineStr">
        <is>
          <t>Operational Control</t>
        </is>
      </c>
      <c r="Q2062" s="2" t="inlineStr">
        <is>
          <t>Operational Control</t>
        </is>
      </c>
      <c r="R2062" s="2" t="inlineStr">
        <is>
          <t>Transport &amp; Infrastructure (T&amp;I)</t>
        </is>
      </c>
      <c r="S2062" s="2" t="inlineStr">
        <is>
          <t>Downer</t>
        </is>
      </c>
      <c r="T2062" s="2" t="n">
        <v>100</v>
      </c>
      <c r="W2062" s="2" t="inlineStr">
        <is>
          <t>Classification</t>
        </is>
      </c>
      <c r="X2062" s="2" t="n">
        <v>-41.3419</v>
      </c>
      <c r="Y2062" s="2" t="n">
        <v>173.1836</v>
      </c>
    </row>
    <row r="2063">
      <c r="A2063" s="2" t="inlineStr">
        <is>
          <t>Downer</t>
        </is>
      </c>
      <c r="B2063" s="2" t="inlineStr">
        <is>
          <t>SC3.1 - Purchased Goods and Services</t>
        </is>
      </c>
      <c r="C2063" s="2" t="inlineStr">
        <is>
          <t>Branch</t>
        </is>
      </c>
      <c r="D2063" s="2" t="inlineStr">
        <is>
          <t>L9.J.106</t>
        </is>
      </c>
      <c r="M2063" s="2" t="inlineStr">
        <is>
          <t>North Ryde</t>
        </is>
      </c>
      <c r="N2063" s="2" t="inlineStr">
        <is>
          <t>Australia</t>
        </is>
      </c>
      <c r="P2063" s="2" t="inlineStr">
        <is>
          <t>Operational Control</t>
        </is>
      </c>
      <c r="Q2063" s="2" t="inlineStr">
        <is>
          <t>Operational Control</t>
        </is>
      </c>
      <c r="R2063" s="2" t="inlineStr">
        <is>
          <t>Corporate</t>
        </is>
      </c>
      <c r="S2063" s="2" t="inlineStr">
        <is>
          <t>Downer</t>
        </is>
      </c>
      <c r="T2063" s="2" t="n">
        <v>100</v>
      </c>
      <c r="W2063" s="2" t="inlineStr">
        <is>
          <t>Classification</t>
        </is>
      </c>
    </row>
    <row r="2064">
      <c r="A2064" s="2" t="inlineStr">
        <is>
          <t>Downer</t>
        </is>
      </c>
      <c r="B2064" s="2" t="inlineStr">
        <is>
          <t>SC3.10 - Processing of sold products</t>
        </is>
      </c>
      <c r="C2064" s="2" t="inlineStr">
        <is>
          <t>Branch</t>
        </is>
      </c>
      <c r="D2064" s="2" t="inlineStr">
        <is>
          <t>L9.J.109206</t>
        </is>
      </c>
      <c r="M2064" s="2" t="inlineStr">
        <is>
          <t>North Ryde</t>
        </is>
      </c>
      <c r="N2064" s="2" t="inlineStr">
        <is>
          <t>Australia</t>
        </is>
      </c>
      <c r="P2064" s="2" t="inlineStr">
        <is>
          <t>Operational Control</t>
        </is>
      </c>
      <c r="Q2064" s="2" t="inlineStr">
        <is>
          <t>Operational Control</t>
        </is>
      </c>
      <c r="R2064" s="2" t="inlineStr">
        <is>
          <t>Corporate</t>
        </is>
      </c>
      <c r="S2064" s="2" t="inlineStr">
        <is>
          <t>Downer</t>
        </is>
      </c>
      <c r="T2064" s="2" t="n">
        <v>100</v>
      </c>
      <c r="W2064" s="2" t="inlineStr">
        <is>
          <t>Classification</t>
        </is>
      </c>
    </row>
    <row r="2065">
      <c r="A2065" s="2" t="inlineStr">
        <is>
          <t>Downer</t>
        </is>
      </c>
      <c r="B2065" s="2" t="inlineStr">
        <is>
          <t>SC3.11 - Use of sold products</t>
        </is>
      </c>
      <c r="C2065" s="2" t="inlineStr">
        <is>
          <t>Branch</t>
        </is>
      </c>
      <c r="D2065" s="2" t="inlineStr">
        <is>
          <t>L9.J.105</t>
        </is>
      </c>
      <c r="M2065" s="2" t="inlineStr">
        <is>
          <t>North Ryde</t>
        </is>
      </c>
      <c r="N2065" s="2" t="inlineStr">
        <is>
          <t>Australia</t>
        </is>
      </c>
      <c r="P2065" s="2" t="inlineStr">
        <is>
          <t>Operational Control</t>
        </is>
      </c>
      <c r="Q2065" s="2" t="inlineStr">
        <is>
          <t>Operational Control</t>
        </is>
      </c>
      <c r="R2065" s="2" t="inlineStr">
        <is>
          <t>Corporate</t>
        </is>
      </c>
      <c r="S2065" s="2" t="inlineStr">
        <is>
          <t>Downer</t>
        </is>
      </c>
      <c r="T2065" s="2" t="n">
        <v>100</v>
      </c>
      <c r="W2065" s="2" t="inlineStr">
        <is>
          <t>Classification</t>
        </is>
      </c>
    </row>
    <row r="2066">
      <c r="A2066" s="2" t="inlineStr">
        <is>
          <t>Downer</t>
        </is>
      </c>
      <c r="B2066" s="2" t="inlineStr">
        <is>
          <t>SC3.12 - End of life treatment of sold products</t>
        </is>
      </c>
      <c r="C2066" s="2" t="inlineStr">
        <is>
          <t>Branch</t>
        </is>
      </c>
      <c r="D2066" s="2" t="inlineStr">
        <is>
          <t>L9.J.112</t>
        </is>
      </c>
      <c r="M2066" s="2" t="inlineStr">
        <is>
          <t>North Ryde</t>
        </is>
      </c>
      <c r="N2066" s="2" t="inlineStr">
        <is>
          <t>Australia</t>
        </is>
      </c>
      <c r="P2066" s="2" t="inlineStr">
        <is>
          <t>Operational Control</t>
        </is>
      </c>
      <c r="Q2066" s="2" t="inlineStr">
        <is>
          <t>Operational Control</t>
        </is>
      </c>
      <c r="R2066" s="2" t="inlineStr">
        <is>
          <t>Corporate</t>
        </is>
      </c>
      <c r="S2066" s="2" t="inlineStr">
        <is>
          <t>Downer</t>
        </is>
      </c>
      <c r="T2066" s="2" t="n">
        <v>100</v>
      </c>
      <c r="W2066" s="2" t="inlineStr">
        <is>
          <t>Classification</t>
        </is>
      </c>
    </row>
    <row r="2067">
      <c r="A2067" s="2" t="inlineStr">
        <is>
          <t>Downer</t>
        </is>
      </c>
      <c r="B2067" s="2" t="inlineStr">
        <is>
          <t>SC3.13 - Downstream leased assets</t>
        </is>
      </c>
      <c r="C2067" s="2" t="inlineStr">
        <is>
          <t>Branch</t>
        </is>
      </c>
      <c r="D2067" s="2" t="inlineStr">
        <is>
          <t>L9.J.113</t>
        </is>
      </c>
      <c r="M2067" s="2" t="inlineStr">
        <is>
          <t>North Ryde</t>
        </is>
      </c>
      <c r="N2067" s="2" t="inlineStr">
        <is>
          <t>Australia</t>
        </is>
      </c>
      <c r="P2067" s="2" t="inlineStr">
        <is>
          <t>Operational Control</t>
        </is>
      </c>
      <c r="Q2067" s="2" t="inlineStr">
        <is>
          <t>Operational Control</t>
        </is>
      </c>
      <c r="R2067" s="2" t="inlineStr">
        <is>
          <t>Corporate</t>
        </is>
      </c>
      <c r="S2067" s="2" t="inlineStr">
        <is>
          <t>Downer</t>
        </is>
      </c>
      <c r="T2067" s="2" t="n">
        <v>100</v>
      </c>
      <c r="W2067" s="2" t="inlineStr">
        <is>
          <t>Classification</t>
        </is>
      </c>
    </row>
    <row r="2068">
      <c r="A2068" s="2" t="inlineStr">
        <is>
          <t>Downer</t>
        </is>
      </c>
      <c r="B2068" s="2" t="inlineStr">
        <is>
          <t>SC3.14 - Franchises</t>
        </is>
      </c>
      <c r="C2068" s="2" t="inlineStr">
        <is>
          <t>Branch</t>
        </is>
      </c>
      <c r="D2068" s="2" t="inlineStr">
        <is>
          <t>L9.J.100052</t>
        </is>
      </c>
      <c r="M2068" s="2" t="inlineStr">
        <is>
          <t>North Ryde</t>
        </is>
      </c>
      <c r="N2068" s="2" t="inlineStr">
        <is>
          <t>Australia</t>
        </is>
      </c>
      <c r="P2068" s="2" t="inlineStr">
        <is>
          <t>Operational Control</t>
        </is>
      </c>
      <c r="Q2068" s="2" t="inlineStr">
        <is>
          <t>Operational Control</t>
        </is>
      </c>
      <c r="R2068" s="2" t="inlineStr">
        <is>
          <t>Corporate</t>
        </is>
      </c>
      <c r="S2068" s="2" t="inlineStr">
        <is>
          <t>Downer</t>
        </is>
      </c>
      <c r="T2068" s="2" t="n">
        <v>100</v>
      </c>
      <c r="W2068" s="2" t="inlineStr">
        <is>
          <t>Classification</t>
        </is>
      </c>
    </row>
    <row r="2069">
      <c r="A2069" s="2" t="inlineStr">
        <is>
          <t>Downer</t>
        </is>
      </c>
      <c r="B2069" s="2" t="inlineStr">
        <is>
          <t>SC3.15 - Investments</t>
        </is>
      </c>
      <c r="C2069" s="2" t="inlineStr">
        <is>
          <t>Branch</t>
        </is>
      </c>
      <c r="D2069" s="2" t="inlineStr">
        <is>
          <t>L9.J.100096</t>
        </is>
      </c>
      <c r="M2069" s="2" t="inlineStr">
        <is>
          <t>North Ryde</t>
        </is>
      </c>
      <c r="N2069" s="2" t="inlineStr">
        <is>
          <t>Australia</t>
        </is>
      </c>
      <c r="P2069" s="2" t="inlineStr">
        <is>
          <t>Operational Control</t>
        </is>
      </c>
      <c r="Q2069" s="2" t="inlineStr">
        <is>
          <t>Operational Control</t>
        </is>
      </c>
      <c r="R2069" s="2" t="inlineStr">
        <is>
          <t>Corporate</t>
        </is>
      </c>
      <c r="S2069" s="2" t="inlineStr">
        <is>
          <t>Downer</t>
        </is>
      </c>
      <c r="T2069" s="2" t="n">
        <v>100</v>
      </c>
      <c r="W2069" s="2" t="inlineStr">
        <is>
          <t>Classification</t>
        </is>
      </c>
    </row>
    <row r="2070">
      <c r="A2070" s="2" t="inlineStr">
        <is>
          <t>Downer</t>
        </is>
      </c>
      <c r="B2070" s="2" t="inlineStr">
        <is>
          <t>SC3.16 - Water</t>
        </is>
      </c>
      <c r="C2070" s="2" t="inlineStr">
        <is>
          <t>Branch</t>
        </is>
      </c>
      <c r="D2070" s="2" t="inlineStr">
        <is>
          <t>L9.J.100097</t>
        </is>
      </c>
      <c r="M2070" s="2" t="inlineStr">
        <is>
          <t>North Ryde</t>
        </is>
      </c>
      <c r="N2070" s="2" t="inlineStr">
        <is>
          <t>Australia</t>
        </is>
      </c>
      <c r="P2070" s="2" t="inlineStr">
        <is>
          <t>Operational Control</t>
        </is>
      </c>
      <c r="Q2070" s="2" t="inlineStr">
        <is>
          <t>Operational Control</t>
        </is>
      </c>
      <c r="R2070" s="2" t="inlineStr">
        <is>
          <t>Corporate</t>
        </is>
      </c>
      <c r="S2070" s="2" t="inlineStr">
        <is>
          <t>Downer</t>
        </is>
      </c>
      <c r="T2070" s="2" t="n">
        <v>100</v>
      </c>
      <c r="W2070" s="2" t="inlineStr">
        <is>
          <t>Classification</t>
        </is>
      </c>
    </row>
    <row r="2071">
      <c r="A2071" s="2" t="inlineStr">
        <is>
          <t>Downer</t>
        </is>
      </c>
      <c r="B2071" s="2" t="inlineStr">
        <is>
          <t>SC3.2 - Capital Goods</t>
        </is>
      </c>
      <c r="C2071" s="2" t="inlineStr">
        <is>
          <t>Branch</t>
        </is>
      </c>
      <c r="D2071" s="2" t="inlineStr">
        <is>
          <t>L9.J.100098</t>
        </is>
      </c>
      <c r="M2071" s="2" t="inlineStr">
        <is>
          <t>North Ryde</t>
        </is>
      </c>
      <c r="N2071" s="2" t="inlineStr">
        <is>
          <t>Australia</t>
        </is>
      </c>
      <c r="P2071" s="2" t="inlineStr">
        <is>
          <t>Operational Control</t>
        </is>
      </c>
      <c r="Q2071" s="2" t="inlineStr">
        <is>
          <t>Operational Control</t>
        </is>
      </c>
      <c r="R2071" s="2" t="inlineStr">
        <is>
          <t>Corporate</t>
        </is>
      </c>
      <c r="S2071" s="2" t="inlineStr">
        <is>
          <t>Downer</t>
        </is>
      </c>
      <c r="T2071" s="2" t="n">
        <v>100</v>
      </c>
      <c r="W2071" s="2" t="inlineStr">
        <is>
          <t>Classification</t>
        </is>
      </c>
    </row>
    <row r="2072">
      <c r="A2072" s="2" t="inlineStr">
        <is>
          <t>Downer</t>
        </is>
      </c>
      <c r="B2072" s="2" t="inlineStr">
        <is>
          <t>SC3.3 - Fuel and energy related activities</t>
        </is>
      </c>
      <c r="C2072" s="2" t="inlineStr">
        <is>
          <t>Branch</t>
        </is>
      </c>
      <c r="D2072" s="2" t="inlineStr">
        <is>
          <t>L9.J.100099</t>
        </is>
      </c>
      <c r="M2072" s="2" t="inlineStr">
        <is>
          <t>North Ryde</t>
        </is>
      </c>
      <c r="N2072" s="2" t="inlineStr">
        <is>
          <t>Australia</t>
        </is>
      </c>
      <c r="P2072" s="2" t="inlineStr">
        <is>
          <t>Operational Control</t>
        </is>
      </c>
      <c r="Q2072" s="2" t="inlineStr">
        <is>
          <t>Operational Control</t>
        </is>
      </c>
      <c r="R2072" s="2" t="inlineStr">
        <is>
          <t>Corporate</t>
        </is>
      </c>
      <c r="S2072" s="2" t="inlineStr">
        <is>
          <t>Downer</t>
        </is>
      </c>
      <c r="T2072" s="2" t="n">
        <v>100</v>
      </c>
      <c r="W2072" s="2" t="inlineStr">
        <is>
          <t>Classification</t>
        </is>
      </c>
    </row>
    <row r="2073">
      <c r="A2073" s="2" t="inlineStr">
        <is>
          <t>Downer</t>
        </is>
      </c>
      <c r="B2073" s="2" t="inlineStr">
        <is>
          <t>SC3.4 - Upstream transportation and distribution</t>
        </is>
      </c>
      <c r="C2073" s="2" t="inlineStr">
        <is>
          <t>Branch</t>
        </is>
      </c>
      <c r="D2073" s="2" t="inlineStr">
        <is>
          <t>L9.J.100101</t>
        </is>
      </c>
      <c r="M2073" s="2" t="inlineStr">
        <is>
          <t>North Ryde</t>
        </is>
      </c>
      <c r="N2073" s="2" t="inlineStr">
        <is>
          <t>Australia</t>
        </is>
      </c>
      <c r="P2073" s="2" t="inlineStr">
        <is>
          <t>Operational Control</t>
        </is>
      </c>
      <c r="Q2073" s="2" t="inlineStr">
        <is>
          <t>Operational Control</t>
        </is>
      </c>
      <c r="R2073" s="2" t="inlineStr">
        <is>
          <t>Corporate</t>
        </is>
      </c>
      <c r="S2073" s="2" t="inlineStr">
        <is>
          <t>Downer</t>
        </is>
      </c>
      <c r="T2073" s="2" t="n">
        <v>100</v>
      </c>
      <c r="W2073" s="2" t="inlineStr">
        <is>
          <t>Classification</t>
        </is>
      </c>
    </row>
    <row r="2074">
      <c r="A2074" s="2" t="inlineStr">
        <is>
          <t>Downer</t>
        </is>
      </c>
      <c r="B2074" s="2" t="inlineStr">
        <is>
          <t>SC3.5 - Waste generated in operations</t>
        </is>
      </c>
      <c r="C2074" s="2" t="inlineStr">
        <is>
          <t>Branch</t>
        </is>
      </c>
      <c r="D2074" s="2" t="inlineStr">
        <is>
          <t>L9.J.100102</t>
        </is>
      </c>
      <c r="M2074" s="2" t="inlineStr">
        <is>
          <t>North Ryde</t>
        </is>
      </c>
      <c r="N2074" s="2" t="inlineStr">
        <is>
          <t>Australia</t>
        </is>
      </c>
      <c r="P2074" s="2" t="inlineStr">
        <is>
          <t>Operational Control</t>
        </is>
      </c>
      <c r="Q2074" s="2" t="inlineStr">
        <is>
          <t>Operational Control</t>
        </is>
      </c>
      <c r="R2074" s="2" t="inlineStr">
        <is>
          <t>Corporate</t>
        </is>
      </c>
      <c r="S2074" s="2" t="inlineStr">
        <is>
          <t>Downer</t>
        </is>
      </c>
      <c r="T2074" s="2" t="n">
        <v>100</v>
      </c>
      <c r="W2074" s="2" t="inlineStr">
        <is>
          <t>Classification</t>
        </is>
      </c>
    </row>
    <row r="2075">
      <c r="A2075" s="2" t="inlineStr">
        <is>
          <t>Downer</t>
        </is>
      </c>
      <c r="B2075" s="2" t="inlineStr">
        <is>
          <t>SC3.6 - Business Travel</t>
        </is>
      </c>
      <c r="C2075" s="2" t="inlineStr">
        <is>
          <t>Branch</t>
        </is>
      </c>
      <c r="D2075" s="2" t="inlineStr">
        <is>
          <t>L9.J.100149</t>
        </is>
      </c>
      <c r="M2075" s="2" t="inlineStr">
        <is>
          <t>North Ryde</t>
        </is>
      </c>
      <c r="N2075" s="2" t="inlineStr">
        <is>
          <t>Australia</t>
        </is>
      </c>
      <c r="P2075" s="2" t="inlineStr">
        <is>
          <t>Operational Control</t>
        </is>
      </c>
      <c r="Q2075" s="2" t="inlineStr">
        <is>
          <t>Operational Control</t>
        </is>
      </c>
      <c r="R2075" s="2" t="inlineStr">
        <is>
          <t>Corporate</t>
        </is>
      </c>
      <c r="S2075" s="2" t="inlineStr">
        <is>
          <t>Downer</t>
        </is>
      </c>
      <c r="T2075" s="2" t="n">
        <v>100</v>
      </c>
      <c r="W2075" s="2" t="inlineStr">
        <is>
          <t>Classification</t>
        </is>
      </c>
    </row>
    <row r="2076">
      <c r="A2076" s="2" t="inlineStr">
        <is>
          <t>Downer</t>
        </is>
      </c>
      <c r="B2076" s="2" t="inlineStr">
        <is>
          <t>SC3.7 - Employee Commuting</t>
        </is>
      </c>
      <c r="C2076" s="2" t="inlineStr">
        <is>
          <t>Branch</t>
        </is>
      </c>
      <c r="D2076" s="2" t="inlineStr">
        <is>
          <t>L9.J.10015001</t>
        </is>
      </c>
      <c r="M2076" s="2" t="inlineStr">
        <is>
          <t>North Ryde</t>
        </is>
      </c>
      <c r="N2076" s="2" t="inlineStr">
        <is>
          <t>Australia</t>
        </is>
      </c>
      <c r="P2076" s="2" t="inlineStr">
        <is>
          <t>Operational Control</t>
        </is>
      </c>
      <c r="Q2076" s="2" t="inlineStr">
        <is>
          <t>Operational Control</t>
        </is>
      </c>
      <c r="R2076" s="2" t="inlineStr">
        <is>
          <t>Corporate</t>
        </is>
      </c>
      <c r="S2076" s="2" t="inlineStr">
        <is>
          <t>Downer</t>
        </is>
      </c>
      <c r="T2076" s="2" t="n">
        <v>100</v>
      </c>
      <c r="W2076" s="2" t="inlineStr">
        <is>
          <t>Classification</t>
        </is>
      </c>
    </row>
    <row r="2077">
      <c r="A2077" s="2" t="inlineStr">
        <is>
          <t>Downer</t>
        </is>
      </c>
      <c r="B2077" s="2" t="inlineStr">
        <is>
          <t>SC3.8 - Upstream leased assets</t>
        </is>
      </c>
      <c r="C2077" s="2" t="inlineStr">
        <is>
          <t>Branch</t>
        </is>
      </c>
      <c r="D2077" s="2" t="inlineStr">
        <is>
          <t>L9.J.100152</t>
        </is>
      </c>
      <c r="M2077" s="2" t="inlineStr">
        <is>
          <t>North Ryde</t>
        </is>
      </c>
      <c r="N2077" s="2" t="inlineStr">
        <is>
          <t>Australia</t>
        </is>
      </c>
      <c r="P2077" s="2" t="inlineStr">
        <is>
          <t>Operational Control</t>
        </is>
      </c>
      <c r="Q2077" s="2" t="inlineStr">
        <is>
          <t>Operational Control</t>
        </is>
      </c>
      <c r="R2077" s="2" t="inlineStr">
        <is>
          <t>Corporate</t>
        </is>
      </c>
      <c r="S2077" s="2" t="inlineStr">
        <is>
          <t>Downer</t>
        </is>
      </c>
      <c r="T2077" s="2" t="n">
        <v>100</v>
      </c>
      <c r="W2077" s="2" t="inlineStr">
        <is>
          <t>Classification</t>
        </is>
      </c>
    </row>
    <row r="2078">
      <c r="A2078" s="2" t="inlineStr">
        <is>
          <t>Downer</t>
        </is>
      </c>
      <c r="B2078" s="2" t="inlineStr">
        <is>
          <t>SC3.9 - Downstream transportation and distribution</t>
        </is>
      </c>
      <c r="C2078" s="2" t="inlineStr">
        <is>
          <t>Branch</t>
        </is>
      </c>
      <c r="D2078" s="2" t="inlineStr">
        <is>
          <t>L9.J.100156</t>
        </is>
      </c>
      <c r="M2078" s="2" t="inlineStr">
        <is>
          <t>North Ryde</t>
        </is>
      </c>
      <c r="N2078" s="2" t="inlineStr">
        <is>
          <t>Australia</t>
        </is>
      </c>
      <c r="P2078" s="2" t="inlineStr">
        <is>
          <t>Operational Control</t>
        </is>
      </c>
      <c r="Q2078" s="2" t="inlineStr">
        <is>
          <t>Operational Control</t>
        </is>
      </c>
      <c r="R2078" s="2" t="inlineStr">
        <is>
          <t>Corporate</t>
        </is>
      </c>
      <c r="S2078" s="2" t="inlineStr">
        <is>
          <t>Downer</t>
        </is>
      </c>
      <c r="T2078" s="2" t="n">
        <v>100</v>
      </c>
      <c r="W2078" s="2" t="inlineStr">
        <is>
          <t>Classification</t>
        </is>
      </c>
    </row>
    <row r="2079">
      <c r="A2079" s="2" t="inlineStr">
        <is>
          <t>Downer</t>
        </is>
      </c>
      <c r="B2079" s="2" t="inlineStr">
        <is>
          <t>SCNOC - AWT - Half Chain Road</t>
        </is>
      </c>
      <c r="C2079" s="2" t="inlineStr">
        <is>
          <t>Infrastructure</t>
        </is>
      </c>
      <c r="D2079" s="2" t="inlineStr">
        <is>
          <t>L9.DNZJ.554166</t>
        </is>
      </c>
      <c r="E2079" s="2" t="n">
        <v>554166</v>
      </c>
      <c r="G2079" s="2" t="inlineStr">
        <is>
          <t>TI-NZT-554166 - SCNOC - AWT - Half Chain Road</t>
        </is>
      </c>
      <c r="M2079" s="2" t="inlineStr">
        <is>
          <t>Canterbury</t>
        </is>
      </c>
      <c r="N2079" s="2" t="inlineStr">
        <is>
          <t>New Zealand</t>
        </is>
      </c>
      <c r="P2079" s="2" t="inlineStr">
        <is>
          <t>Operational Control</t>
        </is>
      </c>
      <c r="Q2079" s="2" t="inlineStr">
        <is>
          <t>Operational Control</t>
        </is>
      </c>
      <c r="R2079" s="2" t="inlineStr">
        <is>
          <t>Transport &amp; Infrastructure (T&amp;I)</t>
        </is>
      </c>
      <c r="S2079" s="2" t="inlineStr">
        <is>
          <t>Downer</t>
        </is>
      </c>
      <c r="T2079" s="2" t="n">
        <v>100</v>
      </c>
      <c r="W2079" s="2" t="inlineStr">
        <is>
          <t>Classification</t>
        </is>
      </c>
    </row>
    <row r="2080">
      <c r="A2080" s="2" t="inlineStr">
        <is>
          <t>Downer</t>
        </is>
      </c>
      <c r="B2080" s="2" t="inlineStr">
        <is>
          <t>SCNOC - AWT - Kitchener Park</t>
        </is>
      </c>
      <c r="C2080" s="2" t="inlineStr">
        <is>
          <t>Infrastructure</t>
        </is>
      </c>
      <c r="D2080" s="2" t="inlineStr">
        <is>
          <t>L9.DNZJ.554168</t>
        </is>
      </c>
      <c r="E2080" s="2" t="n">
        <v>554168</v>
      </c>
      <c r="G2080" s="2" t="inlineStr">
        <is>
          <t>TI-NZT-554168 - SCNOC - AWT - Kitchener Park</t>
        </is>
      </c>
      <c r="M2080" s="2" t="inlineStr">
        <is>
          <t>Canterbury</t>
        </is>
      </c>
      <c r="N2080" s="2" t="inlineStr">
        <is>
          <t>New Zealand</t>
        </is>
      </c>
      <c r="P2080" s="2" t="inlineStr">
        <is>
          <t>Operational Control</t>
        </is>
      </c>
      <c r="Q2080" s="2" t="inlineStr">
        <is>
          <t>Operational Control</t>
        </is>
      </c>
      <c r="R2080" s="2" t="inlineStr">
        <is>
          <t>Transport &amp; Infrastructure (T&amp;I)</t>
        </is>
      </c>
      <c r="S2080" s="2" t="inlineStr">
        <is>
          <t>Downer</t>
        </is>
      </c>
      <c r="T2080" s="2" t="n">
        <v>100</v>
      </c>
      <c r="W2080" s="2" t="inlineStr">
        <is>
          <t>Classification</t>
        </is>
      </c>
    </row>
    <row r="2081">
      <c r="A2081" s="2" t="inlineStr">
        <is>
          <t>Downer</t>
        </is>
      </c>
      <c r="B2081" s="2" t="inlineStr">
        <is>
          <t>Scope 3 Accounts</t>
        </is>
      </c>
      <c r="C2081" s="2" t="inlineStr">
        <is>
          <t>Branch</t>
        </is>
      </c>
      <c r="D2081" s="2" t="inlineStr">
        <is>
          <t>L9.J.102001</t>
        </is>
      </c>
      <c r="E2081" s="2" t="inlineStr">
        <is>
          <t>L9.J.102001</t>
        </is>
      </c>
      <c r="M2081" s="2" t="inlineStr">
        <is>
          <t>North Ryde</t>
        </is>
      </c>
      <c r="N2081" s="2" t="inlineStr">
        <is>
          <t>Australia</t>
        </is>
      </c>
      <c r="P2081" s="2" t="inlineStr">
        <is>
          <t>Operational Control</t>
        </is>
      </c>
      <c r="Q2081" s="2" t="inlineStr">
        <is>
          <t>Operational Control</t>
        </is>
      </c>
      <c r="R2081" s="2" t="inlineStr">
        <is>
          <t>Corporate</t>
        </is>
      </c>
      <c r="S2081" s="2" t="inlineStr">
        <is>
          <t>Downer</t>
        </is>
      </c>
      <c r="T2081" s="2" t="n">
        <v>100</v>
      </c>
      <c r="W2081" s="2" t="inlineStr">
        <is>
          <t>Classification</t>
        </is>
      </c>
    </row>
    <row r="2082">
      <c r="A2082" s="2" t="inlineStr">
        <is>
          <t>Downer</t>
        </is>
      </c>
      <c r="B2082" s="2" t="inlineStr">
        <is>
          <t>Scott Point Primary School</t>
        </is>
      </c>
      <c r="C2082" s="2" t="inlineStr">
        <is>
          <t>Other</t>
        </is>
      </c>
      <c r="D2082" s="2" t="inlineStr">
        <is>
          <t>L9.DNZ.HA0398</t>
        </is>
      </c>
      <c r="E2082" s="2" t="inlineStr">
        <is>
          <t>JP_HA0398</t>
        </is>
      </c>
      <c r="H2082" s="2" t="inlineStr">
        <is>
          <t>11 Scott Road</t>
        </is>
      </c>
      <c r="I2082" s="2" t="inlineStr">
        <is>
          <t>Hobsonville</t>
        </is>
      </c>
      <c r="J2082" s="2" t="inlineStr">
        <is>
          <t>Auckland</t>
        </is>
      </c>
      <c r="K2082" s="2" t="n">
        <v>618</v>
      </c>
      <c r="L2082" s="2" t="inlineStr">
        <is>
          <t>New Zealand</t>
        </is>
      </c>
      <c r="M2082" s="2" t="inlineStr">
        <is>
          <t>Whenuapai</t>
        </is>
      </c>
      <c r="N2082" s="2" t="inlineStr">
        <is>
          <t>New Zealand</t>
        </is>
      </c>
      <c r="P2082" s="2" t="inlineStr">
        <is>
          <t>Operational Control</t>
        </is>
      </c>
      <c r="Q2082" s="2" t="inlineStr">
        <is>
          <t>Operational Control</t>
        </is>
      </c>
      <c r="R2082" s="2" t="inlineStr">
        <is>
          <t>Transport &amp; Infrastructure (T&amp;I)</t>
        </is>
      </c>
      <c r="S2082" s="2" t="inlineStr">
        <is>
          <t>Downer</t>
        </is>
      </c>
      <c r="T2082" s="2" t="n">
        <v>100</v>
      </c>
      <c r="W2082" s="2" t="inlineStr">
        <is>
          <t>Classification</t>
        </is>
      </c>
      <c r="X2082" s="2" t="n">
        <v>-36.8029</v>
      </c>
      <c r="Y2082" s="2" t="n">
        <v>174.6589</v>
      </c>
    </row>
    <row r="2083">
      <c r="A2083" s="2" t="inlineStr">
        <is>
          <t>Downer</t>
        </is>
      </c>
      <c r="B2083" s="2" t="inlineStr">
        <is>
          <t>SDC Footpaths 2021</t>
        </is>
      </c>
      <c r="C2083" s="2" t="inlineStr">
        <is>
          <t>Other</t>
        </is>
      </c>
      <c r="D2083" s="2" t="inlineStr">
        <is>
          <t>L9.DNZJ.556612</t>
        </is>
      </c>
      <c r="E2083" s="2" t="n">
        <v>556612</v>
      </c>
      <c r="M2083" s="2" t="inlineStr">
        <is>
          <t>Manurewa</t>
        </is>
      </c>
      <c r="N2083" s="2" t="inlineStr">
        <is>
          <t>New Zealand</t>
        </is>
      </c>
      <c r="P2083" s="2" t="inlineStr">
        <is>
          <t>Operational Control</t>
        </is>
      </c>
      <c r="Q2083" s="2" t="inlineStr">
        <is>
          <t>Operational Control</t>
        </is>
      </c>
      <c r="R2083" s="2" t="inlineStr">
        <is>
          <t>Transport &amp; Infrastructure (T&amp;I)</t>
        </is>
      </c>
      <c r="S2083" s="2" t="inlineStr">
        <is>
          <t>Downer</t>
        </is>
      </c>
      <c r="T2083" s="2" t="n">
        <v>100</v>
      </c>
      <c r="W2083" s="2" t="inlineStr">
        <is>
          <t>Classification</t>
        </is>
      </c>
    </row>
    <row r="2084">
      <c r="A2084" s="2" t="inlineStr">
        <is>
          <t>Downer</t>
        </is>
      </c>
      <c r="B2084" s="2" t="inlineStr">
        <is>
          <t>SDC Otautau Nightcaps Rd Rehab</t>
        </is>
      </c>
      <c r="C2084" s="2" t="inlineStr">
        <is>
          <t>Other</t>
        </is>
      </c>
      <c r="D2084" s="2" t="inlineStr">
        <is>
          <t>L9.DNZJ.312032</t>
        </is>
      </c>
      <c r="E2084" s="2" t="n">
        <v>312032</v>
      </c>
      <c r="M2084" s="2" t="inlineStr">
        <is>
          <t>Manurewa</t>
        </is>
      </c>
      <c r="N2084" s="2" t="inlineStr">
        <is>
          <t>New Zealand</t>
        </is>
      </c>
      <c r="P2084" s="2" t="inlineStr">
        <is>
          <t>Operational Control</t>
        </is>
      </c>
      <c r="Q2084" s="2" t="inlineStr">
        <is>
          <t>Operational Control</t>
        </is>
      </c>
      <c r="R2084" s="2" t="inlineStr">
        <is>
          <t>Transport &amp; Infrastructure (T&amp;I)</t>
        </is>
      </c>
      <c r="S2084" s="2" t="inlineStr">
        <is>
          <t>Downer</t>
        </is>
      </c>
      <c r="T2084" s="2" t="n">
        <v>100</v>
      </c>
      <c r="W2084" s="2" t="inlineStr">
        <is>
          <t>Classification</t>
        </is>
      </c>
    </row>
    <row r="2085">
      <c r="A2085" s="2" t="inlineStr">
        <is>
          <t>Downer</t>
        </is>
      </c>
      <c r="B2085" s="2" t="inlineStr">
        <is>
          <t>Sealing Stock (South Island)</t>
        </is>
      </c>
      <c r="C2085" s="2" t="inlineStr">
        <is>
          <t>Other</t>
        </is>
      </c>
      <c r="D2085" s="2" t="inlineStr">
        <is>
          <t>L9.DNZJ.55392</t>
        </is>
      </c>
      <c r="E2085" s="2" t="n">
        <v>55392</v>
      </c>
      <c r="H2085" s="2" t="inlineStr">
        <is>
          <t>130 Kerrs Road</t>
        </is>
      </c>
      <c r="I2085" s="2" t="inlineStr">
        <is>
          <t>Wiri</t>
        </is>
      </c>
      <c r="J2085" s="2" t="inlineStr">
        <is>
          <t>Auckland</t>
        </is>
      </c>
      <c r="K2085" s="2" t="n">
        <v>2104</v>
      </c>
      <c r="L2085" s="2" t="inlineStr">
        <is>
          <t>New Zealand</t>
        </is>
      </c>
      <c r="M2085" s="2" t="inlineStr">
        <is>
          <t>Manurewa</t>
        </is>
      </c>
      <c r="N2085" s="2" t="inlineStr">
        <is>
          <t>New Zealand</t>
        </is>
      </c>
      <c r="P2085" s="2" t="inlineStr">
        <is>
          <t>Operational Control</t>
        </is>
      </c>
      <c r="Q2085" s="2" t="inlineStr">
        <is>
          <t>Operational Control</t>
        </is>
      </c>
      <c r="R2085" s="2" t="inlineStr">
        <is>
          <t>Transport &amp; Infrastructure (T&amp;I)</t>
        </is>
      </c>
      <c r="S2085" s="2" t="inlineStr">
        <is>
          <t>Downer</t>
        </is>
      </c>
      <c r="T2085" s="2" t="n">
        <v>100</v>
      </c>
      <c r="W2085" s="2" t="inlineStr">
        <is>
          <t>Classification</t>
        </is>
      </c>
      <c r="X2085" s="2" t="n">
        <v>-37.0083</v>
      </c>
      <c r="Y2085" s="2" t="n">
        <v>174.8705</v>
      </c>
    </row>
    <row r="2086">
      <c r="A2086" s="2" t="inlineStr">
        <is>
          <t>Downer</t>
        </is>
      </c>
      <c r="B2086" s="2" t="inlineStr">
        <is>
          <t>SH1/29 SAFETY IMPROVEMENTS</t>
        </is>
      </c>
      <c r="C2086" s="2" t="inlineStr">
        <is>
          <t>Public Facility</t>
        </is>
      </c>
      <c r="D2086" s="2" t="inlineStr">
        <is>
          <t>L9.DNZJ.DN1208</t>
        </is>
      </c>
      <c r="E2086" s="2" t="inlineStr">
        <is>
          <t>JP_DN1208</t>
        </is>
      </c>
      <c r="G2086" s="2" t="inlineStr">
        <is>
          <t>TI-NZT-DN1208 -SH1/29 Safety Improvements
1833B State Highway 1  Tirau 3484
State Highway 29  Karapiro  Cambridge 3484</t>
        </is>
      </c>
      <c r="M2086" s="2" t="inlineStr">
        <is>
          <t>Waikato</t>
        </is>
      </c>
      <c r="N2086" s="2" t="inlineStr">
        <is>
          <t>New Zealand</t>
        </is>
      </c>
      <c r="P2086" s="2" t="inlineStr">
        <is>
          <t>Operational Control</t>
        </is>
      </c>
      <c r="Q2086" s="2" t="inlineStr">
        <is>
          <t>Operational Control</t>
        </is>
      </c>
      <c r="R2086" s="2" t="inlineStr">
        <is>
          <t>Transport &amp; Infrastructure (T&amp;I)</t>
        </is>
      </c>
      <c r="S2086" s="2" t="inlineStr">
        <is>
          <t>Downer</t>
        </is>
      </c>
      <c r="T2086" s="2" t="n">
        <v>100</v>
      </c>
      <c r="W2086" s="2" t="inlineStr">
        <is>
          <t>Classification</t>
        </is>
      </c>
    </row>
    <row r="2087">
      <c r="A2087" s="2" t="inlineStr">
        <is>
          <t>Downer</t>
        </is>
      </c>
      <c r="B2087" s="2" t="inlineStr">
        <is>
          <t>SH1C Cobham Cambridge Upgrade</t>
        </is>
      </c>
      <c r="C2087" s="2" t="inlineStr">
        <is>
          <t>Public Facility</t>
        </is>
      </c>
      <c r="D2087" s="2" t="inlineStr">
        <is>
          <t>L9.DNZJ.559620</t>
        </is>
      </c>
      <c r="E2087" s="2" t="n">
        <v>559620</v>
      </c>
      <c r="G2087" s="2" t="inlineStr">
        <is>
          <t>TI-NZT-559620 -  SH1C Cobham Cambridge Upgrade
208 Cambridge Road, Hillcrest, Hamilton 3216</t>
        </is>
      </c>
      <c r="M2087" s="2" t="inlineStr">
        <is>
          <t>Hamilton</t>
        </is>
      </c>
      <c r="N2087" s="2" t="inlineStr">
        <is>
          <t>New Zealand</t>
        </is>
      </c>
      <c r="P2087" s="2" t="inlineStr">
        <is>
          <t>Operational Control</t>
        </is>
      </c>
      <c r="Q2087" s="2" t="inlineStr">
        <is>
          <t>Operational Control</t>
        </is>
      </c>
      <c r="R2087" s="2" t="inlineStr">
        <is>
          <t>Transport &amp; Infrastructure (T&amp;I)</t>
        </is>
      </c>
      <c r="S2087" s="2" t="inlineStr">
        <is>
          <t>Downer</t>
        </is>
      </c>
      <c r="T2087" s="2" t="n">
        <v>100</v>
      </c>
      <c r="W2087" s="2" t="inlineStr">
        <is>
          <t>Classification</t>
        </is>
      </c>
    </row>
    <row r="2088">
      <c r="A2088" s="2" t="inlineStr">
        <is>
          <t>Downer</t>
        </is>
      </c>
      <c r="B2088" s="2" t="inlineStr">
        <is>
          <t>SH2 / SH58 Interchange</t>
        </is>
      </c>
      <c r="C2088" s="2" t="inlineStr">
        <is>
          <t>Other</t>
        </is>
      </c>
      <c r="D2088" s="2" t="inlineStr">
        <is>
          <t>L9.DNZJ.MN4153</t>
        </is>
      </c>
      <c r="E2088" s="2" t="inlineStr">
        <is>
          <t>MN4153</t>
        </is>
      </c>
      <c r="G2088" s="2" t="inlineStr">
        <is>
          <t>Temporarily created a new Envizi location under T&amp;I for: 
TI-NZT-MN4153 - SH2/SH58 Haywards Interchange
UT also seems to have an active INX project: 
UT-NZU-159727-SH2 / SH58 Interchange</t>
        </is>
      </c>
      <c r="M2088" s="2" t="inlineStr">
        <is>
          <t>Auckland</t>
        </is>
      </c>
      <c r="N2088" s="2" t="inlineStr">
        <is>
          <t>New Zealand</t>
        </is>
      </c>
      <c r="P2088" s="2" t="inlineStr">
        <is>
          <t>Operational Control</t>
        </is>
      </c>
      <c r="Q2088" s="2" t="inlineStr">
        <is>
          <t>Operational Control</t>
        </is>
      </c>
      <c r="R2088" s="2" t="inlineStr">
        <is>
          <t>Transport &amp; Infrastructure (T&amp;I)</t>
        </is>
      </c>
      <c r="S2088" s="2" t="inlineStr">
        <is>
          <t>Downer</t>
        </is>
      </c>
      <c r="T2088" s="2" t="n">
        <v>100</v>
      </c>
      <c r="W2088" s="2" t="inlineStr">
        <is>
          <t>Classification</t>
        </is>
      </c>
    </row>
    <row r="2089">
      <c r="A2089" s="2" t="inlineStr">
        <is>
          <t>Downer</t>
        </is>
      </c>
      <c r="B2089" s="2" t="inlineStr">
        <is>
          <t>SH25a Roading Redev RFT</t>
        </is>
      </c>
      <c r="C2089" s="2" t="inlineStr">
        <is>
          <t>Public Facility</t>
        </is>
      </c>
      <c r="D2089" s="2" t="inlineStr">
        <is>
          <t>L9.DNZJ.559321</t>
        </is>
      </c>
      <c r="E2089" s="2" t="n">
        <v>559321</v>
      </c>
      <c r="G2089" s="2" t="inlineStr">
        <is>
          <t>TI-NZT-559321 - SH25a Roading Redev RFT
From Waitomo delpoint: DOWNER UTILITIES ALLIANCE (Address: 25A KOPU HIKUAI HIGHWAY)</t>
        </is>
      </c>
      <c r="M2089" s="2" t="inlineStr">
        <is>
          <t>Waikato</t>
        </is>
      </c>
      <c r="N2089" s="2" t="inlineStr">
        <is>
          <t>New Zealand</t>
        </is>
      </c>
      <c r="P2089" s="2" t="inlineStr">
        <is>
          <t>Operational Control</t>
        </is>
      </c>
      <c r="Q2089" s="2" t="inlineStr">
        <is>
          <t>Operational Control</t>
        </is>
      </c>
      <c r="R2089" s="2" t="inlineStr">
        <is>
          <t>Transport &amp; Infrastructure (T&amp;I)</t>
        </is>
      </c>
      <c r="S2089" s="2" t="inlineStr">
        <is>
          <t>Downer</t>
        </is>
      </c>
      <c r="T2089" s="2" t="n">
        <v>100</v>
      </c>
      <c r="W2089" s="2" t="inlineStr">
        <is>
          <t>Classification</t>
        </is>
      </c>
    </row>
    <row r="2090">
      <c r="A2090" s="2" t="inlineStr">
        <is>
          <t>Downer</t>
        </is>
      </c>
      <c r="B2090" s="2" t="inlineStr">
        <is>
          <t>SH4 Te Oreore Slip Replacement</t>
        </is>
      </c>
      <c r="C2090" s="2" t="inlineStr">
        <is>
          <t>Other</t>
        </is>
      </c>
      <c r="D2090" s="2" t="inlineStr">
        <is>
          <t>L9.DNZJ.552410</t>
        </is>
      </c>
      <c r="E2090" s="2" t="n">
        <v>552410</v>
      </c>
      <c r="F2090" s="2" t="n">
        <v>552410</v>
      </c>
      <c r="M2090" s="2" t="inlineStr">
        <is>
          <t>Taranaki</t>
        </is>
      </c>
      <c r="N2090" s="2" t="inlineStr">
        <is>
          <t>New Zealand</t>
        </is>
      </c>
      <c r="P2090" s="2" t="inlineStr">
        <is>
          <t>Operational Control</t>
        </is>
      </c>
      <c r="Q2090" s="2" t="inlineStr">
        <is>
          <t>Operational Control</t>
        </is>
      </c>
      <c r="R2090" s="2" t="inlineStr">
        <is>
          <t>Transport &amp; Infrastructure (T&amp;I)</t>
        </is>
      </c>
      <c r="S2090" s="2" t="inlineStr">
        <is>
          <t>Downer</t>
        </is>
      </c>
      <c r="T2090" s="2" t="n">
        <v>100</v>
      </c>
      <c r="W2090" s="2" t="inlineStr">
        <is>
          <t>Classification</t>
        </is>
      </c>
    </row>
    <row r="2091">
      <c r="A2091" s="2" t="inlineStr">
        <is>
          <t>Downer</t>
        </is>
      </c>
      <c r="B2091" s="2" t="inlineStr">
        <is>
          <t>SH58 SAFETY IMPROVEMENT STG 2A</t>
        </is>
      </c>
      <c r="C2091" s="2" t="inlineStr">
        <is>
          <t>Infrastructure</t>
        </is>
      </c>
      <c r="D2091" s="2" t="inlineStr">
        <is>
          <t>L9.DNZJ.DN1193</t>
        </is>
      </c>
      <c r="E2091" s="2" t="inlineStr">
        <is>
          <t>JP_DN1193</t>
        </is>
      </c>
      <c r="G2091" s="2" t="inlineStr">
        <is>
          <t>JP_DN1193, JP_DN1177,</t>
        </is>
      </c>
      <c r="H2091" s="2" t="inlineStr">
        <is>
          <t>130 Kerrs Road</t>
        </is>
      </c>
      <c r="I2091" s="2" t="inlineStr">
        <is>
          <t>Wiri</t>
        </is>
      </c>
      <c r="J2091" s="2" t="inlineStr">
        <is>
          <t>Auckland</t>
        </is>
      </c>
      <c r="K2091" s="2" t="n">
        <v>2104</v>
      </c>
      <c r="L2091" s="2" t="inlineStr">
        <is>
          <t>New Zealand</t>
        </is>
      </c>
      <c r="M2091" s="2" t="inlineStr">
        <is>
          <t>Manurewa</t>
        </is>
      </c>
      <c r="N2091" s="2" t="inlineStr">
        <is>
          <t>New Zealand</t>
        </is>
      </c>
      <c r="P2091" s="2" t="inlineStr">
        <is>
          <t>Operational Control</t>
        </is>
      </c>
      <c r="Q2091" s="2" t="inlineStr">
        <is>
          <t>Operational Control</t>
        </is>
      </c>
      <c r="R2091" s="2" t="inlineStr">
        <is>
          <t>Transport &amp; Infrastructure (T&amp;I)</t>
        </is>
      </c>
      <c r="S2091" s="2" t="inlineStr">
        <is>
          <t>Downer</t>
        </is>
      </c>
      <c r="T2091" s="2" t="n">
        <v>100</v>
      </c>
      <c r="W2091" s="2" t="inlineStr">
        <is>
          <t>Classification</t>
        </is>
      </c>
      <c r="X2091" s="2" t="n">
        <v>-37.0083</v>
      </c>
      <c r="Y2091" s="2" t="n">
        <v>174.8705</v>
      </c>
    </row>
    <row r="2092">
      <c r="A2092" s="2" t="inlineStr">
        <is>
          <t>Downer</t>
        </is>
      </c>
      <c r="B2092" s="2" t="inlineStr">
        <is>
          <t>SH58 SAFETY IMPROVEMENT STG 2B</t>
        </is>
      </c>
      <c r="C2092" s="2" t="inlineStr">
        <is>
          <t>Infrastructure</t>
        </is>
      </c>
      <c r="D2092" s="2" t="inlineStr">
        <is>
          <t>L9.DNZJ.DS2673</t>
        </is>
      </c>
      <c r="E2092" s="2" t="inlineStr">
        <is>
          <t>JP_DS2673</t>
        </is>
      </c>
      <c r="G2092" s="2" t="inlineStr">
        <is>
          <t>TI-NZT-DS2673 - SH58 SAFETY IMPROVEMENT ST</t>
        </is>
      </c>
      <c r="M2092" s="2" t="inlineStr">
        <is>
          <t>Manurewa</t>
        </is>
      </c>
      <c r="N2092" s="2" t="inlineStr">
        <is>
          <t>New Zealand</t>
        </is>
      </c>
      <c r="P2092" s="2" t="inlineStr">
        <is>
          <t>Operational Control</t>
        </is>
      </c>
      <c r="Q2092" s="2" t="inlineStr">
        <is>
          <t>Operational Control</t>
        </is>
      </c>
      <c r="R2092" s="2" t="inlineStr">
        <is>
          <t>Transport &amp; Infrastructure (T&amp;I)</t>
        </is>
      </c>
      <c r="S2092" s="2" t="inlineStr">
        <is>
          <t>Downer</t>
        </is>
      </c>
      <c r="T2092" s="2" t="n">
        <v>100</v>
      </c>
      <c r="W2092" s="2" t="inlineStr">
        <is>
          <t>Classification</t>
        </is>
      </c>
    </row>
    <row r="2093">
      <c r="A2093" s="2" t="inlineStr">
        <is>
          <t>Downer</t>
        </is>
      </c>
      <c r="B2093" s="2" t="inlineStr">
        <is>
          <t>SH88 PORT CHALMERS SAFETY IMPR</t>
        </is>
      </c>
      <c r="C2093" s="2" t="inlineStr">
        <is>
          <t>Other</t>
        </is>
      </c>
      <c r="D2093" s="2" t="inlineStr">
        <is>
          <t>L9.DNZJ.DS2652</t>
        </is>
      </c>
      <c r="E2093" s="2" t="inlineStr">
        <is>
          <t>JP_DS2652</t>
        </is>
      </c>
      <c r="H2093" s="2" t="inlineStr">
        <is>
          <t>Sir John Thorn Drive</t>
        </is>
      </c>
      <c r="I2093" s="2" t="inlineStr">
        <is>
          <t>Roseneath</t>
        </is>
      </c>
      <c r="J2093" s="2" t="inlineStr">
        <is>
          <t>Dunedin</t>
        </is>
      </c>
      <c r="K2093" s="2" t="n">
        <v>9023</v>
      </c>
      <c r="L2093" s="2" t="inlineStr">
        <is>
          <t>New Zealand</t>
        </is>
      </c>
      <c r="M2093" s="2" t="inlineStr">
        <is>
          <t>Waitati</t>
        </is>
      </c>
      <c r="N2093" s="2" t="inlineStr">
        <is>
          <t>New Zealand</t>
        </is>
      </c>
      <c r="P2093" s="2" t="inlineStr">
        <is>
          <t>Operational Control</t>
        </is>
      </c>
      <c r="Q2093" s="2" t="inlineStr">
        <is>
          <t>Operational Control</t>
        </is>
      </c>
      <c r="R2093" s="2" t="inlineStr">
        <is>
          <t>Transport &amp; Infrastructure (T&amp;I)</t>
        </is>
      </c>
      <c r="S2093" s="2" t="inlineStr">
        <is>
          <t>Downer</t>
        </is>
      </c>
      <c r="T2093" s="2" t="n">
        <v>100</v>
      </c>
      <c r="W2093" s="2" t="inlineStr">
        <is>
          <t>Classification</t>
        </is>
      </c>
      <c r="X2093" s="2" t="n">
        <v>-45.8234</v>
      </c>
      <c r="Y2093" s="2" t="n">
        <v>170.6022</v>
      </c>
    </row>
    <row r="2094">
      <c r="A2094" s="2" t="inlineStr">
        <is>
          <t>Downer</t>
        </is>
      </c>
      <c r="B2094" s="2" t="inlineStr">
        <is>
          <t>Shands Rd Occupancy Site Dept</t>
        </is>
      </c>
      <c r="C2094" s="2" t="inlineStr">
        <is>
          <t>Other</t>
        </is>
      </c>
      <c r="D2094" s="2" t="inlineStr">
        <is>
          <t>L9.DNZ.810.10.150</t>
        </is>
      </c>
      <c r="E2094" s="2" t="n">
        <v>10150</v>
      </c>
      <c r="G2094" s="2" t="n">
        <v>10.15</v>
      </c>
      <c r="H2094" s="2" t="inlineStr">
        <is>
          <t>55 Shands Road</t>
        </is>
      </c>
      <c r="I2094" s="2" t="inlineStr">
        <is>
          <t>Hornby</t>
        </is>
      </c>
      <c r="J2094" s="2" t="inlineStr">
        <is>
          <t>Christchurch</t>
        </is>
      </c>
      <c r="K2094" s="2" t="n">
        <v>8042</v>
      </c>
      <c r="L2094" s="2" t="inlineStr">
        <is>
          <t>New Zealand</t>
        </is>
      </c>
      <c r="M2094" s="2" t="inlineStr">
        <is>
          <t>Christchurch</t>
        </is>
      </c>
      <c r="N2094" s="2" t="inlineStr">
        <is>
          <t>New Zealand</t>
        </is>
      </c>
      <c r="P2094" s="2" t="inlineStr">
        <is>
          <t>Operational Control</t>
        </is>
      </c>
      <c r="Q2094" s="2" t="inlineStr">
        <is>
          <t>Operational Control</t>
        </is>
      </c>
      <c r="R2094" s="2" t="inlineStr">
        <is>
          <t>Energy and Utilities (EU)</t>
        </is>
      </c>
      <c r="S2094" s="2" t="inlineStr">
        <is>
          <t>Downer</t>
        </is>
      </c>
      <c r="T2094" s="2" t="n">
        <v>100</v>
      </c>
      <c r="W2094" s="2" t="inlineStr">
        <is>
          <t>Classification</t>
        </is>
      </c>
      <c r="X2094" s="2" t="n">
        <v>-43.5478</v>
      </c>
      <c r="Y2094" s="2" t="n">
        <v>172.521</v>
      </c>
    </row>
    <row r="2095">
      <c r="A2095" s="2" t="inlineStr">
        <is>
          <t>Downer</t>
        </is>
      </c>
      <c r="B2095" s="2" t="inlineStr">
        <is>
          <t>SHCF UNIT 14C PROJECT</t>
        </is>
      </c>
      <c r="C2095" s="2" t="inlineStr">
        <is>
          <t>Project</t>
        </is>
      </c>
      <c r="D2095" s="2" t="inlineStr">
        <is>
          <t>L9.DNZ.HC0354</t>
        </is>
      </c>
      <c r="E2095" s="2" t="inlineStr">
        <is>
          <t>JP_HC0354</t>
        </is>
      </c>
      <c r="M2095" s="2" t="inlineStr">
        <is>
          <t>Te Kauwhata</t>
        </is>
      </c>
      <c r="N2095" s="2" t="inlineStr">
        <is>
          <t>New Zealand</t>
        </is>
      </c>
      <c r="P2095" s="2" t="inlineStr">
        <is>
          <t>Operational Control</t>
        </is>
      </c>
      <c r="Q2095" s="2" t="inlineStr">
        <is>
          <t>Operational Control</t>
        </is>
      </c>
      <c r="R2095" s="2" t="inlineStr">
        <is>
          <t>Transport &amp; Infrastructure (T&amp;I)</t>
        </is>
      </c>
      <c r="S2095" s="2" t="inlineStr">
        <is>
          <t>Downer</t>
        </is>
      </c>
      <c r="T2095" s="2" t="n">
        <v>100</v>
      </c>
      <c r="W2095" s="2" t="inlineStr">
        <is>
          <t>Classification</t>
        </is>
      </c>
    </row>
    <row r="2096">
      <c r="A2096" s="2" t="inlineStr">
        <is>
          <t>Downer</t>
        </is>
      </c>
      <c r="B2096" s="2" t="inlineStr">
        <is>
          <t>Shed - 125 Hayward Avenue, Torrensville</t>
        </is>
      </c>
      <c r="C2096" s="2" t="inlineStr">
        <is>
          <t>Warehouse</t>
        </is>
      </c>
      <c r="D2096" s="2" t="inlineStr">
        <is>
          <t>L9.J.10920030</t>
        </is>
      </c>
      <c r="E2096" s="2" t="n">
        <v>10920030</v>
      </c>
      <c r="G2096" s="2" t="inlineStr">
        <is>
          <t>Only captured 50% electricity usage.</t>
        </is>
      </c>
      <c r="H2096" s="2" t="inlineStr">
        <is>
          <t>Unit 1,125 Hayward Avenue</t>
        </is>
      </c>
      <c r="I2096" s="2" t="inlineStr">
        <is>
          <t>Torrensville</t>
        </is>
      </c>
      <c r="J2096" s="2" t="inlineStr">
        <is>
          <t>South Australia</t>
        </is>
      </c>
      <c r="M2096" s="2" t="inlineStr">
        <is>
          <t>South Australia</t>
        </is>
      </c>
      <c r="N2096" s="2" t="inlineStr">
        <is>
          <t>Australia</t>
        </is>
      </c>
      <c r="P2096" s="2" t="inlineStr">
        <is>
          <t>Operational Control</t>
        </is>
      </c>
      <c r="Q2096" s="2" t="inlineStr">
        <is>
          <t>Operational Control</t>
        </is>
      </c>
      <c r="R2096" s="2" t="inlineStr">
        <is>
          <t>Corporate</t>
        </is>
      </c>
      <c r="S2096" s="2" t="inlineStr">
        <is>
          <t>Downer</t>
        </is>
      </c>
      <c r="T2096" s="2" t="n">
        <v>100</v>
      </c>
      <c r="W2096" s="2" t="inlineStr">
        <is>
          <t>Classification</t>
        </is>
      </c>
    </row>
    <row r="2097">
      <c r="A2097" s="2" t="inlineStr">
        <is>
          <t>Downer</t>
        </is>
      </c>
      <c r="B2097" s="2" t="inlineStr">
        <is>
          <t>SHMPAC</t>
        </is>
      </c>
      <c r="C2097" s="2" t="inlineStr">
        <is>
          <t>Other</t>
        </is>
      </c>
      <c r="D2097" s="2" t="inlineStr">
        <is>
          <t>L9.DNZ.HC0343</t>
        </is>
      </c>
      <c r="E2097" s="2" t="inlineStr">
        <is>
          <t>JP_HC0343</t>
        </is>
      </c>
      <c r="H2097" s="2" t="inlineStr">
        <is>
          <t>130 Kerrs Road</t>
        </is>
      </c>
      <c r="I2097" s="2" t="inlineStr">
        <is>
          <t>Wiri</t>
        </is>
      </c>
      <c r="J2097" s="2" t="inlineStr">
        <is>
          <t>Auckland</t>
        </is>
      </c>
      <c r="K2097" s="2" t="n">
        <v>2104</v>
      </c>
      <c r="L2097" s="2" t="inlineStr">
        <is>
          <t>New Zealand</t>
        </is>
      </c>
      <c r="M2097" s="2" t="inlineStr">
        <is>
          <t>Manurewa</t>
        </is>
      </c>
      <c r="N2097" s="2" t="inlineStr">
        <is>
          <t>New Zealand</t>
        </is>
      </c>
      <c r="P2097" s="2" t="inlineStr">
        <is>
          <t>Operational Control</t>
        </is>
      </c>
      <c r="Q2097" s="2" t="inlineStr">
        <is>
          <t>Operational Control</t>
        </is>
      </c>
      <c r="R2097" s="2" t="inlineStr">
        <is>
          <t>Transport &amp; Infrastructure (T&amp;I)</t>
        </is>
      </c>
      <c r="S2097" s="2" t="inlineStr">
        <is>
          <t>Downer</t>
        </is>
      </c>
      <c r="T2097" s="2" t="n">
        <v>100</v>
      </c>
      <c r="W2097" s="2" t="inlineStr">
        <is>
          <t>Classification</t>
        </is>
      </c>
      <c r="X2097" s="2" t="n">
        <v>-37.0083</v>
      </c>
      <c r="Y2097" s="2" t="n">
        <v>174.8705</v>
      </c>
    </row>
    <row r="2098">
      <c r="A2098" s="2" t="inlineStr">
        <is>
          <t>Downer</t>
        </is>
      </c>
      <c r="B2098" s="2" t="inlineStr">
        <is>
          <t>SI&amp;CS FY20 and FY23 Subcontractors</t>
        </is>
      </c>
      <c r="C2098" s="2" t="inlineStr">
        <is>
          <t>Agency</t>
        </is>
      </c>
      <c r="D2098" s="2" t="inlineStr">
        <is>
          <t>L9.S.26020558</t>
        </is>
      </c>
      <c r="E2098" s="2" t="inlineStr">
        <is>
          <t>L9.S.26020558</t>
        </is>
      </c>
      <c r="M2098" s="2" t="inlineStr">
        <is>
          <t>Auckland City</t>
        </is>
      </c>
      <c r="N2098" s="2" t="inlineStr">
        <is>
          <t>New Zealand</t>
        </is>
      </c>
      <c r="P2098" s="2" t="inlineStr">
        <is>
          <t>Operational Control</t>
        </is>
      </c>
      <c r="Q2098" s="2" t="inlineStr">
        <is>
          <t>Operational Control</t>
        </is>
      </c>
      <c r="R2098" s="2" t="inlineStr">
        <is>
          <t>Social Infra &amp; Citizen Serv (SICS)</t>
        </is>
      </c>
      <c r="S2098" s="2" t="inlineStr">
        <is>
          <t>Downer</t>
        </is>
      </c>
      <c r="T2098" s="2" t="n">
        <v>100</v>
      </c>
      <c r="W2098" s="2" t="inlineStr">
        <is>
          <t>Classification</t>
        </is>
      </c>
    </row>
    <row r="2099">
      <c r="A2099" s="2" t="inlineStr">
        <is>
          <t>Downer</t>
        </is>
      </c>
      <c r="B2099" s="2" t="inlineStr">
        <is>
          <t>SITE 6 WYNYARD QUARTER</t>
        </is>
      </c>
      <c r="C2099" s="2" t="inlineStr">
        <is>
          <t>Other</t>
        </is>
      </c>
      <c r="D2099" s="2" t="inlineStr">
        <is>
          <t>L9.DNZ.HA0403</t>
        </is>
      </c>
      <c r="E2099" s="2" t="inlineStr">
        <is>
          <t>JP_HA0403</t>
        </is>
      </c>
      <c r="H2099" s="2" t="inlineStr">
        <is>
          <t>130 Kerrs Road</t>
        </is>
      </c>
      <c r="I2099" s="2" t="inlineStr">
        <is>
          <t>Wiri</t>
        </is>
      </c>
      <c r="J2099" s="2" t="inlineStr">
        <is>
          <t>Auckland</t>
        </is>
      </c>
      <c r="K2099" s="2" t="n">
        <v>2104</v>
      </c>
      <c r="L2099" s="2" t="inlineStr">
        <is>
          <t>New Zealand</t>
        </is>
      </c>
      <c r="M2099" s="2" t="inlineStr">
        <is>
          <t>Manurewa</t>
        </is>
      </c>
      <c r="N2099" s="2" t="inlineStr">
        <is>
          <t>New Zealand</t>
        </is>
      </c>
      <c r="P2099" s="2" t="inlineStr">
        <is>
          <t>Operational Control</t>
        </is>
      </c>
      <c r="Q2099" s="2" t="inlineStr">
        <is>
          <t>Operational Control</t>
        </is>
      </c>
      <c r="R2099" s="2" t="inlineStr">
        <is>
          <t>Transport &amp; Infrastructure (T&amp;I)</t>
        </is>
      </c>
      <c r="S2099" s="2" t="inlineStr">
        <is>
          <t>Downer</t>
        </is>
      </c>
      <c r="T2099" s="2" t="n">
        <v>100</v>
      </c>
      <c r="W2099" s="2" t="inlineStr">
        <is>
          <t>Classification</t>
        </is>
      </c>
      <c r="X2099" s="2" t="n">
        <v>-37.0083</v>
      </c>
      <c r="Y2099" s="2" t="n">
        <v>174.8705</v>
      </c>
    </row>
    <row r="2100">
      <c r="A2100" s="2" t="inlineStr">
        <is>
          <t>Downer</t>
        </is>
      </c>
      <c r="B2100" s="2" t="inlineStr">
        <is>
          <t>Skilltech - Barwon Water</t>
        </is>
      </c>
      <c r="C2100" s="2" t="inlineStr">
        <is>
          <t>Office / Warehouse</t>
        </is>
      </c>
      <c r="D2100" s="2" t="inlineStr">
        <is>
          <t>L9.S.16013434</t>
        </is>
      </c>
      <c r="E2100" s="2" t="inlineStr">
        <is>
          <t>L9.S.16013434</t>
        </is>
      </c>
      <c r="M2100" s="2" t="inlineStr">
        <is>
          <t>Victoria</t>
        </is>
      </c>
      <c r="N2100" s="2" t="inlineStr">
        <is>
          <t>Australia</t>
        </is>
      </c>
      <c r="P2100" s="2" t="inlineStr">
        <is>
          <t>Operational Control</t>
        </is>
      </c>
      <c r="Q2100" s="2" t="inlineStr">
        <is>
          <t>Operational Control</t>
        </is>
      </c>
      <c r="R2100" s="2" t="inlineStr">
        <is>
          <t>Energy and Utilities (EU)</t>
        </is>
      </c>
      <c r="S2100" s="2" t="inlineStr">
        <is>
          <t>Downer</t>
        </is>
      </c>
      <c r="T2100" s="2" t="n">
        <v>100</v>
      </c>
      <c r="W2100" s="2" t="inlineStr">
        <is>
          <t>Classification</t>
        </is>
      </c>
    </row>
    <row r="2101">
      <c r="A2101" s="2" t="inlineStr">
        <is>
          <t>Downer</t>
        </is>
      </c>
      <c r="B2101" s="2" t="inlineStr">
        <is>
          <t>Skilltech - Mitchell</t>
        </is>
      </c>
      <c r="C2101" s="2" t="inlineStr">
        <is>
          <t>Branch Office</t>
        </is>
      </c>
      <c r="D2101" s="2" t="inlineStr">
        <is>
          <t>L9.S.13000908</t>
        </is>
      </c>
      <c r="H2101" s="2" t="inlineStr">
        <is>
          <t>69/71 Darling Street</t>
        </is>
      </c>
      <c r="I2101" s="2" t="inlineStr">
        <is>
          <t>Mitchell</t>
        </is>
      </c>
      <c r="J2101" s="2" t="inlineStr">
        <is>
          <t>ACT</t>
        </is>
      </c>
      <c r="M2101" s="2" t="inlineStr">
        <is>
          <t>Australian Capital Territory</t>
        </is>
      </c>
      <c r="N2101" s="2" t="inlineStr">
        <is>
          <t>Australia</t>
        </is>
      </c>
      <c r="P2101" s="2" t="inlineStr">
        <is>
          <t>Operational Control</t>
        </is>
      </c>
      <c r="Q2101" s="2" t="inlineStr">
        <is>
          <t>Operational Control</t>
        </is>
      </c>
      <c r="R2101" s="2" t="inlineStr">
        <is>
          <t>Energy and Utilities (EU)</t>
        </is>
      </c>
      <c r="S2101" s="2" t="inlineStr">
        <is>
          <t>Downer</t>
        </is>
      </c>
      <c r="T2101" s="2" t="n">
        <v>100</v>
      </c>
      <c r="W2101" s="2" t="inlineStr">
        <is>
          <t>Classification</t>
        </is>
      </c>
    </row>
    <row r="2102">
      <c r="A2102" s="2" t="inlineStr">
        <is>
          <t>Downer</t>
        </is>
      </c>
      <c r="B2102" s="2" t="inlineStr">
        <is>
          <t>Skilltech - Port Macquarie</t>
        </is>
      </c>
      <c r="C2102" s="2" t="inlineStr">
        <is>
          <t>Office</t>
        </is>
      </c>
      <c r="D2102" s="2" t="inlineStr">
        <is>
          <t>L9.S.13000907</t>
        </is>
      </c>
      <c r="H2102" s="2" t="inlineStr">
        <is>
          <t>1A/19 Short St,</t>
        </is>
      </c>
      <c r="I2102" s="2" t="inlineStr">
        <is>
          <t>Port Macquarie</t>
        </is>
      </c>
      <c r="J2102" s="2" t="inlineStr">
        <is>
          <t>NSW</t>
        </is>
      </c>
      <c r="M2102" s="2" t="inlineStr">
        <is>
          <t>New South Wales</t>
        </is>
      </c>
      <c r="N2102" s="2" t="inlineStr">
        <is>
          <t>Australia</t>
        </is>
      </c>
      <c r="P2102" s="2" t="inlineStr">
        <is>
          <t>Operational Control</t>
        </is>
      </c>
      <c r="Q2102" s="2" t="inlineStr">
        <is>
          <t>Operational Control</t>
        </is>
      </c>
      <c r="R2102" s="2" t="inlineStr">
        <is>
          <t>Energy and Utilities (EU)</t>
        </is>
      </c>
      <c r="S2102" s="2" t="inlineStr">
        <is>
          <t>Downer</t>
        </is>
      </c>
      <c r="T2102" s="2" t="n">
        <v>100</v>
      </c>
      <c r="W2102" s="2" t="inlineStr">
        <is>
          <t>Classification</t>
        </is>
      </c>
    </row>
    <row r="2103">
      <c r="A2103" s="2" t="inlineStr">
        <is>
          <t>Downer</t>
        </is>
      </c>
      <c r="B2103" s="2" t="inlineStr">
        <is>
          <t>Skilltech - Rydalmere</t>
        </is>
      </c>
      <c r="C2103" s="2" t="inlineStr">
        <is>
          <t>Depot</t>
        </is>
      </c>
      <c r="D2103" s="2" t="inlineStr">
        <is>
          <t>L9.S.13000871</t>
        </is>
      </c>
      <c r="E2103" s="2" t="inlineStr">
        <is>
          <t>L9.S.13000871</t>
        </is>
      </c>
      <c r="H2103" s="2" t="inlineStr">
        <is>
          <t>Unit S 10-16 South Street</t>
        </is>
      </c>
      <c r="I2103" s="2" t="inlineStr">
        <is>
          <t>Rydalmere</t>
        </is>
      </c>
      <c r="J2103" s="2" t="inlineStr">
        <is>
          <t>NSW</t>
        </is>
      </c>
      <c r="K2103" s="2" t="n">
        <v>2116</v>
      </c>
      <c r="M2103" s="2" t="inlineStr">
        <is>
          <t>Parramatta</t>
        </is>
      </c>
      <c r="N2103" s="2" t="inlineStr">
        <is>
          <t>Australia</t>
        </is>
      </c>
      <c r="P2103" s="2" t="inlineStr">
        <is>
          <t>Operational Control</t>
        </is>
      </c>
      <c r="Q2103" s="2" t="inlineStr">
        <is>
          <t>Operational Control</t>
        </is>
      </c>
      <c r="R2103" s="2" t="inlineStr">
        <is>
          <t>Energy and Utilities (EU)</t>
        </is>
      </c>
      <c r="S2103" s="2" t="inlineStr">
        <is>
          <t>Downer</t>
        </is>
      </c>
      <c r="T2103" s="2" t="n">
        <v>100</v>
      </c>
      <c r="W2103" s="2" t="inlineStr">
        <is>
          <t>Classification</t>
        </is>
      </c>
      <c r="Z2103" s="2" t="n">
        <v>692</v>
      </c>
    </row>
    <row r="2104">
      <c r="A2104" s="2" t="inlineStr">
        <is>
          <t>Downer</t>
        </is>
      </c>
      <c r="B2104" s="2" t="inlineStr">
        <is>
          <t>Skilltech - Stuart Park</t>
        </is>
      </c>
      <c r="C2104" s="2" t="inlineStr">
        <is>
          <t>Depot</t>
        </is>
      </c>
      <c r="D2104" s="2" t="inlineStr">
        <is>
          <t>L9.S.13000907</t>
        </is>
      </c>
      <c r="H2104" s="2" t="inlineStr">
        <is>
          <t>Lot 6866
23 A/90 Frances Bay Drive</t>
        </is>
      </c>
      <c r="I2104" s="2" t="inlineStr">
        <is>
          <t>Stuart Park</t>
        </is>
      </c>
      <c r="J2104" s="2" t="inlineStr">
        <is>
          <t>NT</t>
        </is>
      </c>
      <c r="K2104" s="2" t="inlineStr">
        <is>
          <t>0820</t>
        </is>
      </c>
      <c r="L2104" s="2" t="inlineStr">
        <is>
          <t>Australia</t>
        </is>
      </c>
      <c r="M2104" s="2" t="inlineStr">
        <is>
          <t>Northern Territory</t>
        </is>
      </c>
      <c r="N2104" s="2" t="inlineStr">
        <is>
          <t>Australia</t>
        </is>
      </c>
      <c r="P2104" s="2" t="inlineStr">
        <is>
          <t>Operational Control</t>
        </is>
      </c>
      <c r="Q2104" s="2" t="inlineStr">
        <is>
          <t>Operational Control</t>
        </is>
      </c>
      <c r="R2104" s="2" t="inlineStr">
        <is>
          <t>Energy and Utilities (EU)</t>
        </is>
      </c>
      <c r="S2104" s="2" t="inlineStr">
        <is>
          <t>Downer</t>
        </is>
      </c>
      <c r="T2104" s="2" t="n">
        <v>100</v>
      </c>
      <c r="W2104" s="2" t="inlineStr">
        <is>
          <t>Classification</t>
        </is>
      </c>
    </row>
    <row r="2105">
      <c r="A2105" s="2" t="inlineStr">
        <is>
          <t>Downer</t>
        </is>
      </c>
      <c r="B2105" s="2" t="inlineStr">
        <is>
          <t>SkyTV Res - Auckland EU Subcontractors</t>
        </is>
      </c>
      <c r="C2105" s="2" t="inlineStr">
        <is>
          <t>Other</t>
        </is>
      </c>
      <c r="D2105" s="2" t="inlineStr">
        <is>
          <t>L9.DNZ.810.21030</t>
        </is>
      </c>
      <c r="E2105" s="2" t="inlineStr">
        <is>
          <t>L9.DNZ.810.21030</t>
        </is>
      </c>
      <c r="F2105" s="2" t="inlineStr">
        <is>
          <t>L9.DNZ.810.21030</t>
        </is>
      </c>
      <c r="M2105" s="2" t="inlineStr">
        <is>
          <t>Auckland</t>
        </is>
      </c>
      <c r="N2105" s="2" t="inlineStr">
        <is>
          <t>New Zealand</t>
        </is>
      </c>
      <c r="P2105" s="2" t="inlineStr">
        <is>
          <t>Operational Control</t>
        </is>
      </c>
      <c r="Q2105" s="2" t="inlineStr">
        <is>
          <t>Operational Control</t>
        </is>
      </c>
      <c r="R2105" s="2" t="inlineStr">
        <is>
          <t>Energy and Utilities (EU)</t>
        </is>
      </c>
      <c r="S2105" s="2" t="inlineStr">
        <is>
          <t>Downer</t>
        </is>
      </c>
      <c r="T2105" s="2" t="n">
        <v>100</v>
      </c>
      <c r="W2105" s="2" t="inlineStr">
        <is>
          <t>Classification</t>
        </is>
      </c>
    </row>
    <row r="2106">
      <c r="A2106" s="2" t="inlineStr">
        <is>
          <t>Downer</t>
        </is>
      </c>
      <c r="B2106" s="2" t="inlineStr">
        <is>
          <t>SkyTV Res - Canterbury EU Subcontractors</t>
        </is>
      </c>
      <c r="C2106" s="2" t="inlineStr">
        <is>
          <t>Other</t>
        </is>
      </c>
      <c r="D2106" s="2" t="inlineStr">
        <is>
          <t>L9.DNZ.810.21028</t>
        </is>
      </c>
      <c r="E2106" s="2" t="inlineStr">
        <is>
          <t>L9.DNZ.810.21028</t>
        </is>
      </c>
      <c r="F2106" s="2" t="inlineStr">
        <is>
          <t>L9.DNZ.810.21028</t>
        </is>
      </c>
      <c r="M2106" s="2" t="inlineStr">
        <is>
          <t>Auckland</t>
        </is>
      </c>
      <c r="N2106" s="2" t="inlineStr">
        <is>
          <t>New Zealand</t>
        </is>
      </c>
      <c r="P2106" s="2" t="inlineStr">
        <is>
          <t>Operational Control</t>
        </is>
      </c>
      <c r="Q2106" s="2" t="inlineStr">
        <is>
          <t>Operational Control</t>
        </is>
      </c>
      <c r="R2106" s="2" t="inlineStr">
        <is>
          <t>Energy and Utilities (EU)</t>
        </is>
      </c>
      <c r="S2106" s="2" t="inlineStr">
        <is>
          <t>Downer</t>
        </is>
      </c>
      <c r="T2106" s="2" t="n">
        <v>100</v>
      </c>
      <c r="W2106" s="2" t="inlineStr">
        <is>
          <t>Classification</t>
        </is>
      </c>
    </row>
    <row r="2107">
      <c r="A2107" s="2" t="inlineStr">
        <is>
          <t>Downer</t>
        </is>
      </c>
      <c r="B2107" s="2" t="inlineStr">
        <is>
          <t>SkyTV Res - Central Otago EU Subcontractors</t>
        </is>
      </c>
      <c r="C2107" s="2" t="inlineStr">
        <is>
          <t>Other</t>
        </is>
      </c>
      <c r="D2107" s="2" t="inlineStr">
        <is>
          <t>L9.DNZ.810.21045</t>
        </is>
      </c>
      <c r="E2107" s="2" t="inlineStr">
        <is>
          <t>L9.DNZ.810.21045</t>
        </is>
      </c>
      <c r="F2107" s="2" t="inlineStr">
        <is>
          <t>L9.DNZ.810.21045</t>
        </is>
      </c>
      <c r="M2107" s="2" t="inlineStr">
        <is>
          <t>Auckland</t>
        </is>
      </c>
      <c r="N2107" s="2" t="inlineStr">
        <is>
          <t>New Zealand</t>
        </is>
      </c>
      <c r="P2107" s="2" t="inlineStr">
        <is>
          <t>Operational Control</t>
        </is>
      </c>
      <c r="Q2107" s="2" t="inlineStr">
        <is>
          <t>Operational Control</t>
        </is>
      </c>
      <c r="R2107" s="2" t="inlineStr">
        <is>
          <t>Energy and Utilities (EU)</t>
        </is>
      </c>
      <c r="S2107" s="2" t="inlineStr">
        <is>
          <t>Downer</t>
        </is>
      </c>
      <c r="T2107" s="2" t="n">
        <v>100</v>
      </c>
      <c r="W2107" s="2" t="inlineStr">
        <is>
          <t>Classification</t>
        </is>
      </c>
    </row>
    <row r="2108">
      <c r="A2108" s="2" t="inlineStr">
        <is>
          <t>Downer</t>
        </is>
      </c>
      <c r="B2108" s="2" t="inlineStr">
        <is>
          <t>SkyTV Res - Gisborne EU Subcontractors</t>
        </is>
      </c>
      <c r="C2108" s="2" t="inlineStr">
        <is>
          <t>Other</t>
        </is>
      </c>
      <c r="D2108" s="2" t="inlineStr">
        <is>
          <t>L9.DNZ.810.21032</t>
        </is>
      </c>
      <c r="E2108" s="2" t="inlineStr">
        <is>
          <t>L9.DNZ.810.21032</t>
        </is>
      </c>
      <c r="F2108" s="2" t="inlineStr">
        <is>
          <t>L9.DNZ.810.21032</t>
        </is>
      </c>
      <c r="M2108" s="2" t="inlineStr">
        <is>
          <t>Auckland</t>
        </is>
      </c>
      <c r="N2108" s="2" t="inlineStr">
        <is>
          <t>New Zealand</t>
        </is>
      </c>
      <c r="P2108" s="2" t="inlineStr">
        <is>
          <t>Operational Control</t>
        </is>
      </c>
      <c r="Q2108" s="2" t="inlineStr">
        <is>
          <t>Operational Control</t>
        </is>
      </c>
      <c r="R2108" s="2" t="inlineStr">
        <is>
          <t>Energy and Utilities (EU)</t>
        </is>
      </c>
      <c r="S2108" s="2" t="inlineStr">
        <is>
          <t>Downer</t>
        </is>
      </c>
      <c r="T2108" s="2" t="n">
        <v>100</v>
      </c>
      <c r="W2108" s="2" t="inlineStr">
        <is>
          <t>Classification</t>
        </is>
      </c>
    </row>
    <row r="2109">
      <c r="A2109" s="2" t="inlineStr">
        <is>
          <t>Downer</t>
        </is>
      </c>
      <c r="B2109" s="2" t="inlineStr">
        <is>
          <t>SkyTV Res - Hawkes Bay EU Subcontractors</t>
        </is>
      </c>
      <c r="C2109" s="2" t="inlineStr">
        <is>
          <t>Other</t>
        </is>
      </c>
      <c r="D2109" s="2" t="inlineStr">
        <is>
          <t>L9.DNZ.810.21026</t>
        </is>
      </c>
      <c r="E2109" s="2" t="inlineStr">
        <is>
          <t>L9.DNZ.810.21026</t>
        </is>
      </c>
      <c r="F2109" s="2" t="inlineStr">
        <is>
          <t>L9.DNZ.810.21026</t>
        </is>
      </c>
      <c r="M2109" s="2" t="inlineStr">
        <is>
          <t>Auckland</t>
        </is>
      </c>
      <c r="N2109" s="2" t="inlineStr">
        <is>
          <t>New Zealand</t>
        </is>
      </c>
      <c r="P2109" s="2" t="inlineStr">
        <is>
          <t>Operational Control</t>
        </is>
      </c>
      <c r="Q2109" s="2" t="inlineStr">
        <is>
          <t>Operational Control</t>
        </is>
      </c>
      <c r="R2109" s="2" t="inlineStr">
        <is>
          <t>Energy and Utilities (EU)</t>
        </is>
      </c>
      <c r="S2109" s="2" t="inlineStr">
        <is>
          <t>Downer</t>
        </is>
      </c>
      <c r="T2109" s="2" t="n">
        <v>100</v>
      </c>
      <c r="W2109" s="2" t="inlineStr">
        <is>
          <t>Classification</t>
        </is>
      </c>
    </row>
    <row r="2110">
      <c r="A2110" s="2" t="inlineStr">
        <is>
          <t>Downer</t>
        </is>
      </c>
      <c r="B2110" s="2" t="inlineStr">
        <is>
          <t>SkyTV Res - Manawatu EU Subcontractors</t>
        </is>
      </c>
      <c r="C2110" s="2" t="inlineStr">
        <is>
          <t>Other</t>
        </is>
      </c>
      <c r="D2110" s="2" t="inlineStr">
        <is>
          <t>L9.DNZ.810.21026</t>
        </is>
      </c>
      <c r="E2110" s="2" t="inlineStr">
        <is>
          <t>L9.DNZ.810.21026</t>
        </is>
      </c>
      <c r="F2110" s="2" t="inlineStr">
        <is>
          <t>L9.DNZ.810.21026</t>
        </is>
      </c>
      <c r="M2110" s="2" t="inlineStr">
        <is>
          <t>Auckland</t>
        </is>
      </c>
      <c r="N2110" s="2" t="inlineStr">
        <is>
          <t>New Zealand</t>
        </is>
      </c>
      <c r="P2110" s="2" t="inlineStr">
        <is>
          <t>Operational Control</t>
        </is>
      </c>
      <c r="Q2110" s="2" t="inlineStr">
        <is>
          <t>Operational Control</t>
        </is>
      </c>
      <c r="R2110" s="2" t="inlineStr">
        <is>
          <t>Energy and Utilities (EU)</t>
        </is>
      </c>
      <c r="S2110" s="2" t="inlineStr">
        <is>
          <t>Downer</t>
        </is>
      </c>
      <c r="T2110" s="2" t="n">
        <v>100</v>
      </c>
      <c r="W2110" s="2" t="inlineStr">
        <is>
          <t>Classification</t>
        </is>
      </c>
    </row>
    <row r="2111">
      <c r="A2111" s="2" t="inlineStr">
        <is>
          <t>Downer</t>
        </is>
      </c>
      <c r="B2111" s="2" t="inlineStr">
        <is>
          <t>SkyTV Res - New Plymouth EU Subcontractors</t>
        </is>
      </c>
      <c r="C2111" s="2" t="inlineStr">
        <is>
          <t>Other</t>
        </is>
      </c>
      <c r="D2111" s="2" t="inlineStr">
        <is>
          <t>L9.DNZ.810.21032</t>
        </is>
      </c>
      <c r="E2111" s="2" t="inlineStr">
        <is>
          <t>L9.DNZ.810.21032</t>
        </is>
      </c>
      <c r="F2111" s="2" t="inlineStr">
        <is>
          <t>L9.DNZ.810.21032</t>
        </is>
      </c>
      <c r="M2111" s="2" t="inlineStr">
        <is>
          <t>Auckland</t>
        </is>
      </c>
      <c r="N2111" s="2" t="inlineStr">
        <is>
          <t>New Zealand</t>
        </is>
      </c>
      <c r="P2111" s="2" t="inlineStr">
        <is>
          <t>Operational Control</t>
        </is>
      </c>
      <c r="Q2111" s="2" t="inlineStr">
        <is>
          <t>Operational Control</t>
        </is>
      </c>
      <c r="R2111" s="2" t="inlineStr">
        <is>
          <t>Energy and Utilities (EU)</t>
        </is>
      </c>
      <c r="S2111" s="2" t="inlineStr">
        <is>
          <t>Downer</t>
        </is>
      </c>
      <c r="T2111" s="2" t="n">
        <v>100</v>
      </c>
      <c r="W2111" s="2" t="inlineStr">
        <is>
          <t>Classification</t>
        </is>
      </c>
    </row>
    <row r="2112">
      <c r="A2112" s="2" t="inlineStr">
        <is>
          <t>Downer</t>
        </is>
      </c>
      <c r="B2112" s="2" t="inlineStr">
        <is>
          <t>SkyTV Res - Northland EU Subcontractors</t>
        </is>
      </c>
      <c r="C2112" s="2" t="inlineStr">
        <is>
          <t>Other</t>
        </is>
      </c>
      <c r="D2112" s="2" t="inlineStr">
        <is>
          <t>L9.DNZ.810.21027</t>
        </is>
      </c>
      <c r="E2112" s="2" t="inlineStr">
        <is>
          <t>L9.DNZ.810.21027</t>
        </is>
      </c>
      <c r="F2112" s="2" t="inlineStr">
        <is>
          <t>L9.DNZ.810.21027</t>
        </is>
      </c>
      <c r="M2112" s="2" t="inlineStr">
        <is>
          <t>Auckland</t>
        </is>
      </c>
      <c r="N2112" s="2" t="inlineStr">
        <is>
          <t>New Zealand</t>
        </is>
      </c>
      <c r="P2112" s="2" t="inlineStr">
        <is>
          <t>Operational Control</t>
        </is>
      </c>
      <c r="Q2112" s="2" t="inlineStr">
        <is>
          <t>Operational Control</t>
        </is>
      </c>
      <c r="R2112" s="2" t="inlineStr">
        <is>
          <t>Energy and Utilities (EU)</t>
        </is>
      </c>
      <c r="S2112" s="2" t="inlineStr">
        <is>
          <t>Downer</t>
        </is>
      </c>
      <c r="T2112" s="2" t="n">
        <v>100</v>
      </c>
      <c r="W2112" s="2" t="inlineStr">
        <is>
          <t>Classification</t>
        </is>
      </c>
    </row>
    <row r="2113">
      <c r="A2113" s="2" t="inlineStr">
        <is>
          <t>Downer</t>
        </is>
      </c>
      <c r="B2113" s="2" t="inlineStr">
        <is>
          <t>SkyTV Res - Otago EU Subcontractors</t>
        </is>
      </c>
      <c r="C2113" s="2" t="inlineStr">
        <is>
          <t>Other</t>
        </is>
      </c>
      <c r="D2113" s="2" t="inlineStr">
        <is>
          <t>L9.DNZ.810.21045</t>
        </is>
      </c>
      <c r="E2113" s="2" t="inlineStr">
        <is>
          <t>L9.DNZ.810.21045</t>
        </is>
      </c>
      <c r="F2113" s="2" t="inlineStr">
        <is>
          <t>L9.DNZ.810.21045</t>
        </is>
      </c>
      <c r="M2113" s="2" t="inlineStr">
        <is>
          <t>Auckland</t>
        </is>
      </c>
      <c r="N2113" s="2" t="inlineStr">
        <is>
          <t>New Zealand</t>
        </is>
      </c>
      <c r="P2113" s="2" t="inlineStr">
        <is>
          <t>Operational Control</t>
        </is>
      </c>
      <c r="Q2113" s="2" t="inlineStr">
        <is>
          <t>Operational Control</t>
        </is>
      </c>
      <c r="R2113" s="2" t="inlineStr">
        <is>
          <t>Energy and Utilities (EU)</t>
        </is>
      </c>
      <c r="S2113" s="2" t="inlineStr">
        <is>
          <t>Downer</t>
        </is>
      </c>
      <c r="T2113" s="2" t="n">
        <v>100</v>
      </c>
      <c r="W2113" s="2" t="inlineStr">
        <is>
          <t>Classification</t>
        </is>
      </c>
    </row>
    <row r="2114">
      <c r="A2114" s="2" t="inlineStr">
        <is>
          <t>Downer</t>
        </is>
      </c>
      <c r="B2114" s="2" t="inlineStr">
        <is>
          <t>SkyTV Res - Rotorua EU Subcontractors</t>
        </is>
      </c>
      <c r="C2114" s="2" t="inlineStr">
        <is>
          <t>Other</t>
        </is>
      </c>
      <c r="D2114" s="2" t="inlineStr">
        <is>
          <t>L9.DNZ.810.21032</t>
        </is>
      </c>
      <c r="E2114" s="2" t="inlineStr">
        <is>
          <t>L9.DNZ.810.21032</t>
        </is>
      </c>
      <c r="F2114" s="2" t="inlineStr">
        <is>
          <t>L9.DNZ.810.21032</t>
        </is>
      </c>
      <c r="M2114" s="2" t="inlineStr">
        <is>
          <t>Auckland</t>
        </is>
      </c>
      <c r="N2114" s="2" t="inlineStr">
        <is>
          <t>New Zealand</t>
        </is>
      </c>
      <c r="P2114" s="2" t="inlineStr">
        <is>
          <t>Operational Control</t>
        </is>
      </c>
      <c r="Q2114" s="2" t="inlineStr">
        <is>
          <t>Operational Control</t>
        </is>
      </c>
      <c r="R2114" s="2" t="inlineStr">
        <is>
          <t>Energy and Utilities (EU)</t>
        </is>
      </c>
      <c r="S2114" s="2" t="inlineStr">
        <is>
          <t>Downer</t>
        </is>
      </c>
      <c r="T2114" s="2" t="n">
        <v>100</v>
      </c>
      <c r="W2114" s="2" t="inlineStr">
        <is>
          <t>Classification</t>
        </is>
      </c>
    </row>
    <row r="2115">
      <c r="A2115" s="2" t="inlineStr">
        <is>
          <t>Downer</t>
        </is>
      </c>
      <c r="B2115" s="2" t="inlineStr">
        <is>
          <t>SkyTV Res - South Canterbury EU Subcontractors</t>
        </is>
      </c>
      <c r="C2115" s="2" t="inlineStr">
        <is>
          <t>Other</t>
        </is>
      </c>
      <c r="D2115" s="2" t="inlineStr">
        <is>
          <t>L9.DNZ.810.21028</t>
        </is>
      </c>
      <c r="E2115" s="2" t="inlineStr">
        <is>
          <t>L9.DNZ.810.21028</t>
        </is>
      </c>
      <c r="F2115" s="2" t="inlineStr">
        <is>
          <t>L9.DNZ.810.21028</t>
        </is>
      </c>
      <c r="M2115" s="2" t="inlineStr">
        <is>
          <t>Auckland</t>
        </is>
      </c>
      <c r="N2115" s="2" t="inlineStr">
        <is>
          <t>New Zealand</t>
        </is>
      </c>
      <c r="P2115" s="2" t="inlineStr">
        <is>
          <t>Operational Control</t>
        </is>
      </c>
      <c r="Q2115" s="2" t="inlineStr">
        <is>
          <t>Operational Control</t>
        </is>
      </c>
      <c r="R2115" s="2" t="inlineStr">
        <is>
          <t>Energy and Utilities (EU)</t>
        </is>
      </c>
      <c r="S2115" s="2" t="inlineStr">
        <is>
          <t>Downer</t>
        </is>
      </c>
      <c r="T2115" s="2" t="n">
        <v>100</v>
      </c>
      <c r="W2115" s="2" t="inlineStr">
        <is>
          <t>Classification</t>
        </is>
      </c>
    </row>
    <row r="2116">
      <c r="A2116" s="2" t="inlineStr">
        <is>
          <t>Downer</t>
        </is>
      </c>
      <c r="B2116" s="2" t="inlineStr">
        <is>
          <t>SkyTV Res - Southland EU Subcontractors</t>
        </is>
      </c>
      <c r="C2116" s="2" t="inlineStr">
        <is>
          <t>Other</t>
        </is>
      </c>
      <c r="D2116" s="2" t="inlineStr">
        <is>
          <t>L9.DNZ.810.21045</t>
        </is>
      </c>
      <c r="E2116" s="2" t="inlineStr">
        <is>
          <t>L9.DNZ.810.21045</t>
        </is>
      </c>
      <c r="F2116" s="2" t="inlineStr">
        <is>
          <t>L9.DNZ.810.21045</t>
        </is>
      </c>
      <c r="M2116" s="2" t="inlineStr">
        <is>
          <t>Auckland</t>
        </is>
      </c>
      <c r="N2116" s="2" t="inlineStr">
        <is>
          <t>New Zealand</t>
        </is>
      </c>
      <c r="P2116" s="2" t="inlineStr">
        <is>
          <t>Operational Control</t>
        </is>
      </c>
      <c r="Q2116" s="2" t="inlineStr">
        <is>
          <t>Operational Control</t>
        </is>
      </c>
      <c r="R2116" s="2" t="inlineStr">
        <is>
          <t>Energy and Utilities (EU)</t>
        </is>
      </c>
      <c r="S2116" s="2" t="inlineStr">
        <is>
          <t>Downer</t>
        </is>
      </c>
      <c r="T2116" s="2" t="n">
        <v>100</v>
      </c>
      <c r="W2116" s="2" t="inlineStr">
        <is>
          <t>Classification</t>
        </is>
      </c>
    </row>
    <row r="2117">
      <c r="A2117" s="2" t="inlineStr">
        <is>
          <t>Downer</t>
        </is>
      </c>
      <c r="B2117" s="2" t="inlineStr">
        <is>
          <t>SkyTV Res - Taupo EU Subcontractors</t>
        </is>
      </c>
      <c r="C2117" s="2" t="inlineStr">
        <is>
          <t>Other</t>
        </is>
      </c>
      <c r="D2117" s="2" t="inlineStr">
        <is>
          <t>L9.DNZ.810.21032</t>
        </is>
      </c>
      <c r="E2117" s="2" t="inlineStr">
        <is>
          <t>L9.DNZ.810.21032</t>
        </is>
      </c>
      <c r="F2117" s="2" t="inlineStr">
        <is>
          <t>L9.DNZ.810.21032</t>
        </is>
      </c>
      <c r="M2117" s="2" t="inlineStr">
        <is>
          <t>Auckland</t>
        </is>
      </c>
      <c r="N2117" s="2" t="inlineStr">
        <is>
          <t>New Zealand</t>
        </is>
      </c>
      <c r="P2117" s="2" t="inlineStr">
        <is>
          <t>Operational Control</t>
        </is>
      </c>
      <c r="Q2117" s="2" t="inlineStr">
        <is>
          <t>Operational Control</t>
        </is>
      </c>
      <c r="R2117" s="2" t="inlineStr">
        <is>
          <t>Energy and Utilities (EU)</t>
        </is>
      </c>
      <c r="S2117" s="2" t="inlineStr">
        <is>
          <t>Downer</t>
        </is>
      </c>
      <c r="T2117" s="2" t="n">
        <v>100</v>
      </c>
      <c r="W2117" s="2" t="inlineStr">
        <is>
          <t>Classification</t>
        </is>
      </c>
    </row>
    <row r="2118">
      <c r="A2118" s="2" t="inlineStr">
        <is>
          <t>Downer</t>
        </is>
      </c>
      <c r="B2118" s="2" t="inlineStr">
        <is>
          <t>SkyTV Res - Tauranga EU Subcontractors</t>
        </is>
      </c>
      <c r="C2118" s="2" t="inlineStr">
        <is>
          <t>Other</t>
        </is>
      </c>
      <c r="D2118" s="2" t="inlineStr">
        <is>
          <t>L9.DNZ.810.21031</t>
        </is>
      </c>
      <c r="E2118" s="2" t="inlineStr">
        <is>
          <t>L9.DNZ.810.21031</t>
        </is>
      </c>
      <c r="F2118" s="2" t="inlineStr">
        <is>
          <t>L9.DNZ.810.21031</t>
        </is>
      </c>
      <c r="M2118" s="2" t="inlineStr">
        <is>
          <t>Auckland</t>
        </is>
      </c>
      <c r="N2118" s="2" t="inlineStr">
        <is>
          <t>New Zealand</t>
        </is>
      </c>
      <c r="P2118" s="2" t="inlineStr">
        <is>
          <t>Operational Control</t>
        </is>
      </c>
      <c r="Q2118" s="2" t="inlineStr">
        <is>
          <t>Operational Control</t>
        </is>
      </c>
      <c r="R2118" s="2" t="inlineStr">
        <is>
          <t>Energy and Utilities (EU)</t>
        </is>
      </c>
      <c r="S2118" s="2" t="inlineStr">
        <is>
          <t>Downer</t>
        </is>
      </c>
      <c r="T2118" s="2" t="n">
        <v>100</v>
      </c>
      <c r="W2118" s="2" t="inlineStr">
        <is>
          <t>Classification</t>
        </is>
      </c>
    </row>
    <row r="2119">
      <c r="A2119" s="2" t="inlineStr">
        <is>
          <t>Downer</t>
        </is>
      </c>
      <c r="B2119" s="2" t="inlineStr">
        <is>
          <t>SkyTV Res - Waikato EU Subcontractors</t>
        </is>
      </c>
      <c r="C2119" s="2" t="inlineStr">
        <is>
          <t>Other</t>
        </is>
      </c>
      <c r="D2119" s="2" t="inlineStr">
        <is>
          <t>L9.DNZ.810.21028</t>
        </is>
      </c>
      <c r="E2119" s="2" t="inlineStr">
        <is>
          <t>L9.DNZ.810.21028</t>
        </is>
      </c>
      <c r="F2119" s="2" t="inlineStr">
        <is>
          <t>L9.DNZ.810.21028</t>
        </is>
      </c>
      <c r="M2119" s="2" t="inlineStr">
        <is>
          <t>Auckland</t>
        </is>
      </c>
      <c r="N2119" s="2" t="inlineStr">
        <is>
          <t>New Zealand</t>
        </is>
      </c>
      <c r="P2119" s="2" t="inlineStr">
        <is>
          <t>Operational Control</t>
        </is>
      </c>
      <c r="Q2119" s="2" t="inlineStr">
        <is>
          <t>Operational Control</t>
        </is>
      </c>
      <c r="R2119" s="2" t="inlineStr">
        <is>
          <t>Energy and Utilities (EU)</t>
        </is>
      </c>
      <c r="S2119" s="2" t="inlineStr">
        <is>
          <t>Downer</t>
        </is>
      </c>
      <c r="T2119" s="2" t="n">
        <v>100</v>
      </c>
      <c r="W2119" s="2" t="inlineStr">
        <is>
          <t>Classification</t>
        </is>
      </c>
    </row>
    <row r="2120">
      <c r="A2120" s="2" t="inlineStr">
        <is>
          <t>Downer</t>
        </is>
      </c>
      <c r="B2120" s="2" t="inlineStr">
        <is>
          <t>SkyTV Res - Wellington EU Subcontractors</t>
        </is>
      </c>
      <c r="C2120" s="2" t="inlineStr">
        <is>
          <t>Other</t>
        </is>
      </c>
      <c r="D2120" s="2" t="inlineStr">
        <is>
          <t>L9.DNZ.810.21046</t>
        </is>
      </c>
      <c r="E2120" s="2" t="inlineStr">
        <is>
          <t>L9.DNZ.810.21046</t>
        </is>
      </c>
      <c r="F2120" s="2" t="inlineStr">
        <is>
          <t>L9.DNZ.810.21046</t>
        </is>
      </c>
      <c r="M2120" s="2" t="inlineStr">
        <is>
          <t>Auckland</t>
        </is>
      </c>
      <c r="N2120" s="2" t="inlineStr">
        <is>
          <t>New Zealand</t>
        </is>
      </c>
      <c r="P2120" s="2" t="inlineStr">
        <is>
          <t>Operational Control</t>
        </is>
      </c>
      <c r="Q2120" s="2" t="inlineStr">
        <is>
          <t>Operational Control</t>
        </is>
      </c>
      <c r="R2120" s="2" t="inlineStr">
        <is>
          <t>Energy and Utilities (EU)</t>
        </is>
      </c>
      <c r="S2120" s="2" t="inlineStr">
        <is>
          <t>Downer</t>
        </is>
      </c>
      <c r="T2120" s="2" t="n">
        <v>100</v>
      </c>
      <c r="W2120" s="2" t="inlineStr">
        <is>
          <t>Classification</t>
        </is>
      </c>
    </row>
    <row r="2121">
      <c r="A2121" s="2" t="inlineStr">
        <is>
          <t>Downer</t>
        </is>
      </c>
      <c r="B2121" s="2" t="inlineStr">
        <is>
          <t>SkyTV Res - Whanganui EU Subcontractors</t>
        </is>
      </c>
      <c r="C2121" s="2" t="inlineStr">
        <is>
          <t>Other</t>
        </is>
      </c>
      <c r="D2121" s="2" t="inlineStr">
        <is>
          <t>L9.DNZ.810.21026</t>
        </is>
      </c>
      <c r="E2121" s="2" t="inlineStr">
        <is>
          <t>L9.DNZ.810.21026</t>
        </is>
      </c>
      <c r="F2121" s="2" t="inlineStr">
        <is>
          <t>L9.DNZ.810.21026</t>
        </is>
      </c>
      <c r="M2121" s="2" t="inlineStr">
        <is>
          <t>Auckland</t>
        </is>
      </c>
      <c r="N2121" s="2" t="inlineStr">
        <is>
          <t>New Zealand</t>
        </is>
      </c>
      <c r="P2121" s="2" t="inlineStr">
        <is>
          <t>Operational Control</t>
        </is>
      </c>
      <c r="Q2121" s="2" t="inlineStr">
        <is>
          <t>Operational Control</t>
        </is>
      </c>
      <c r="R2121" s="2" t="inlineStr">
        <is>
          <t>Energy and Utilities (EU)</t>
        </is>
      </c>
      <c r="S2121" s="2" t="inlineStr">
        <is>
          <t>Downer</t>
        </is>
      </c>
      <c r="T2121" s="2" t="n">
        <v>100</v>
      </c>
      <c r="W2121" s="2" t="inlineStr">
        <is>
          <t>Classification</t>
        </is>
      </c>
    </row>
    <row r="2122">
      <c r="A2122" s="2" t="inlineStr">
        <is>
          <t>Downer</t>
        </is>
      </c>
      <c r="B2122" s="2" t="inlineStr">
        <is>
          <t>SL Auckland Area Manager</t>
        </is>
      </c>
      <c r="C2122" s="2" t="inlineStr">
        <is>
          <t>Other</t>
        </is>
      </c>
      <c r="D2122" s="2" t="inlineStr">
        <is>
          <t>L9.DUN.70110</t>
        </is>
      </c>
      <c r="E2122" s="2" t="inlineStr">
        <is>
          <t>PG70110</t>
        </is>
      </c>
      <c r="H2122" s="2" t="inlineStr">
        <is>
          <t>130 Kerrs Road</t>
        </is>
      </c>
      <c r="I2122" s="2" t="inlineStr">
        <is>
          <t>Wiri</t>
        </is>
      </c>
      <c r="J2122" s="2" t="inlineStr">
        <is>
          <t>Auckland</t>
        </is>
      </c>
      <c r="K2122" s="2" t="n">
        <v>2104</v>
      </c>
      <c r="L2122" s="2" t="inlineStr">
        <is>
          <t>New Zealand</t>
        </is>
      </c>
      <c r="M2122" s="2" t="inlineStr">
        <is>
          <t>Manurewa</t>
        </is>
      </c>
      <c r="N2122" s="2" t="inlineStr">
        <is>
          <t>New Zealand</t>
        </is>
      </c>
      <c r="P2122" s="2" t="inlineStr">
        <is>
          <t>Operational Control</t>
        </is>
      </c>
      <c r="Q2122" s="2" t="inlineStr">
        <is>
          <t>Operational Control</t>
        </is>
      </c>
      <c r="R2122" s="2" t="inlineStr">
        <is>
          <t>Energy and Utilities (EU)</t>
        </is>
      </c>
      <c r="S2122" s="2" t="inlineStr">
        <is>
          <t>Downer</t>
        </is>
      </c>
      <c r="T2122" s="2" t="n">
        <v>100</v>
      </c>
      <c r="W2122" s="2" t="inlineStr">
        <is>
          <t>Classification</t>
        </is>
      </c>
      <c r="X2122" s="2" t="n">
        <v>-37.0083</v>
      </c>
      <c r="Y2122" s="2" t="n">
        <v>174.8705</v>
      </c>
    </row>
    <row r="2123">
      <c r="A2123" s="2" t="inlineStr">
        <is>
          <t>Downer</t>
        </is>
      </c>
      <c r="B2123" s="2" t="inlineStr">
        <is>
          <t>SL Auckland Operations</t>
        </is>
      </c>
      <c r="C2123" s="2" t="inlineStr">
        <is>
          <t>Other</t>
        </is>
      </c>
      <c r="D2123" s="2" t="inlineStr">
        <is>
          <t>L9.DUN.70111</t>
        </is>
      </c>
      <c r="E2123" s="2" t="inlineStr">
        <is>
          <t>PG70111</t>
        </is>
      </c>
      <c r="H2123" s="2" t="inlineStr">
        <is>
          <t>130 Kerrs Road</t>
        </is>
      </c>
      <c r="I2123" s="2" t="inlineStr">
        <is>
          <t>Wiri</t>
        </is>
      </c>
      <c r="J2123" s="2" t="inlineStr">
        <is>
          <t>Auckland</t>
        </is>
      </c>
      <c r="K2123" s="2" t="n">
        <v>2104</v>
      </c>
      <c r="L2123" s="2" t="inlineStr">
        <is>
          <t>New Zealand</t>
        </is>
      </c>
      <c r="M2123" s="2" t="inlineStr">
        <is>
          <t>Manurewa</t>
        </is>
      </c>
      <c r="N2123" s="2" t="inlineStr">
        <is>
          <t>New Zealand</t>
        </is>
      </c>
      <c r="P2123" s="2" t="inlineStr">
        <is>
          <t>Operational Control</t>
        </is>
      </c>
      <c r="Q2123" s="2" t="inlineStr">
        <is>
          <t>Operational Control</t>
        </is>
      </c>
      <c r="R2123" s="2" t="inlineStr">
        <is>
          <t>Energy and Utilities (EU)</t>
        </is>
      </c>
      <c r="S2123" s="2" t="inlineStr">
        <is>
          <t>Downer</t>
        </is>
      </c>
      <c r="T2123" s="2" t="n">
        <v>100</v>
      </c>
      <c r="W2123" s="2" t="inlineStr">
        <is>
          <t>Classification</t>
        </is>
      </c>
      <c r="X2123" s="2" t="n">
        <v>-37.0083</v>
      </c>
      <c r="Y2123" s="2" t="n">
        <v>174.8705</v>
      </c>
    </row>
    <row r="2124">
      <c r="A2124" s="2" t="inlineStr">
        <is>
          <t>Downer</t>
        </is>
      </c>
      <c r="B2124" s="2" t="inlineStr">
        <is>
          <t>SOHO APARTMENTS REMEDIAL WORKS</t>
        </is>
      </c>
      <c r="C2124" s="2" t="inlineStr">
        <is>
          <t>Other</t>
        </is>
      </c>
      <c r="D2124" s="2" t="inlineStr">
        <is>
          <t>L9.DNZ.HW0192</t>
        </is>
      </c>
      <c r="E2124" s="2" t="inlineStr">
        <is>
          <t>JP_HW0192</t>
        </is>
      </c>
      <c r="H2124" s="2" t="inlineStr">
        <is>
          <t>130 Kerrs Road</t>
        </is>
      </c>
      <c r="I2124" s="2" t="inlineStr">
        <is>
          <t>Wiri</t>
        </is>
      </c>
      <c r="J2124" s="2" t="inlineStr">
        <is>
          <t>Auckland</t>
        </is>
      </c>
      <c r="K2124" s="2" t="n">
        <v>2104</v>
      </c>
      <c r="L2124" s="2" t="inlineStr">
        <is>
          <t>New Zealand</t>
        </is>
      </c>
      <c r="M2124" s="2" t="inlineStr">
        <is>
          <t>Manurewa</t>
        </is>
      </c>
      <c r="N2124" s="2" t="inlineStr">
        <is>
          <t>New Zealand</t>
        </is>
      </c>
      <c r="P2124" s="2" t="inlineStr">
        <is>
          <t>Operational Control</t>
        </is>
      </c>
      <c r="Q2124" s="2" t="inlineStr">
        <is>
          <t>Operational Control</t>
        </is>
      </c>
      <c r="R2124" s="2" t="inlineStr">
        <is>
          <t>Transport &amp; Infrastructure (T&amp;I)</t>
        </is>
      </c>
      <c r="S2124" s="2" t="inlineStr">
        <is>
          <t>Downer</t>
        </is>
      </c>
      <c r="T2124" s="2" t="n">
        <v>100</v>
      </c>
      <c r="W2124" s="2" t="inlineStr">
        <is>
          <t>Classification</t>
        </is>
      </c>
      <c r="X2124" s="2" t="n">
        <v>-37.0083</v>
      </c>
      <c r="Y2124" s="2" t="n">
        <v>174.8705</v>
      </c>
    </row>
    <row r="2125">
      <c r="A2125" s="2" t="inlineStr">
        <is>
          <t>Downer</t>
        </is>
      </c>
      <c r="B2125" s="2" t="inlineStr">
        <is>
          <t>Somerton Emulsion Plant</t>
        </is>
      </c>
      <c r="C2125" s="2" t="inlineStr">
        <is>
          <t>Emulsion Plant</t>
        </is>
      </c>
      <c r="D2125" s="2" t="inlineStr">
        <is>
          <t>L9.J.17030134</t>
        </is>
      </c>
      <c r="E2125" s="2" t="n">
        <v>8001</v>
      </c>
      <c r="F2125" s="2" t="n">
        <v>8001</v>
      </c>
      <c r="G2125" s="2" t="inlineStr">
        <is>
          <t>Pakenham emusltion plant relocated to Somerton</t>
        </is>
      </c>
      <c r="H2125" s="2" t="inlineStr">
        <is>
          <t>125-129 Somerton Road</t>
        </is>
      </c>
      <c r="I2125" s="2" t="inlineStr">
        <is>
          <t>Somerton</t>
        </is>
      </c>
      <c r="J2125" s="2" t="inlineStr">
        <is>
          <t>VIC</t>
        </is>
      </c>
      <c r="K2125" s="2" t="n">
        <v>3062</v>
      </c>
      <c r="L2125" s="2" t="inlineStr">
        <is>
          <t>Australia</t>
        </is>
      </c>
      <c r="M2125" s="2" t="inlineStr">
        <is>
          <t>Victoria</t>
        </is>
      </c>
      <c r="N2125" s="2" t="inlineStr">
        <is>
          <t>Australia</t>
        </is>
      </c>
      <c r="P2125" s="2" t="inlineStr">
        <is>
          <t>Operational Control</t>
        </is>
      </c>
      <c r="Q2125" s="2" t="inlineStr">
        <is>
          <t>Operational Control</t>
        </is>
      </c>
      <c r="R2125" s="2" t="inlineStr">
        <is>
          <t>Transport &amp; Infrastructure (T&amp;I)</t>
        </is>
      </c>
      <c r="S2125" s="2" t="inlineStr">
        <is>
          <t>Downer</t>
        </is>
      </c>
      <c r="T2125" s="2" t="n">
        <v>100</v>
      </c>
      <c r="W2125" s="2" t="inlineStr">
        <is>
          <t>Classification</t>
        </is>
      </c>
      <c r="X2125" s="2" t="n">
        <v>-37.642</v>
      </c>
      <c r="Y2125" s="2" t="n">
        <v>144.942</v>
      </c>
      <c r="Z2125" s="2" t="n">
        <v>170</v>
      </c>
      <c r="AA2125" s="11" t="n">
        <v>42552</v>
      </c>
    </row>
    <row r="2126">
      <c r="A2126" s="2" t="inlineStr">
        <is>
          <t>Downer</t>
        </is>
      </c>
      <c r="B2126" s="2" t="inlineStr">
        <is>
          <t>Somerton Rail Depot</t>
        </is>
      </c>
      <c r="C2126" s="2" t="inlineStr">
        <is>
          <t>Depot</t>
        </is>
      </c>
      <c r="D2126" s="2" t="inlineStr">
        <is>
          <t>L9.J.17032664</t>
        </is>
      </c>
      <c r="E2126" s="2" t="inlineStr">
        <is>
          <t>L9.J.17032664</t>
        </is>
      </c>
      <c r="H2126" s="2" t="inlineStr">
        <is>
          <t>125-129 Somerton Road</t>
        </is>
      </c>
      <c r="I2126" s="2" t="inlineStr">
        <is>
          <t>Somerton</t>
        </is>
      </c>
      <c r="J2126" s="2" t="inlineStr">
        <is>
          <t>VIC</t>
        </is>
      </c>
      <c r="K2126" s="2" t="n">
        <v>3062</v>
      </c>
      <c r="L2126" s="2" t="inlineStr">
        <is>
          <t>Australia</t>
        </is>
      </c>
      <c r="M2126" s="2" t="inlineStr">
        <is>
          <t>Victoria</t>
        </is>
      </c>
      <c r="N2126" s="2" t="inlineStr">
        <is>
          <t>Australia</t>
        </is>
      </c>
      <c r="P2126" s="2" t="inlineStr">
        <is>
          <t>Operational Control</t>
        </is>
      </c>
      <c r="Q2126" s="2" t="inlineStr">
        <is>
          <t>Operational Control</t>
        </is>
      </c>
      <c r="R2126" s="2" t="inlineStr">
        <is>
          <t>Transport &amp; Infrastructure (T&amp;I)</t>
        </is>
      </c>
      <c r="S2126" s="2" t="inlineStr">
        <is>
          <t>Downer</t>
        </is>
      </c>
      <c r="T2126" s="2" t="n">
        <v>100</v>
      </c>
      <c r="W2126" s="2" t="inlineStr">
        <is>
          <t>Classification</t>
        </is>
      </c>
      <c r="X2126" s="2" t="n">
        <v>-37.642</v>
      </c>
      <c r="Y2126" s="2" t="n">
        <v>144.942</v>
      </c>
      <c r="Z2126" s="2" t="n">
        <v>310</v>
      </c>
    </row>
    <row r="2127">
      <c r="A2127" s="2" t="inlineStr">
        <is>
          <t>Downer</t>
        </is>
      </c>
      <c r="B2127" s="2" t="inlineStr">
        <is>
          <t>Somme Pde Water &amp; Gas Renewal</t>
        </is>
      </c>
      <c r="C2127" s="2" t="inlineStr">
        <is>
          <t>Other</t>
        </is>
      </c>
      <c r="D2127" s="2" t="inlineStr">
        <is>
          <t>L9.DNZJ.552416</t>
        </is>
      </c>
      <c r="E2127" s="2" t="n">
        <v>552416</v>
      </c>
      <c r="G2127" s="2" t="inlineStr">
        <is>
          <t>TI-NZT-552416 - Somme Pde Water &amp; Gas Renewal</t>
        </is>
      </c>
      <c r="M2127" s="2" t="inlineStr">
        <is>
          <t>Whangarei</t>
        </is>
      </c>
      <c r="N2127" s="2" t="inlineStr">
        <is>
          <t>New Zealand</t>
        </is>
      </c>
      <c r="P2127" s="2" t="inlineStr">
        <is>
          <t>Operational Control</t>
        </is>
      </c>
      <c r="Q2127" s="2" t="inlineStr">
        <is>
          <t>Operational Control</t>
        </is>
      </c>
      <c r="R2127" s="2" t="inlineStr">
        <is>
          <t>Transport &amp; Infrastructure (T&amp;I)</t>
        </is>
      </c>
      <c r="S2127" s="2" t="inlineStr">
        <is>
          <t>Downer</t>
        </is>
      </c>
      <c r="T2127" s="2" t="n">
        <v>100</v>
      </c>
      <c r="W2127" s="2" t="inlineStr">
        <is>
          <t>Classification</t>
        </is>
      </c>
    </row>
    <row r="2128">
      <c r="A2128" s="2" t="inlineStr">
        <is>
          <t>Downer</t>
        </is>
      </c>
      <c r="B2128" s="2" t="inlineStr">
        <is>
          <t>South Admin Team</t>
        </is>
      </c>
      <c r="C2128" s="2" t="inlineStr">
        <is>
          <t>Other</t>
        </is>
      </c>
      <c r="D2128" s="2" t="inlineStr">
        <is>
          <t>L9.DNZJ.54946</t>
        </is>
      </c>
      <c r="E2128" s="2" t="n">
        <v>54946</v>
      </c>
      <c r="G2128" s="2" t="inlineStr">
        <is>
          <t>TI-NZT-54946 - South Admin Team</t>
        </is>
      </c>
      <c r="M2128" s="2" t="inlineStr">
        <is>
          <t>Southland</t>
        </is>
      </c>
      <c r="N2128" s="2" t="inlineStr">
        <is>
          <t>New Zealand</t>
        </is>
      </c>
      <c r="P2128" s="2" t="inlineStr">
        <is>
          <t>Operational Control</t>
        </is>
      </c>
      <c r="Q2128" s="2" t="inlineStr">
        <is>
          <t>Operational Control</t>
        </is>
      </c>
      <c r="R2128" s="2" t="inlineStr">
        <is>
          <t>Transport &amp; Infrastructure (T&amp;I)</t>
        </is>
      </c>
      <c r="S2128" s="2" t="inlineStr">
        <is>
          <t>Downer</t>
        </is>
      </c>
      <c r="T2128" s="2" t="n">
        <v>100</v>
      </c>
      <c r="W2128" s="2" t="inlineStr">
        <is>
          <t>Classification</t>
        </is>
      </c>
    </row>
    <row r="2129">
      <c r="A2129" s="2" t="inlineStr">
        <is>
          <t>Downer</t>
        </is>
      </c>
      <c r="B2129" s="2" t="inlineStr">
        <is>
          <t>South Business Development</t>
        </is>
      </c>
      <c r="C2129" s="2" t="inlineStr">
        <is>
          <t>Other</t>
        </is>
      </c>
      <c r="D2129" s="2" t="inlineStr">
        <is>
          <t>L9.DNZJ.54951</t>
        </is>
      </c>
      <c r="E2129" s="2" t="n">
        <v>54951</v>
      </c>
      <c r="G2129" s="2" t="inlineStr">
        <is>
          <t>TI-NZT-54951 - South</t>
        </is>
      </c>
      <c r="M2129" s="2" t="inlineStr">
        <is>
          <t>Southland</t>
        </is>
      </c>
      <c r="N2129" s="2" t="inlineStr">
        <is>
          <t>New Zealand</t>
        </is>
      </c>
      <c r="P2129" s="2" t="inlineStr">
        <is>
          <t>Operational Control</t>
        </is>
      </c>
      <c r="Q2129" s="2" t="inlineStr">
        <is>
          <t>Operational Control</t>
        </is>
      </c>
      <c r="R2129" s="2" t="inlineStr">
        <is>
          <t>Transport &amp; Infrastructure (T&amp;I)</t>
        </is>
      </c>
      <c r="S2129" s="2" t="inlineStr">
        <is>
          <t>Downer</t>
        </is>
      </c>
      <c r="T2129" s="2" t="n">
        <v>100</v>
      </c>
      <c r="W2129" s="2" t="inlineStr">
        <is>
          <t>Classification</t>
        </is>
      </c>
    </row>
    <row r="2130">
      <c r="A2130" s="2" t="inlineStr">
        <is>
          <t>Downer</t>
        </is>
      </c>
      <c r="B2130" s="2" t="inlineStr">
        <is>
          <t>South Canterbury Telco Ops</t>
        </is>
      </c>
      <c r="C2130" s="2" t="inlineStr">
        <is>
          <t>Other</t>
        </is>
      </c>
      <c r="D2130" s="2" t="inlineStr">
        <is>
          <t>L9.DNZ.810.10.187</t>
        </is>
      </c>
      <c r="E2130" s="2" t="n">
        <v>10187</v>
      </c>
      <c r="G2130" s="2" t="n">
        <v>10.187</v>
      </c>
      <c r="H2130" s="2" t="inlineStr">
        <is>
          <t>130 Kerrs Road</t>
        </is>
      </c>
      <c r="I2130" s="2" t="inlineStr">
        <is>
          <t>Wiri</t>
        </is>
      </c>
      <c r="J2130" s="2" t="inlineStr">
        <is>
          <t>Auckland</t>
        </is>
      </c>
      <c r="K2130" s="2" t="n">
        <v>2104</v>
      </c>
      <c r="L2130" s="2" t="inlineStr">
        <is>
          <t>New Zealand</t>
        </is>
      </c>
      <c r="M2130" s="2" t="inlineStr">
        <is>
          <t>Manurewa</t>
        </is>
      </c>
      <c r="N2130" s="2" t="inlineStr">
        <is>
          <t>New Zealand</t>
        </is>
      </c>
      <c r="P2130" s="2" t="inlineStr">
        <is>
          <t>Operational Control</t>
        </is>
      </c>
      <c r="Q2130" s="2" t="inlineStr">
        <is>
          <t>Operational Control</t>
        </is>
      </c>
      <c r="R2130" s="2" t="inlineStr">
        <is>
          <t>Energy and Utilities (EU)</t>
        </is>
      </c>
      <c r="S2130" s="2" t="inlineStr">
        <is>
          <t>Downer</t>
        </is>
      </c>
      <c r="T2130" s="2" t="n">
        <v>100</v>
      </c>
      <c r="W2130" s="2" t="inlineStr">
        <is>
          <t>Classification</t>
        </is>
      </c>
      <c r="X2130" s="2" t="n">
        <v>-37.0083</v>
      </c>
      <c r="Y2130" s="2" t="n">
        <v>174.8705</v>
      </c>
    </row>
    <row r="2131">
      <c r="A2131" s="2" t="inlineStr">
        <is>
          <t>Downer</t>
        </is>
      </c>
      <c r="B2131" s="2" t="inlineStr">
        <is>
          <t>South East Water EU Subcontractors</t>
        </is>
      </c>
      <c r="C2131" s="2" t="inlineStr">
        <is>
          <t>Other</t>
        </is>
      </c>
      <c r="D2131" s="2" t="inlineStr">
        <is>
          <t>L9.ENG.340.15550</t>
        </is>
      </c>
      <c r="E2131" s="2" t="inlineStr">
        <is>
          <t>L9.ENG.340.15550</t>
        </is>
      </c>
      <c r="M2131" s="2" t="inlineStr">
        <is>
          <t>North Ryde</t>
        </is>
      </c>
      <c r="N2131" s="2" t="inlineStr">
        <is>
          <t>Australia</t>
        </is>
      </c>
      <c r="P2131" s="2" t="inlineStr">
        <is>
          <t>Operational Control</t>
        </is>
      </c>
      <c r="Q2131" s="2" t="inlineStr">
        <is>
          <t>Operational Control</t>
        </is>
      </c>
      <c r="R2131" s="2" t="inlineStr">
        <is>
          <t>Energy and Utilities (EU)</t>
        </is>
      </c>
      <c r="S2131" s="2" t="inlineStr">
        <is>
          <t>Downer</t>
        </is>
      </c>
      <c r="T2131" s="2" t="n">
        <v>100</v>
      </c>
      <c r="W2131" s="2" t="inlineStr">
        <is>
          <t>Classification</t>
        </is>
      </c>
    </row>
    <row r="2132">
      <c r="A2132" s="2" t="inlineStr">
        <is>
          <t>Downer</t>
        </is>
      </c>
      <c r="B2132" s="2" t="inlineStr">
        <is>
          <t>South Island - 45002377</t>
        </is>
      </c>
      <c r="C2132" s="2" t="inlineStr">
        <is>
          <t>Other</t>
        </is>
      </c>
      <c r="D2132" s="2" t="inlineStr">
        <is>
          <t>L9.S.26016608</t>
        </is>
      </c>
      <c r="E2132" s="2" t="n">
        <v>2000004488</v>
      </c>
      <c r="M2132" s="2" t="inlineStr">
        <is>
          <t>Manurewa</t>
        </is>
      </c>
      <c r="N2132" s="2" t="inlineStr">
        <is>
          <t>New Zealand</t>
        </is>
      </c>
      <c r="P2132" s="2" t="inlineStr">
        <is>
          <t>Operational Control</t>
        </is>
      </c>
      <c r="Q2132" s="2" t="inlineStr">
        <is>
          <t>Operational Control</t>
        </is>
      </c>
      <c r="R2132" s="2" t="inlineStr">
        <is>
          <t>Social Infra &amp; Citizen Serv (SICS)</t>
        </is>
      </c>
      <c r="S2132" s="2" t="inlineStr">
        <is>
          <t>Downer</t>
        </is>
      </c>
      <c r="T2132" s="2" t="n">
        <v>100</v>
      </c>
      <c r="W2132" s="2" t="inlineStr">
        <is>
          <t>Classification</t>
        </is>
      </c>
    </row>
    <row r="2133">
      <c r="A2133" s="2" t="inlineStr">
        <is>
          <t>Downer</t>
        </is>
      </c>
      <c r="B2133" s="2" t="inlineStr">
        <is>
          <t>South Island CJESP</t>
        </is>
      </c>
      <c r="C2133" s="2" t="inlineStr">
        <is>
          <t>Other</t>
        </is>
      </c>
      <c r="D2133" s="2" t="inlineStr">
        <is>
          <t>L9.DNZ.810.10.140</t>
        </is>
      </c>
      <c r="E2133" s="2" t="n">
        <v>10140</v>
      </c>
      <c r="G2133" s="2" t="n">
        <v>10.14</v>
      </c>
      <c r="H2133" s="2" t="inlineStr">
        <is>
          <t>130 Kerrs Road</t>
        </is>
      </c>
      <c r="I2133" s="2" t="inlineStr">
        <is>
          <t>Wiri</t>
        </is>
      </c>
      <c r="J2133" s="2" t="inlineStr">
        <is>
          <t>Auckland</t>
        </is>
      </c>
      <c r="K2133" s="2" t="n">
        <v>2104</v>
      </c>
      <c r="L2133" s="2" t="inlineStr">
        <is>
          <t>New Zealand</t>
        </is>
      </c>
      <c r="M2133" s="2" t="inlineStr">
        <is>
          <t>Manurewa</t>
        </is>
      </c>
      <c r="N2133" s="2" t="inlineStr">
        <is>
          <t>New Zealand</t>
        </is>
      </c>
      <c r="P2133" s="2" t="inlineStr">
        <is>
          <t>Operational Control</t>
        </is>
      </c>
      <c r="Q2133" s="2" t="inlineStr">
        <is>
          <t>Operational Control</t>
        </is>
      </c>
      <c r="R2133" s="2" t="inlineStr">
        <is>
          <t>Social Infra &amp; Citizen Serv (SICS)</t>
        </is>
      </c>
      <c r="S2133" s="2" t="inlineStr">
        <is>
          <t>Downer</t>
        </is>
      </c>
      <c r="T2133" s="2" t="n">
        <v>100</v>
      </c>
      <c r="W2133" s="2" t="inlineStr">
        <is>
          <t>Classification</t>
        </is>
      </c>
      <c r="X2133" s="2" t="n">
        <v>-37.0083</v>
      </c>
      <c r="Y2133" s="2" t="n">
        <v>174.8705</v>
      </c>
    </row>
    <row r="2134">
      <c r="A2134" s="2" t="inlineStr">
        <is>
          <t>Downer</t>
        </is>
      </c>
      <c r="B2134" s="2" t="inlineStr">
        <is>
          <t>South Island Corrections</t>
        </is>
      </c>
      <c r="C2134" s="2" t="inlineStr">
        <is>
          <t>Other</t>
        </is>
      </c>
      <c r="D2134" s="2" t="inlineStr">
        <is>
          <t>L9.DNZ.810.10.137</t>
        </is>
      </c>
      <c r="E2134" s="2" t="n">
        <v>10137</v>
      </c>
      <c r="G2134" s="2" t="n">
        <v>10.137</v>
      </c>
      <c r="H2134" s="2" t="inlineStr">
        <is>
          <t>130 Kerrs Road</t>
        </is>
      </c>
      <c r="I2134" s="2" t="inlineStr">
        <is>
          <t>Wiri</t>
        </is>
      </c>
      <c r="J2134" s="2" t="inlineStr">
        <is>
          <t>Auckland</t>
        </is>
      </c>
      <c r="K2134" s="2" t="n">
        <v>2104</v>
      </c>
      <c r="L2134" s="2" t="inlineStr">
        <is>
          <t>New Zealand</t>
        </is>
      </c>
      <c r="M2134" s="2" t="inlineStr">
        <is>
          <t>Manurewa</t>
        </is>
      </c>
      <c r="N2134" s="2" t="inlineStr">
        <is>
          <t>New Zealand</t>
        </is>
      </c>
      <c r="P2134" s="2" t="inlineStr">
        <is>
          <t>Operational Control</t>
        </is>
      </c>
      <c r="Q2134" s="2" t="inlineStr">
        <is>
          <t>Operational Control</t>
        </is>
      </c>
      <c r="R2134" s="2" t="inlineStr">
        <is>
          <t>Social Infra &amp; Citizen Serv (SICS)</t>
        </is>
      </c>
      <c r="S2134" s="2" t="inlineStr">
        <is>
          <t>Downer</t>
        </is>
      </c>
      <c r="T2134" s="2" t="n">
        <v>100</v>
      </c>
      <c r="W2134" s="2" t="inlineStr">
        <is>
          <t>Classification</t>
        </is>
      </c>
      <c r="X2134" s="2" t="n">
        <v>-37.0083</v>
      </c>
      <c r="Y2134" s="2" t="n">
        <v>174.8705</v>
      </c>
    </row>
    <row r="2135">
      <c r="A2135" s="2" t="inlineStr">
        <is>
          <t>Downer</t>
        </is>
      </c>
      <c r="B2135" s="2" t="inlineStr">
        <is>
          <t>South Island Management</t>
        </is>
      </c>
      <c r="C2135" s="2" t="inlineStr">
        <is>
          <t>Other</t>
        </is>
      </c>
      <c r="D2135" s="2" t="inlineStr">
        <is>
          <t>L9.DNZJ.8101</t>
        </is>
      </c>
      <c r="E2135" s="2" t="n">
        <v>8101</v>
      </c>
      <c r="H2135" s="2" t="inlineStr">
        <is>
          <t>130 Kerrs Road</t>
        </is>
      </c>
      <c r="I2135" s="2" t="inlineStr">
        <is>
          <t>Wiri</t>
        </is>
      </c>
      <c r="J2135" s="2" t="inlineStr">
        <is>
          <t>Auckland</t>
        </is>
      </c>
      <c r="K2135" s="2" t="n">
        <v>2104</v>
      </c>
      <c r="L2135" s="2" t="inlineStr">
        <is>
          <t>New Zealand</t>
        </is>
      </c>
      <c r="M2135" s="2" t="inlineStr">
        <is>
          <t>Manurewa</t>
        </is>
      </c>
      <c r="N2135" s="2" t="inlineStr">
        <is>
          <t>New Zealand</t>
        </is>
      </c>
      <c r="P2135" s="2" t="inlineStr">
        <is>
          <t>Operational Control</t>
        </is>
      </c>
      <c r="Q2135" s="2" t="inlineStr">
        <is>
          <t>Operational Control</t>
        </is>
      </c>
      <c r="R2135" s="2" t="inlineStr">
        <is>
          <t>Transport &amp; Infrastructure (T&amp;I)</t>
        </is>
      </c>
      <c r="S2135" s="2" t="inlineStr">
        <is>
          <t>Downer</t>
        </is>
      </c>
      <c r="T2135" s="2" t="n">
        <v>100</v>
      </c>
      <c r="W2135" s="2" t="inlineStr">
        <is>
          <t>Classification</t>
        </is>
      </c>
      <c r="X2135" s="2" t="n">
        <v>-37.0083</v>
      </c>
      <c r="Y2135" s="2" t="n">
        <v>174.8705</v>
      </c>
    </row>
    <row r="2136">
      <c r="A2136" s="2" t="inlineStr">
        <is>
          <t>Downer</t>
        </is>
      </c>
      <c r="B2136" s="2" t="inlineStr">
        <is>
          <t>South Island Regional</t>
        </is>
      </c>
      <c r="C2136" s="2" t="inlineStr">
        <is>
          <t>Other</t>
        </is>
      </c>
      <c r="D2136" s="2" t="inlineStr">
        <is>
          <t>L9.DNZ.810.10.138</t>
        </is>
      </c>
      <c r="E2136" s="2" t="n">
        <v>10138</v>
      </c>
      <c r="G2136" s="2" t="n">
        <v>10.138</v>
      </c>
      <c r="H2136" s="2" t="inlineStr">
        <is>
          <t>130 Kerrs Road</t>
        </is>
      </c>
      <c r="I2136" s="2" t="inlineStr">
        <is>
          <t>Wiri</t>
        </is>
      </c>
      <c r="J2136" s="2" t="inlineStr">
        <is>
          <t>Auckland</t>
        </is>
      </c>
      <c r="K2136" s="2" t="n">
        <v>2104</v>
      </c>
      <c r="L2136" s="2" t="inlineStr">
        <is>
          <t>New Zealand</t>
        </is>
      </c>
      <c r="M2136" s="2" t="inlineStr">
        <is>
          <t>Manurewa</t>
        </is>
      </c>
      <c r="N2136" s="2" t="inlineStr">
        <is>
          <t>New Zealand</t>
        </is>
      </c>
      <c r="P2136" s="2" t="inlineStr">
        <is>
          <t>Operational Control</t>
        </is>
      </c>
      <c r="Q2136" s="2" t="inlineStr">
        <is>
          <t>Operational Control</t>
        </is>
      </c>
      <c r="R2136" s="2" t="inlineStr">
        <is>
          <t>Social Infra &amp; Citizen Serv (SICS)</t>
        </is>
      </c>
      <c r="S2136" s="2" t="inlineStr">
        <is>
          <t>Downer</t>
        </is>
      </c>
      <c r="T2136" s="2" t="n">
        <v>100</v>
      </c>
      <c r="W2136" s="2" t="inlineStr">
        <is>
          <t>Classification</t>
        </is>
      </c>
      <c r="X2136" s="2" t="n">
        <v>-37.0083</v>
      </c>
      <c r="Y2136" s="2" t="n">
        <v>174.8705</v>
      </c>
    </row>
    <row r="2137">
      <c r="A2137" s="2" t="inlineStr">
        <is>
          <t>Downer</t>
        </is>
      </c>
      <c r="B2137" s="2" t="inlineStr">
        <is>
          <t>South Projects 45003019</t>
        </is>
      </c>
      <c r="C2137" s="2" t="inlineStr">
        <is>
          <t>Other</t>
        </is>
      </c>
      <c r="D2137" s="2" t="inlineStr">
        <is>
          <t>L9.S.26017811</t>
        </is>
      </c>
      <c r="E2137" s="2" t="n">
        <v>2000004655</v>
      </c>
      <c r="H2137" s="2" t="inlineStr">
        <is>
          <t>130 Kerrs Road</t>
        </is>
      </c>
      <c r="I2137" s="2" t="inlineStr">
        <is>
          <t>Wiri</t>
        </is>
      </c>
      <c r="J2137" s="2" t="inlineStr">
        <is>
          <t>Auckland</t>
        </is>
      </c>
      <c r="K2137" s="2" t="n">
        <v>2104</v>
      </c>
      <c r="L2137" s="2" t="inlineStr">
        <is>
          <t>New Zealand</t>
        </is>
      </c>
      <c r="M2137" s="2" t="inlineStr">
        <is>
          <t>Manurewa</t>
        </is>
      </c>
      <c r="N2137" s="2" t="inlineStr">
        <is>
          <t>New Zealand</t>
        </is>
      </c>
      <c r="P2137" s="2" t="inlineStr">
        <is>
          <t>Operational Control</t>
        </is>
      </c>
      <c r="Q2137" s="2" t="inlineStr">
        <is>
          <t>Operational Control</t>
        </is>
      </c>
      <c r="R2137" s="2" t="inlineStr">
        <is>
          <t>Social Infra &amp; Citizen Serv (SICS)</t>
        </is>
      </c>
      <c r="S2137" s="2" t="inlineStr">
        <is>
          <t>Downer</t>
        </is>
      </c>
      <c r="T2137" s="2" t="n">
        <v>100</v>
      </c>
      <c r="W2137" s="2" t="inlineStr">
        <is>
          <t>Classification</t>
        </is>
      </c>
      <c r="X2137" s="2" t="n">
        <v>-37.0083</v>
      </c>
      <c r="Y2137" s="2" t="n">
        <v>174.8705</v>
      </c>
    </row>
    <row r="2138">
      <c r="A2138" s="2" t="inlineStr">
        <is>
          <t>Downer</t>
        </is>
      </c>
      <c r="B2138" s="2" t="inlineStr">
        <is>
          <t>South Taranaki People/Plant</t>
        </is>
      </c>
      <c r="C2138" s="2" t="inlineStr">
        <is>
          <t>Other</t>
        </is>
      </c>
      <c r="D2138" s="2" t="inlineStr">
        <is>
          <t>L9.DNZJ.66211</t>
        </is>
      </c>
      <c r="E2138" s="2" t="n">
        <v>66211</v>
      </c>
      <c r="H2138" s="2" t="inlineStr">
        <is>
          <t>130 Kerrs Road</t>
        </is>
      </c>
      <c r="I2138" s="2" t="inlineStr">
        <is>
          <t>Wiri</t>
        </is>
      </c>
      <c r="J2138" s="2" t="inlineStr">
        <is>
          <t>Auckland</t>
        </is>
      </c>
      <c r="K2138" s="2" t="n">
        <v>2104</v>
      </c>
      <c r="L2138" s="2" t="inlineStr">
        <is>
          <t>New Zealand</t>
        </is>
      </c>
      <c r="M2138" s="2" t="inlineStr">
        <is>
          <t>Manurewa</t>
        </is>
      </c>
      <c r="N2138" s="2" t="inlineStr">
        <is>
          <t>New Zealand</t>
        </is>
      </c>
      <c r="P2138" s="2" t="inlineStr">
        <is>
          <t>Operational Control</t>
        </is>
      </c>
      <c r="Q2138" s="2" t="inlineStr">
        <is>
          <t>Operational Control</t>
        </is>
      </c>
      <c r="R2138" s="2" t="inlineStr">
        <is>
          <t>Transport &amp; Infrastructure (T&amp;I)</t>
        </is>
      </c>
      <c r="S2138" s="2" t="inlineStr">
        <is>
          <t>Downer</t>
        </is>
      </c>
      <c r="T2138" s="2" t="n">
        <v>100</v>
      </c>
      <c r="W2138" s="2" t="inlineStr">
        <is>
          <t>Classification</t>
        </is>
      </c>
      <c r="X2138" s="2" t="n">
        <v>-37.0083</v>
      </c>
      <c r="Y2138" s="2" t="n">
        <v>174.8705</v>
      </c>
    </row>
    <row r="2139">
      <c r="A2139" s="2" t="inlineStr">
        <is>
          <t>Downer</t>
        </is>
      </c>
      <c r="B2139" s="2" t="inlineStr">
        <is>
          <t>South Taranaki Plant</t>
        </is>
      </c>
      <c r="C2139" s="2" t="inlineStr">
        <is>
          <t>Other</t>
        </is>
      </c>
      <c r="D2139" s="2" t="inlineStr">
        <is>
          <t>L9.DNZJ.66221</t>
        </is>
      </c>
      <c r="E2139" s="2" t="n">
        <v>66221</v>
      </c>
      <c r="M2139" s="2" t="inlineStr">
        <is>
          <t>Taranaki</t>
        </is>
      </c>
      <c r="N2139" s="2" t="inlineStr">
        <is>
          <t>New Zealand</t>
        </is>
      </c>
      <c r="P2139" s="2" t="inlineStr">
        <is>
          <t>Operational Control</t>
        </is>
      </c>
      <c r="Q2139" s="2" t="inlineStr">
        <is>
          <t>Operational Control</t>
        </is>
      </c>
      <c r="R2139" s="2" t="inlineStr">
        <is>
          <t>Transport &amp; Infrastructure (T&amp;I)</t>
        </is>
      </c>
      <c r="S2139" s="2" t="inlineStr">
        <is>
          <t>Downer</t>
        </is>
      </c>
      <c r="T2139" s="2" t="n">
        <v>100</v>
      </c>
      <c r="W2139" s="2" t="inlineStr">
        <is>
          <t>Classification</t>
        </is>
      </c>
    </row>
    <row r="2140">
      <c r="A2140" s="2" t="inlineStr">
        <is>
          <t>Downer</t>
        </is>
      </c>
      <c r="B2140" s="2" t="inlineStr">
        <is>
          <t>Southern BPL's</t>
        </is>
      </c>
      <c r="C2140" s="2" t="inlineStr">
        <is>
          <t>Other</t>
        </is>
      </c>
      <c r="D2140" s="2" t="inlineStr">
        <is>
          <t>L9.DNZ.810.10.260</t>
        </is>
      </c>
      <c r="E2140" s="2" t="n">
        <v>10260</v>
      </c>
      <c r="G2140" s="2" t="n">
        <v>10.26</v>
      </c>
      <c r="H2140" s="2" t="inlineStr">
        <is>
          <t>130 Kerrs Road</t>
        </is>
      </c>
      <c r="I2140" s="2" t="inlineStr">
        <is>
          <t>Wiri</t>
        </is>
      </c>
      <c r="J2140" s="2" t="inlineStr">
        <is>
          <t>Auckland</t>
        </is>
      </c>
      <c r="K2140" s="2" t="n">
        <v>2104</v>
      </c>
      <c r="L2140" s="2" t="inlineStr">
        <is>
          <t>New Zealand</t>
        </is>
      </c>
      <c r="M2140" s="2" t="inlineStr">
        <is>
          <t>Manurewa</t>
        </is>
      </c>
      <c r="N2140" s="2" t="inlineStr">
        <is>
          <t>New Zealand</t>
        </is>
      </c>
      <c r="P2140" s="2" t="inlineStr">
        <is>
          <t>Operational Control</t>
        </is>
      </c>
      <c r="Q2140" s="2" t="inlineStr">
        <is>
          <t>Operational Control</t>
        </is>
      </c>
      <c r="R2140" s="2" t="inlineStr">
        <is>
          <t>Energy and Utilities (EU)</t>
        </is>
      </c>
      <c r="S2140" s="2" t="inlineStr">
        <is>
          <t>Downer</t>
        </is>
      </c>
      <c r="T2140" s="2" t="n">
        <v>100</v>
      </c>
      <c r="W2140" s="2" t="inlineStr">
        <is>
          <t>Classification</t>
        </is>
      </c>
      <c r="X2140" s="2" t="n">
        <v>-37.0083</v>
      </c>
      <c r="Y2140" s="2" t="n">
        <v>174.8705</v>
      </c>
    </row>
    <row r="2141">
      <c r="A2141" s="2" t="inlineStr">
        <is>
          <t>Downer</t>
        </is>
      </c>
      <c r="B2141" s="2" t="inlineStr">
        <is>
          <t>Southern Design</t>
        </is>
      </c>
      <c r="C2141" s="2" t="inlineStr">
        <is>
          <t>Other</t>
        </is>
      </c>
      <c r="D2141" s="2" t="inlineStr">
        <is>
          <t>L9.DNZ.810.10.264</t>
        </is>
      </c>
      <c r="E2141" s="2" t="n">
        <v>10264</v>
      </c>
      <c r="G2141" s="2" t="n">
        <v>10.264</v>
      </c>
      <c r="H2141" s="2" t="inlineStr">
        <is>
          <t>130 Kerrs Road</t>
        </is>
      </c>
      <c r="I2141" s="2" t="inlineStr">
        <is>
          <t>Wiri</t>
        </is>
      </c>
      <c r="J2141" s="2" t="inlineStr">
        <is>
          <t>Auckland</t>
        </is>
      </c>
      <c r="K2141" s="2" t="n">
        <v>2104</v>
      </c>
      <c r="L2141" s="2" t="inlineStr">
        <is>
          <t>New Zealand</t>
        </is>
      </c>
      <c r="M2141" s="2" t="inlineStr">
        <is>
          <t>Manurewa</t>
        </is>
      </c>
      <c r="N2141" s="2" t="inlineStr">
        <is>
          <t>New Zealand</t>
        </is>
      </c>
      <c r="P2141" s="2" t="inlineStr">
        <is>
          <t>Operational Control</t>
        </is>
      </c>
      <c r="Q2141" s="2" t="inlineStr">
        <is>
          <t>Operational Control</t>
        </is>
      </c>
      <c r="R2141" s="2" t="inlineStr">
        <is>
          <t>Energy and Utilities (EU)</t>
        </is>
      </c>
      <c r="S2141" s="2" t="inlineStr">
        <is>
          <t>Downer</t>
        </is>
      </c>
      <c r="T2141" s="2" t="n">
        <v>100</v>
      </c>
      <c r="W2141" s="2" t="inlineStr">
        <is>
          <t>Classification</t>
        </is>
      </c>
      <c r="X2141" s="2" t="n">
        <v>-37.0083</v>
      </c>
      <c r="Y2141" s="2" t="n">
        <v>174.8705</v>
      </c>
    </row>
    <row r="2142">
      <c r="A2142" s="2" t="inlineStr">
        <is>
          <t>Downer</t>
        </is>
      </c>
      <c r="B2142" s="2" t="inlineStr">
        <is>
          <t>Southern Management 45003019</t>
        </is>
      </c>
      <c r="C2142" s="2" t="inlineStr">
        <is>
          <t>Other</t>
        </is>
      </c>
      <c r="D2142" s="2" t="inlineStr">
        <is>
          <t>L9.S.24000082</t>
        </is>
      </c>
      <c r="E2142" s="2" t="n">
        <v>2000004649</v>
      </c>
      <c r="H2142" s="2" t="inlineStr">
        <is>
          <t>130 Kerrs Road</t>
        </is>
      </c>
      <c r="I2142" s="2" t="inlineStr">
        <is>
          <t>Wiri</t>
        </is>
      </c>
      <c r="J2142" s="2" t="inlineStr">
        <is>
          <t>Auckland</t>
        </is>
      </c>
      <c r="K2142" s="2" t="n">
        <v>2104</v>
      </c>
      <c r="L2142" s="2" t="inlineStr">
        <is>
          <t>New Zealand</t>
        </is>
      </c>
      <c r="M2142" s="2" t="inlineStr">
        <is>
          <t>Manurewa</t>
        </is>
      </c>
      <c r="N2142" s="2" t="inlineStr">
        <is>
          <t>New Zealand</t>
        </is>
      </c>
      <c r="P2142" s="2" t="inlineStr">
        <is>
          <t>Operational Control</t>
        </is>
      </c>
      <c r="Q2142" s="2" t="inlineStr">
        <is>
          <t>Operational Control</t>
        </is>
      </c>
      <c r="R2142" s="2" t="inlineStr">
        <is>
          <t>Social Infra &amp; Citizen Serv (SICS)</t>
        </is>
      </c>
      <c r="S2142" s="2" t="inlineStr">
        <is>
          <t>Downer</t>
        </is>
      </c>
      <c r="T2142" s="2" t="n">
        <v>100</v>
      </c>
      <c r="W2142" s="2" t="inlineStr">
        <is>
          <t>Classification</t>
        </is>
      </c>
      <c r="X2142" s="2" t="n">
        <v>-37.0083</v>
      </c>
      <c r="Y2142" s="2" t="n">
        <v>174.8705</v>
      </c>
    </row>
    <row r="2143">
      <c r="A2143" s="2" t="inlineStr">
        <is>
          <t>Downer</t>
        </is>
      </c>
      <c r="B2143" s="2" t="inlineStr">
        <is>
          <t>Southern Regions EU Subcontractors</t>
        </is>
      </c>
      <c r="C2143" s="2" t="inlineStr">
        <is>
          <t>Other</t>
        </is>
      </c>
      <c r="D2143" s="2" t="inlineStr">
        <is>
          <t>L9.J.38239034</t>
        </is>
      </c>
      <c r="E2143" s="2" t="inlineStr">
        <is>
          <t>L9.J.38239034</t>
        </is>
      </c>
      <c r="F2143" s="2" t="inlineStr">
        <is>
          <t>L9.J.38239034</t>
        </is>
      </c>
      <c r="M2143" s="2" t="inlineStr">
        <is>
          <t>North Ryde</t>
        </is>
      </c>
      <c r="N2143" s="2" t="inlineStr">
        <is>
          <t>Australia</t>
        </is>
      </c>
      <c r="P2143" s="2" t="inlineStr">
        <is>
          <t>Operational Control</t>
        </is>
      </c>
      <c r="Q2143" s="2" t="inlineStr">
        <is>
          <t>Operational Control</t>
        </is>
      </c>
      <c r="R2143" s="2" t="inlineStr">
        <is>
          <t>Energy and Utilities (EU)</t>
        </is>
      </c>
      <c r="S2143" s="2" t="inlineStr">
        <is>
          <t>Downer</t>
        </is>
      </c>
      <c r="T2143" s="2" t="n">
        <v>100</v>
      </c>
      <c r="W2143" s="2" t="inlineStr">
        <is>
          <t>Classification</t>
        </is>
      </c>
    </row>
    <row r="2144">
      <c r="A2144" s="2" t="inlineStr">
        <is>
          <t>Downer</t>
        </is>
      </c>
      <c r="B2144" s="2" t="inlineStr">
        <is>
          <t>Southland DC 3 Waters O&amp;M</t>
        </is>
      </c>
      <c r="C2144" s="2" t="inlineStr">
        <is>
          <t>Infrastructure</t>
        </is>
      </c>
      <c r="D2144" s="2" t="inlineStr">
        <is>
          <t>L9.DNZJ.561400</t>
        </is>
      </c>
      <c r="E2144" s="2" t="n">
        <v>561400</v>
      </c>
      <c r="G2144" s="2" t="inlineStr">
        <is>
          <t>EU-NZU-561400-Southland DC 3 Waters O&amp;M</t>
        </is>
      </c>
      <c r="M2144" s="2" t="inlineStr">
        <is>
          <t>Southland</t>
        </is>
      </c>
      <c r="N2144" s="2" t="inlineStr">
        <is>
          <t>New Zealand</t>
        </is>
      </c>
      <c r="P2144" s="2" t="inlineStr">
        <is>
          <t>Operational Control</t>
        </is>
      </c>
      <c r="Q2144" s="2" t="inlineStr">
        <is>
          <t>Operational Control</t>
        </is>
      </c>
      <c r="R2144" s="2" t="inlineStr">
        <is>
          <t>Energy and Utilities (EU)</t>
        </is>
      </c>
      <c r="S2144" s="2" t="inlineStr">
        <is>
          <t>Downer</t>
        </is>
      </c>
      <c r="T2144" s="2" t="n">
        <v>100</v>
      </c>
      <c r="W2144" s="2" t="inlineStr">
        <is>
          <t>Classification</t>
        </is>
      </c>
    </row>
    <row r="2145">
      <c r="A2145" s="2" t="inlineStr">
        <is>
          <t>Downer</t>
        </is>
      </c>
      <c r="B2145" s="2" t="inlineStr">
        <is>
          <t>Southland DC EU Subcontractors</t>
        </is>
      </c>
      <c r="C2145" s="2" t="inlineStr">
        <is>
          <t>Other</t>
        </is>
      </c>
      <c r="D2145" s="2" t="inlineStr">
        <is>
          <t>L9.DNZJ.56126</t>
        </is>
      </c>
      <c r="E2145" s="2" t="inlineStr">
        <is>
          <t>L9.DNZJ.56126</t>
        </is>
      </c>
      <c r="M2145" s="2" t="inlineStr">
        <is>
          <t>Auckland City</t>
        </is>
      </c>
      <c r="N2145" s="2" t="inlineStr">
        <is>
          <t>New Zealand</t>
        </is>
      </c>
      <c r="P2145" s="2" t="inlineStr">
        <is>
          <t>Operational Control</t>
        </is>
      </c>
      <c r="Q2145" s="2" t="inlineStr">
        <is>
          <t>Operational Control</t>
        </is>
      </c>
      <c r="R2145" s="2" t="inlineStr">
        <is>
          <t>Energy and Utilities (EU)</t>
        </is>
      </c>
      <c r="S2145" s="2" t="inlineStr">
        <is>
          <t>Downer</t>
        </is>
      </c>
      <c r="T2145" s="2" t="n">
        <v>100</v>
      </c>
      <c r="W2145" s="2" t="inlineStr">
        <is>
          <t>Classification</t>
        </is>
      </c>
    </row>
    <row r="2146">
      <c r="A2146" s="2" t="inlineStr">
        <is>
          <t>Downer</t>
        </is>
      </c>
      <c r="B2146" s="2" t="inlineStr">
        <is>
          <t>Southland NOC-Asset Mgmt</t>
        </is>
      </c>
      <c r="C2146" s="2" t="inlineStr">
        <is>
          <t>Public Facility</t>
        </is>
      </c>
      <c r="D2146" s="2" t="inlineStr">
        <is>
          <t>L9.DNZJ.556374</t>
        </is>
      </c>
      <c r="E2146" s="2" t="n">
        <v>556374</v>
      </c>
      <c r="G2146" s="2" t="inlineStr">
        <is>
          <t>TI-NZT-556374 - Southland NOC-Asset Mgmt (TI-NZT - Central Otago Southland Chip Sealing)</t>
        </is>
      </c>
      <c r="M2146" s="2" t="inlineStr">
        <is>
          <t>Otago</t>
        </is>
      </c>
      <c r="N2146" s="2" t="inlineStr">
        <is>
          <t>New Zealand</t>
        </is>
      </c>
      <c r="P2146" s="2" t="inlineStr">
        <is>
          <t>Operational Control</t>
        </is>
      </c>
      <c r="Q2146" s="2" t="inlineStr">
        <is>
          <t>Operational Control</t>
        </is>
      </c>
      <c r="R2146" s="2" t="inlineStr">
        <is>
          <t>Transport &amp; Infrastructure (T&amp;I)</t>
        </is>
      </c>
      <c r="S2146" s="2" t="inlineStr">
        <is>
          <t>Downer</t>
        </is>
      </c>
      <c r="T2146" s="2" t="n">
        <v>100</v>
      </c>
      <c r="W2146" s="2" t="inlineStr">
        <is>
          <t>Classification</t>
        </is>
      </c>
    </row>
    <row r="2147">
      <c r="A2147" s="2" t="inlineStr">
        <is>
          <t>Downer</t>
        </is>
      </c>
      <c r="B2147" s="2" t="inlineStr">
        <is>
          <t>Southland Telco Ops</t>
        </is>
      </c>
      <c r="C2147" s="2" t="inlineStr">
        <is>
          <t>Other</t>
        </is>
      </c>
      <c r="D2147" s="2" t="inlineStr">
        <is>
          <t>L9.DNZ.810.10.191</t>
        </is>
      </c>
      <c r="E2147" s="2" t="n">
        <v>10191</v>
      </c>
      <c r="G2147" s="2" t="n">
        <v>10.191</v>
      </c>
      <c r="H2147" s="2" t="inlineStr">
        <is>
          <t>130 Kerrs Road</t>
        </is>
      </c>
      <c r="I2147" s="2" t="inlineStr">
        <is>
          <t>Wiri</t>
        </is>
      </c>
      <c r="J2147" s="2" t="inlineStr">
        <is>
          <t>Auckland</t>
        </is>
      </c>
      <c r="K2147" s="2" t="n">
        <v>2104</v>
      </c>
      <c r="L2147" s="2" t="inlineStr">
        <is>
          <t>New Zealand</t>
        </is>
      </c>
      <c r="M2147" s="2" t="inlineStr">
        <is>
          <t>Manurewa</t>
        </is>
      </c>
      <c r="N2147" s="2" t="inlineStr">
        <is>
          <t>New Zealand</t>
        </is>
      </c>
      <c r="P2147" s="2" t="inlineStr">
        <is>
          <t>Operational Control</t>
        </is>
      </c>
      <c r="Q2147" s="2" t="inlineStr">
        <is>
          <t>Operational Control</t>
        </is>
      </c>
      <c r="R2147" s="2" t="inlineStr">
        <is>
          <t>Energy and Utilities (EU)</t>
        </is>
      </c>
      <c r="S2147" s="2" t="inlineStr">
        <is>
          <t>Downer</t>
        </is>
      </c>
      <c r="T2147" s="2" t="n">
        <v>100</v>
      </c>
      <c r="W2147" s="2" t="inlineStr">
        <is>
          <t>Classification</t>
        </is>
      </c>
      <c r="X2147" s="2" t="n">
        <v>-37.0083</v>
      </c>
      <c r="Y2147" s="2" t="n">
        <v>174.8705</v>
      </c>
    </row>
    <row r="2148">
      <c r="A2148" s="2" t="inlineStr">
        <is>
          <t>Downer</t>
        </is>
      </c>
      <c r="B2148" s="2" t="inlineStr">
        <is>
          <t>Spark BOLTE EU Subcontractors</t>
        </is>
      </c>
      <c r="C2148" s="2" t="inlineStr">
        <is>
          <t>Other</t>
        </is>
      </c>
      <c r="D2148" s="2" t="inlineStr">
        <is>
          <t>L9.DNZ.810.20694</t>
        </is>
      </c>
      <c r="E2148" s="2" t="inlineStr">
        <is>
          <t>L9.DNZ.810.20694</t>
        </is>
      </c>
      <c r="M2148" s="2" t="inlineStr">
        <is>
          <t>Auckland City</t>
        </is>
      </c>
      <c r="N2148" s="2" t="inlineStr">
        <is>
          <t>New Zealand</t>
        </is>
      </c>
      <c r="P2148" s="2" t="inlineStr">
        <is>
          <t>Operational Control</t>
        </is>
      </c>
      <c r="Q2148" s="2" t="inlineStr">
        <is>
          <t>Operational Control</t>
        </is>
      </c>
      <c r="R2148" s="2" t="inlineStr">
        <is>
          <t>Energy and Utilities (EU)</t>
        </is>
      </c>
      <c r="S2148" s="2" t="inlineStr">
        <is>
          <t>Downer</t>
        </is>
      </c>
      <c r="T2148" s="2" t="n">
        <v>100</v>
      </c>
      <c r="W2148" s="2" t="inlineStr">
        <is>
          <t>Classification</t>
        </is>
      </c>
    </row>
    <row r="2149">
      <c r="A2149" s="2" t="inlineStr">
        <is>
          <t>Downer</t>
        </is>
      </c>
      <c r="B2149" s="2" t="inlineStr">
        <is>
          <t>Spark COWs/Events EU Subcontractors</t>
        </is>
      </c>
      <c r="C2149" s="2" t="inlineStr">
        <is>
          <t>Other</t>
        </is>
      </c>
      <c r="D2149" s="2" t="inlineStr">
        <is>
          <t>L9.DNZ.810.20728</t>
        </is>
      </c>
      <c r="E2149" s="2" t="inlineStr">
        <is>
          <t>L9.DNZ.810.20728</t>
        </is>
      </c>
      <c r="F2149" s="2" t="inlineStr">
        <is>
          <t>L9.DNZ.810.20728</t>
        </is>
      </c>
      <c r="M2149" s="2" t="inlineStr">
        <is>
          <t>North Ryde</t>
        </is>
      </c>
      <c r="N2149" s="2" t="inlineStr">
        <is>
          <t>Australia</t>
        </is>
      </c>
      <c r="P2149" s="2" t="inlineStr">
        <is>
          <t>Operational Control</t>
        </is>
      </c>
      <c r="Q2149" s="2" t="inlineStr">
        <is>
          <t>Operational Control</t>
        </is>
      </c>
      <c r="R2149" s="2" t="inlineStr">
        <is>
          <t>Energy and Utilities (EU)</t>
        </is>
      </c>
      <c r="S2149" s="2" t="inlineStr">
        <is>
          <t>Downer</t>
        </is>
      </c>
      <c r="T2149" s="2" t="n">
        <v>100</v>
      </c>
      <c r="W2149" s="2" t="inlineStr">
        <is>
          <t>Classification</t>
        </is>
      </c>
    </row>
    <row r="2150">
      <c r="A2150" s="2" t="inlineStr">
        <is>
          <t>Downer</t>
        </is>
      </c>
      <c r="B2150" s="2" t="inlineStr">
        <is>
          <t>Spark Fixed Fibre EU Subcontractors</t>
        </is>
      </c>
      <c r="C2150" s="2" t="inlineStr">
        <is>
          <t>Other</t>
        </is>
      </c>
      <c r="D2150" s="2" t="inlineStr">
        <is>
          <t>L9.DNZ.810.20687</t>
        </is>
      </c>
      <c r="E2150" s="2" t="inlineStr">
        <is>
          <t>L9.DNZ.810.20687</t>
        </is>
      </c>
      <c r="F2150" s="2" t="inlineStr">
        <is>
          <t>L9.DNZ.810.20687</t>
        </is>
      </c>
      <c r="M2150" s="2" t="inlineStr">
        <is>
          <t>Auckland</t>
        </is>
      </c>
      <c r="N2150" s="2" t="inlineStr">
        <is>
          <t>New Zealand</t>
        </is>
      </c>
      <c r="P2150" s="2" t="inlineStr">
        <is>
          <t>Operational Control</t>
        </is>
      </c>
      <c r="Q2150" s="2" t="inlineStr">
        <is>
          <t>Operational Control</t>
        </is>
      </c>
      <c r="R2150" s="2" t="inlineStr">
        <is>
          <t>Energy and Utilities (EU)</t>
        </is>
      </c>
      <c r="S2150" s="2" t="inlineStr">
        <is>
          <t>Downer</t>
        </is>
      </c>
      <c r="T2150" s="2" t="n">
        <v>100</v>
      </c>
      <c r="W2150" s="2" t="inlineStr">
        <is>
          <t>Classification</t>
        </is>
      </c>
    </row>
    <row r="2151">
      <c r="A2151" s="2" t="inlineStr">
        <is>
          <t>Downer</t>
        </is>
      </c>
      <c r="B2151" s="2" t="inlineStr">
        <is>
          <t>Spark Mob Mtc &amp; Reactive Centr EU Subcontractors</t>
        </is>
      </c>
      <c r="C2151" s="2" t="inlineStr">
        <is>
          <t>Other</t>
        </is>
      </c>
      <c r="D2151" s="2" t="inlineStr">
        <is>
          <t>L9.DNZ.810.20983</t>
        </is>
      </c>
      <c r="E2151" s="2" t="inlineStr">
        <is>
          <t>L9.DNZ.810.20983</t>
        </is>
      </c>
      <c r="F2151" s="2" t="inlineStr">
        <is>
          <t>L9.DNZ.810.20983</t>
        </is>
      </c>
      <c r="M2151" s="2" t="inlineStr">
        <is>
          <t>Auckland</t>
        </is>
      </c>
      <c r="N2151" s="2" t="inlineStr">
        <is>
          <t>New Zealand</t>
        </is>
      </c>
      <c r="P2151" s="2" t="inlineStr">
        <is>
          <t>Operational Control</t>
        </is>
      </c>
      <c r="Q2151" s="2" t="inlineStr">
        <is>
          <t>Operational Control</t>
        </is>
      </c>
      <c r="R2151" s="2" t="inlineStr">
        <is>
          <t>Energy and Utilities (EU)</t>
        </is>
      </c>
      <c r="S2151" s="2" t="inlineStr">
        <is>
          <t>Downer</t>
        </is>
      </c>
      <c r="T2151" s="2" t="n">
        <v>100</v>
      </c>
      <c r="W2151" s="2" t="inlineStr">
        <is>
          <t>Classification</t>
        </is>
      </c>
    </row>
    <row r="2152">
      <c r="A2152" s="2" t="inlineStr">
        <is>
          <t>Downer</t>
        </is>
      </c>
      <c r="B2152" s="2" t="inlineStr">
        <is>
          <t>Spark Mob Mtc &amp; Reactive Sth I EU Subcontractors</t>
        </is>
      </c>
      <c r="C2152" s="2" t="inlineStr">
        <is>
          <t>Other</t>
        </is>
      </c>
      <c r="D2152" s="2" t="inlineStr">
        <is>
          <t>L9.DNZ.810.20184</t>
        </is>
      </c>
      <c r="E2152" s="2" t="inlineStr">
        <is>
          <t>L9.DNZ.810.20184</t>
        </is>
      </c>
      <c r="M2152" s="2" t="inlineStr">
        <is>
          <t>Auckland City</t>
        </is>
      </c>
      <c r="N2152" s="2" t="inlineStr">
        <is>
          <t>New Zealand</t>
        </is>
      </c>
      <c r="P2152" s="2" t="inlineStr">
        <is>
          <t>Operational Control</t>
        </is>
      </c>
      <c r="Q2152" s="2" t="inlineStr">
        <is>
          <t>Operational Control</t>
        </is>
      </c>
      <c r="R2152" s="2" t="inlineStr">
        <is>
          <t>Energy and Utilities (EU)</t>
        </is>
      </c>
      <c r="S2152" s="2" t="inlineStr">
        <is>
          <t>Downer</t>
        </is>
      </c>
      <c r="T2152" s="2" t="n">
        <v>100</v>
      </c>
      <c r="W2152" s="2" t="inlineStr">
        <is>
          <t>Classification</t>
        </is>
      </c>
    </row>
    <row r="2153">
      <c r="A2153" s="2" t="inlineStr">
        <is>
          <t>Downer</t>
        </is>
      </c>
      <c r="B2153" s="2" t="inlineStr">
        <is>
          <t>Spark Mob Mtc &amp; Reactive Wtgn EU Subcontractors</t>
        </is>
      </c>
      <c r="C2153" s="2" t="inlineStr">
        <is>
          <t>Other</t>
        </is>
      </c>
      <c r="D2153" s="2" t="inlineStr">
        <is>
          <t>L9.DNZ.810.20187</t>
        </is>
      </c>
      <c r="E2153" s="2" t="inlineStr">
        <is>
          <t>L9.DNZ.810.20187</t>
        </is>
      </c>
      <c r="M2153" s="2" t="inlineStr">
        <is>
          <t>Auckland City</t>
        </is>
      </c>
      <c r="N2153" s="2" t="inlineStr">
        <is>
          <t>New Zealand</t>
        </is>
      </c>
      <c r="P2153" s="2" t="inlineStr">
        <is>
          <t>Operational Control</t>
        </is>
      </c>
      <c r="Q2153" s="2" t="inlineStr">
        <is>
          <t>Operational Control</t>
        </is>
      </c>
      <c r="R2153" s="2" t="inlineStr">
        <is>
          <t>Energy and Utilities (EU)</t>
        </is>
      </c>
      <c r="S2153" s="2" t="inlineStr">
        <is>
          <t>Downer</t>
        </is>
      </c>
      <c r="T2153" s="2" t="n">
        <v>100</v>
      </c>
      <c r="W2153" s="2" t="inlineStr">
        <is>
          <t>Classification</t>
        </is>
      </c>
    </row>
    <row r="2154">
      <c r="A2154" s="2" t="inlineStr">
        <is>
          <t>Downer</t>
        </is>
      </c>
      <c r="B2154" s="2" t="inlineStr">
        <is>
          <t>Spark Mob Reactive Mtce North EU Subcontractors</t>
        </is>
      </c>
      <c r="C2154" s="2" t="inlineStr">
        <is>
          <t>Other</t>
        </is>
      </c>
      <c r="D2154" s="2" t="inlineStr">
        <is>
          <t>L9.DNZ.810.20983</t>
        </is>
      </c>
      <c r="E2154" s="2" t="inlineStr">
        <is>
          <t>L9.DNZ.810.20983</t>
        </is>
      </c>
      <c r="M2154" s="2" t="inlineStr">
        <is>
          <t>Auckland City</t>
        </is>
      </c>
      <c r="N2154" s="2" t="inlineStr">
        <is>
          <t>New Zealand</t>
        </is>
      </c>
      <c r="P2154" s="2" t="inlineStr">
        <is>
          <t>Operational Control</t>
        </is>
      </c>
      <c r="Q2154" s="2" t="inlineStr">
        <is>
          <t>Operational Control</t>
        </is>
      </c>
      <c r="R2154" s="2" t="inlineStr">
        <is>
          <t>Energy and Utilities (EU)</t>
        </is>
      </c>
      <c r="S2154" s="2" t="inlineStr">
        <is>
          <t>Downer</t>
        </is>
      </c>
      <c r="T2154" s="2" t="n">
        <v>100</v>
      </c>
      <c r="W2154" s="2" t="inlineStr">
        <is>
          <t>Classification</t>
        </is>
      </c>
    </row>
    <row r="2155">
      <c r="A2155" s="2" t="inlineStr">
        <is>
          <t>Downer</t>
        </is>
      </c>
      <c r="B2155" s="2" t="inlineStr">
        <is>
          <t>Spark Mobile - Routine Centr EU Subcontractors</t>
        </is>
      </c>
      <c r="C2155" s="2" t="inlineStr">
        <is>
          <t>Other</t>
        </is>
      </c>
      <c r="D2155" s="2" t="inlineStr">
        <is>
          <t>L9.DNZ.810.20886</t>
        </is>
      </c>
      <c r="E2155" s="2" t="inlineStr">
        <is>
          <t>L9.DNZ.810.20886</t>
        </is>
      </c>
      <c r="F2155" s="2" t="inlineStr">
        <is>
          <t>L9.DNZ.810.20886</t>
        </is>
      </c>
      <c r="M2155" s="2" t="inlineStr">
        <is>
          <t>North Ryde</t>
        </is>
      </c>
      <c r="N2155" s="2" t="inlineStr">
        <is>
          <t>Australia</t>
        </is>
      </c>
      <c r="P2155" s="2" t="inlineStr">
        <is>
          <t>Operational Control</t>
        </is>
      </c>
      <c r="Q2155" s="2" t="inlineStr">
        <is>
          <t>Operational Control</t>
        </is>
      </c>
      <c r="R2155" s="2" t="inlineStr">
        <is>
          <t>Energy and Utilities (EU)</t>
        </is>
      </c>
      <c r="S2155" s="2" t="inlineStr">
        <is>
          <t>Downer</t>
        </is>
      </c>
      <c r="T2155" s="2" t="n">
        <v>100</v>
      </c>
      <c r="W2155" s="2" t="inlineStr">
        <is>
          <t>Classification</t>
        </is>
      </c>
    </row>
    <row r="2156">
      <c r="A2156" s="2" t="inlineStr">
        <is>
          <t>Downer</t>
        </is>
      </c>
      <c r="B2156" s="2" t="inlineStr">
        <is>
          <t>Spark Mobile - Routine North EU Subcontractors</t>
        </is>
      </c>
      <c r="C2156" s="2" t="inlineStr">
        <is>
          <t>Other</t>
        </is>
      </c>
      <c r="D2156" s="2" t="inlineStr">
        <is>
          <t>L9.DNZ.810.20887</t>
        </is>
      </c>
      <c r="E2156" s="2" t="inlineStr">
        <is>
          <t>L9.DNZ.810.20887</t>
        </is>
      </c>
      <c r="F2156" s="2" t="inlineStr">
        <is>
          <t>L9.DNZ.810.20887</t>
        </is>
      </c>
      <c r="M2156" s="2" t="inlineStr">
        <is>
          <t>Auckland</t>
        </is>
      </c>
      <c r="N2156" s="2" t="inlineStr">
        <is>
          <t>New Zealand</t>
        </is>
      </c>
      <c r="P2156" s="2" t="inlineStr">
        <is>
          <t>Operational Control</t>
        </is>
      </c>
      <c r="Q2156" s="2" t="inlineStr">
        <is>
          <t>Operational Control</t>
        </is>
      </c>
      <c r="R2156" s="2" t="inlineStr">
        <is>
          <t>Energy and Utilities (EU)</t>
        </is>
      </c>
      <c r="S2156" s="2" t="inlineStr">
        <is>
          <t>Downer</t>
        </is>
      </c>
      <c r="T2156" s="2" t="n">
        <v>100</v>
      </c>
      <c r="W2156" s="2" t="inlineStr">
        <is>
          <t>Classification</t>
        </is>
      </c>
    </row>
    <row r="2157">
      <c r="A2157" s="2" t="inlineStr">
        <is>
          <t>Downer</t>
        </is>
      </c>
      <c r="B2157" s="2" t="inlineStr">
        <is>
          <t>Spark Mobile Network National</t>
        </is>
      </c>
      <c r="C2157" s="2" t="inlineStr">
        <is>
          <t>Other</t>
        </is>
      </c>
      <c r="D2157" s="2" t="inlineStr">
        <is>
          <t>L9.DNZ.810.10.220</t>
        </is>
      </c>
      <c r="E2157" s="2" t="n">
        <v>10220</v>
      </c>
      <c r="G2157" s="2" t="n">
        <v>10.22</v>
      </c>
      <c r="H2157" s="2" t="inlineStr">
        <is>
          <t>130 Kerrs Road</t>
        </is>
      </c>
      <c r="I2157" s="2" t="inlineStr">
        <is>
          <t>Wiri</t>
        </is>
      </c>
      <c r="J2157" s="2" t="inlineStr">
        <is>
          <t>Auckland</t>
        </is>
      </c>
      <c r="K2157" s="2" t="n">
        <v>2104</v>
      </c>
      <c r="L2157" s="2" t="inlineStr">
        <is>
          <t>New Zealand</t>
        </is>
      </c>
      <c r="M2157" s="2" t="inlineStr">
        <is>
          <t>Manurewa</t>
        </is>
      </c>
      <c r="N2157" s="2" t="inlineStr">
        <is>
          <t>New Zealand</t>
        </is>
      </c>
      <c r="P2157" s="2" t="inlineStr">
        <is>
          <t>Operational Control</t>
        </is>
      </c>
      <c r="Q2157" s="2" t="inlineStr">
        <is>
          <t>Operational Control</t>
        </is>
      </c>
      <c r="R2157" s="2" t="inlineStr">
        <is>
          <t>Energy and Utilities (EU)</t>
        </is>
      </c>
      <c r="S2157" s="2" t="inlineStr">
        <is>
          <t>Downer</t>
        </is>
      </c>
      <c r="T2157" s="2" t="n">
        <v>100</v>
      </c>
      <c r="W2157" s="2" t="inlineStr">
        <is>
          <t>Classification</t>
        </is>
      </c>
      <c r="X2157" s="2" t="n">
        <v>-37.0083</v>
      </c>
      <c r="Y2157" s="2" t="n">
        <v>174.8705</v>
      </c>
    </row>
    <row r="2158">
      <c r="A2158" s="2" t="inlineStr">
        <is>
          <t>Downer</t>
        </is>
      </c>
      <c r="B2158" s="2" t="inlineStr">
        <is>
          <t>Spark Property</t>
        </is>
      </c>
      <c r="C2158" s="2" t="inlineStr">
        <is>
          <t>Other</t>
        </is>
      </c>
      <c r="D2158" s="2" t="inlineStr">
        <is>
          <t>L9.DNZ.810.10.196</t>
        </is>
      </c>
      <c r="E2158" s="2" t="n">
        <v>10196</v>
      </c>
      <c r="G2158" s="2" t="n">
        <v>10.196</v>
      </c>
      <c r="H2158" s="2" t="inlineStr">
        <is>
          <t>130 Kerrs Road</t>
        </is>
      </c>
      <c r="I2158" s="2" t="inlineStr">
        <is>
          <t>Wiri</t>
        </is>
      </c>
      <c r="J2158" s="2" t="inlineStr">
        <is>
          <t>Auckland</t>
        </is>
      </c>
      <c r="K2158" s="2" t="n">
        <v>2104</v>
      </c>
      <c r="L2158" s="2" t="inlineStr">
        <is>
          <t>New Zealand</t>
        </is>
      </c>
      <c r="M2158" s="2" t="inlineStr">
        <is>
          <t>Manurewa</t>
        </is>
      </c>
      <c r="N2158" s="2" t="inlineStr">
        <is>
          <t>New Zealand</t>
        </is>
      </c>
      <c r="P2158" s="2" t="inlineStr">
        <is>
          <t>Operational Control</t>
        </is>
      </c>
      <c r="Q2158" s="2" t="inlineStr">
        <is>
          <t>Operational Control</t>
        </is>
      </c>
      <c r="R2158" s="2" t="inlineStr">
        <is>
          <t>Energy and Utilities (EU)</t>
        </is>
      </c>
      <c r="S2158" s="2" t="inlineStr">
        <is>
          <t>Downer</t>
        </is>
      </c>
      <c r="T2158" s="2" t="n">
        <v>100</v>
      </c>
      <c r="W2158" s="2" t="inlineStr">
        <is>
          <t>Classification</t>
        </is>
      </c>
      <c r="X2158" s="2" t="n">
        <v>-37.0083</v>
      </c>
      <c r="Y2158" s="2" t="n">
        <v>174.8705</v>
      </c>
    </row>
    <row r="2159">
      <c r="A2159" s="2" t="inlineStr">
        <is>
          <t>Downer</t>
        </is>
      </c>
      <c r="B2159" s="2" t="inlineStr">
        <is>
          <t>Spark Wireless Build-National EU Subcontractors</t>
        </is>
      </c>
      <c r="C2159" s="2" t="inlineStr">
        <is>
          <t>Other</t>
        </is>
      </c>
      <c r="D2159" s="2" t="inlineStr">
        <is>
          <t>L9.DNZ.810.20608</t>
        </is>
      </c>
      <c r="E2159" s="2" t="inlineStr">
        <is>
          <t>L9.DNZ.810.20608</t>
        </is>
      </c>
      <c r="M2159" s="2" t="inlineStr">
        <is>
          <t>Auckland City</t>
        </is>
      </c>
      <c r="N2159" s="2" t="inlineStr">
        <is>
          <t>New Zealand</t>
        </is>
      </c>
      <c r="P2159" s="2" t="inlineStr">
        <is>
          <t>Operational Control</t>
        </is>
      </c>
      <c r="Q2159" s="2" t="inlineStr">
        <is>
          <t>Operational Control</t>
        </is>
      </c>
      <c r="R2159" s="2" t="inlineStr">
        <is>
          <t>Energy and Utilities (EU)</t>
        </is>
      </c>
      <c r="S2159" s="2" t="inlineStr">
        <is>
          <t>Downer</t>
        </is>
      </c>
      <c r="T2159" s="2" t="n">
        <v>100</v>
      </c>
      <c r="W2159" s="2" t="inlineStr">
        <is>
          <t>Classification</t>
        </is>
      </c>
    </row>
    <row r="2160">
      <c r="A2160" s="2" t="inlineStr">
        <is>
          <t>Downer</t>
        </is>
      </c>
      <c r="B2160" s="2" t="inlineStr">
        <is>
          <t>Specialist Civil Construction</t>
        </is>
      </c>
      <c r="C2160" s="2" t="inlineStr">
        <is>
          <t>Other</t>
        </is>
      </c>
      <c r="D2160" s="2" t="inlineStr">
        <is>
          <t>L9.DNZJ.56134</t>
        </is>
      </c>
      <c r="E2160" s="2" t="n">
        <v>56134</v>
      </c>
      <c r="M2160" s="2" t="inlineStr">
        <is>
          <t>Manurewa</t>
        </is>
      </c>
      <c r="N2160" s="2" t="inlineStr">
        <is>
          <t>New Zealand</t>
        </is>
      </c>
      <c r="P2160" s="2" t="inlineStr">
        <is>
          <t>Operational Control</t>
        </is>
      </c>
      <c r="Q2160" s="2" t="inlineStr">
        <is>
          <t>Operational Control</t>
        </is>
      </c>
      <c r="R2160" s="2" t="inlineStr">
        <is>
          <t>Energy and Utilities (EU)</t>
        </is>
      </c>
      <c r="S2160" s="2" t="inlineStr">
        <is>
          <t>Downer</t>
        </is>
      </c>
      <c r="T2160" s="2" t="n">
        <v>100</v>
      </c>
      <c r="W2160" s="2" t="inlineStr">
        <is>
          <t>Classification</t>
        </is>
      </c>
    </row>
    <row r="2161">
      <c r="A2161" s="2" t="inlineStr">
        <is>
          <t>Downer</t>
        </is>
      </c>
      <c r="B2161" s="2" t="inlineStr">
        <is>
          <t>Spotless - Recharge</t>
        </is>
      </c>
      <c r="C2161" s="2" t="inlineStr">
        <is>
          <t>Other</t>
        </is>
      </c>
      <c r="D2161" s="2" t="inlineStr">
        <is>
          <t>L9.DNZJ.1998</t>
        </is>
      </c>
      <c r="E2161" s="2" t="n">
        <v>1998</v>
      </c>
      <c r="G2161" s="2" t="inlineStr">
        <is>
          <t>Original location ref &amp; ref no.: L9.S.11001217</t>
        </is>
      </c>
      <c r="H2161" s="2" t="inlineStr">
        <is>
          <t>130 Kerrs Road</t>
        </is>
      </c>
      <c r="I2161" s="2" t="inlineStr">
        <is>
          <t>Wiri</t>
        </is>
      </c>
      <c r="J2161" s="2" t="inlineStr">
        <is>
          <t>Auckland</t>
        </is>
      </c>
      <c r="K2161" s="2" t="n">
        <v>2104</v>
      </c>
      <c r="L2161" s="2" t="inlineStr">
        <is>
          <t>New Zealand</t>
        </is>
      </c>
      <c r="M2161" s="2" t="inlineStr">
        <is>
          <t>Manurewa</t>
        </is>
      </c>
      <c r="N2161" s="2" t="inlineStr">
        <is>
          <t>New Zealand</t>
        </is>
      </c>
      <c r="P2161" s="2" t="inlineStr">
        <is>
          <t>Operational Control</t>
        </is>
      </c>
      <c r="Q2161" s="2" t="inlineStr">
        <is>
          <t>Operational Control</t>
        </is>
      </c>
      <c r="R2161" s="2" t="inlineStr">
        <is>
          <t>Transport &amp; Infrastructure (T&amp;I)</t>
        </is>
      </c>
      <c r="S2161" s="2" t="inlineStr">
        <is>
          <t>Downer</t>
        </is>
      </c>
      <c r="T2161" s="2" t="n">
        <v>100</v>
      </c>
      <c r="W2161" s="2" t="inlineStr">
        <is>
          <t>Classification</t>
        </is>
      </c>
      <c r="X2161" s="2" t="n">
        <v>-37.0083</v>
      </c>
      <c r="Y2161" s="2" t="n">
        <v>174.8705</v>
      </c>
    </row>
    <row r="2162">
      <c r="A2162" s="2" t="inlineStr">
        <is>
          <t>Downer</t>
        </is>
      </c>
      <c r="B2162" s="2" t="inlineStr">
        <is>
          <t>Spotless SA Housing contract</t>
        </is>
      </c>
      <c r="C2162" s="2" t="inlineStr">
        <is>
          <t>Branch Office</t>
        </is>
      </c>
      <c r="D2162" s="2" t="inlineStr">
        <is>
          <t>L9.S.3174.45004989</t>
        </is>
      </c>
      <c r="E2162" s="2" t="n">
        <v>45004989</v>
      </c>
      <c r="G2162" s="2" t="inlineStr">
        <is>
          <t>Spotless
Temporarily use code: L9.S.3174.45004989</t>
        </is>
      </c>
      <c r="H2162" s="2" t="inlineStr">
        <is>
          <t>301/ 300 Wakefield Street</t>
        </is>
      </c>
      <c r="I2162" s="2" t="inlineStr">
        <is>
          <t>Adelaide</t>
        </is>
      </c>
      <c r="J2162" s="2" t="inlineStr">
        <is>
          <t>South Australia</t>
        </is>
      </c>
      <c r="K2162" s="2" t="n">
        <v>5000</v>
      </c>
      <c r="M2162" s="2" t="inlineStr">
        <is>
          <t>Adelaide</t>
        </is>
      </c>
      <c r="N2162" s="2" t="inlineStr">
        <is>
          <t>Australia</t>
        </is>
      </c>
      <c r="P2162" s="2" t="inlineStr">
        <is>
          <t>Operational Control</t>
        </is>
      </c>
      <c r="Q2162" s="2" t="inlineStr">
        <is>
          <t>Operational Control</t>
        </is>
      </c>
      <c r="R2162" s="2" t="inlineStr">
        <is>
          <t>Social Infra &amp; Citizen Serv (SICS)</t>
        </is>
      </c>
      <c r="S2162" s="2" t="inlineStr">
        <is>
          <t>Downer</t>
        </is>
      </c>
      <c r="T2162" s="2" t="n">
        <v>100</v>
      </c>
      <c r="W2162" s="2" t="inlineStr">
        <is>
          <t>Classification</t>
        </is>
      </c>
    </row>
    <row r="2163">
      <c r="A2163" s="2" t="inlineStr">
        <is>
          <t>Downer</t>
        </is>
      </c>
      <c r="B2163" s="2" t="inlineStr">
        <is>
          <t>SPP Milling</t>
        </is>
      </c>
      <c r="C2163" s="2" t="inlineStr">
        <is>
          <t>Other</t>
        </is>
      </c>
      <c r="D2163" s="2" t="inlineStr">
        <is>
          <t>L9.DNZJ.55163</t>
        </is>
      </c>
      <c r="E2163" s="2" t="n">
        <v>55163</v>
      </c>
      <c r="G2163" s="2" t="inlineStr">
        <is>
          <t>TI-NZT.I18 - Specialised Pvmt Preservation
TI-NZT.I18.T38 - SPP Milling
TI-NZT-55163 - Milling</t>
        </is>
      </c>
      <c r="M2163" s="2" t="inlineStr">
        <is>
          <t>Auckland</t>
        </is>
      </c>
      <c r="N2163" s="2" t="inlineStr">
        <is>
          <t>New Zealand</t>
        </is>
      </c>
      <c r="P2163" s="2" t="inlineStr">
        <is>
          <t>Operational Control</t>
        </is>
      </c>
      <c r="Q2163" s="2" t="inlineStr">
        <is>
          <t>Operational Control</t>
        </is>
      </c>
      <c r="R2163" s="2" t="inlineStr">
        <is>
          <t>Transport &amp; Infrastructure (T&amp;I)</t>
        </is>
      </c>
      <c r="S2163" s="2" t="inlineStr">
        <is>
          <t>Downer</t>
        </is>
      </c>
      <c r="T2163" s="2" t="n">
        <v>100</v>
      </c>
      <c r="W2163" s="2" t="inlineStr">
        <is>
          <t>Classification</t>
        </is>
      </c>
    </row>
    <row r="2164">
      <c r="A2164" s="2" t="inlineStr">
        <is>
          <t>Downer</t>
        </is>
      </c>
      <c r="B2164" s="2" t="inlineStr">
        <is>
          <t>SSL NZ Defence Dunedin 45003386</t>
        </is>
      </c>
      <c r="C2164" s="2" t="inlineStr">
        <is>
          <t>Other</t>
        </is>
      </c>
      <c r="D2164" s="2" t="inlineStr">
        <is>
          <t>L9.S.26017831</t>
        </is>
      </c>
      <c r="E2164" s="2" t="n">
        <v>2000004664</v>
      </c>
      <c r="M2164" s="2" t="inlineStr">
        <is>
          <t>Manurewa</t>
        </is>
      </c>
      <c r="N2164" s="2" t="inlineStr">
        <is>
          <t>New Zealand</t>
        </is>
      </c>
      <c r="P2164" s="2" t="inlineStr">
        <is>
          <t>Operational Control</t>
        </is>
      </c>
      <c r="Q2164" s="2" t="inlineStr">
        <is>
          <t>Operational Control</t>
        </is>
      </c>
      <c r="R2164" s="2" t="inlineStr">
        <is>
          <t>Social Infra &amp; Citizen Serv (SICS)</t>
        </is>
      </c>
      <c r="S2164" s="2" t="inlineStr">
        <is>
          <t>Downer</t>
        </is>
      </c>
      <c r="T2164" s="2" t="n">
        <v>100</v>
      </c>
      <c r="W2164" s="2" t="inlineStr">
        <is>
          <t>Classification</t>
        </is>
      </c>
    </row>
    <row r="2165">
      <c r="A2165" s="2" t="inlineStr">
        <is>
          <t>Downer</t>
        </is>
      </c>
      <c r="B2165" s="2" t="inlineStr">
        <is>
          <t>Sth Canterbury Mob/Maint/Build</t>
        </is>
      </c>
      <c r="C2165" s="2" t="inlineStr">
        <is>
          <t>Other</t>
        </is>
      </c>
      <c r="D2165" s="2" t="inlineStr">
        <is>
          <t>L9.DNZ.810.10.254</t>
        </is>
      </c>
      <c r="E2165" s="2" t="n">
        <v>10254</v>
      </c>
      <c r="G2165" s="2" t="n">
        <v>10.254</v>
      </c>
      <c r="H2165" s="2" t="inlineStr">
        <is>
          <t>130 Kerrs Road</t>
        </is>
      </c>
      <c r="I2165" s="2" t="inlineStr">
        <is>
          <t>Wiri</t>
        </is>
      </c>
      <c r="J2165" s="2" t="inlineStr">
        <is>
          <t>Auckland</t>
        </is>
      </c>
      <c r="K2165" s="2" t="n">
        <v>2104</v>
      </c>
      <c r="L2165" s="2" t="inlineStr">
        <is>
          <t>New Zealand</t>
        </is>
      </c>
      <c r="M2165" s="2" t="inlineStr">
        <is>
          <t>Manurewa</t>
        </is>
      </c>
      <c r="N2165" s="2" t="inlineStr">
        <is>
          <t>New Zealand</t>
        </is>
      </c>
      <c r="P2165" s="2" t="inlineStr">
        <is>
          <t>Operational Control</t>
        </is>
      </c>
      <c r="Q2165" s="2" t="inlineStr">
        <is>
          <t>Operational Control</t>
        </is>
      </c>
      <c r="R2165" s="2" t="inlineStr">
        <is>
          <t>Energy and Utilities (EU)</t>
        </is>
      </c>
      <c r="S2165" s="2" t="inlineStr">
        <is>
          <t>Downer</t>
        </is>
      </c>
      <c r="T2165" s="2" t="n">
        <v>100</v>
      </c>
      <c r="W2165" s="2" t="inlineStr">
        <is>
          <t>Classification</t>
        </is>
      </c>
      <c r="X2165" s="2" t="n">
        <v>-37.0083</v>
      </c>
      <c r="Y2165" s="2" t="n">
        <v>174.8705</v>
      </c>
    </row>
    <row r="2166">
      <c r="A2166" s="2" t="inlineStr">
        <is>
          <t>Downer</t>
        </is>
      </c>
      <c r="B2166" s="2" t="inlineStr">
        <is>
          <t>Stoney Creek</t>
        </is>
      </c>
      <c r="C2166" s="2" t="inlineStr">
        <is>
          <t>Other</t>
        </is>
      </c>
      <c r="D2166" s="2" t="inlineStr">
        <is>
          <t>L9.DNZJ.313200</t>
        </is>
      </c>
      <c r="E2166" s="2" t="n">
        <v>313200</v>
      </c>
      <c r="M2166" s="2" t="inlineStr">
        <is>
          <t>Manurewa</t>
        </is>
      </c>
      <c r="N2166" s="2" t="inlineStr">
        <is>
          <t>New Zealand</t>
        </is>
      </c>
      <c r="P2166" s="2" t="inlineStr">
        <is>
          <t>Operational Control</t>
        </is>
      </c>
      <c r="Q2166" s="2" t="inlineStr">
        <is>
          <t>Operational Control</t>
        </is>
      </c>
      <c r="R2166" s="2" t="inlineStr">
        <is>
          <t>Transport &amp; Infrastructure (T&amp;I)</t>
        </is>
      </c>
      <c r="S2166" s="2" t="inlineStr">
        <is>
          <t>Downer</t>
        </is>
      </c>
      <c r="T2166" s="2" t="n">
        <v>100</v>
      </c>
      <c r="W2166" s="2" t="inlineStr">
        <is>
          <t>Classification</t>
        </is>
      </c>
    </row>
    <row r="2167">
      <c r="A2167" s="2" t="inlineStr">
        <is>
          <t>Downer</t>
        </is>
      </c>
      <c r="B2167" s="2" t="inlineStr">
        <is>
          <t>Strategic Programs</t>
        </is>
      </c>
      <c r="C2167" s="2" t="inlineStr">
        <is>
          <t>Other</t>
        </is>
      </c>
      <c r="D2167" s="2" t="inlineStr">
        <is>
          <t>L9.DNZJ.9043</t>
        </is>
      </c>
      <c r="E2167" s="2" t="n">
        <v>9043</v>
      </c>
      <c r="H2167" s="2" t="inlineStr">
        <is>
          <t>130 Kerrs Road</t>
        </is>
      </c>
      <c r="I2167" s="2" t="inlineStr">
        <is>
          <t>Wiri</t>
        </is>
      </c>
      <c r="J2167" s="2" t="inlineStr">
        <is>
          <t>Auckland</t>
        </is>
      </c>
      <c r="K2167" s="2" t="n">
        <v>2104</v>
      </c>
      <c r="L2167" s="2" t="inlineStr">
        <is>
          <t>New Zealand</t>
        </is>
      </c>
      <c r="M2167" s="2" t="inlineStr">
        <is>
          <t>Manurewa</t>
        </is>
      </c>
      <c r="N2167" s="2" t="inlineStr">
        <is>
          <t>New Zealand</t>
        </is>
      </c>
      <c r="P2167" s="2" t="inlineStr">
        <is>
          <t>Operational Control</t>
        </is>
      </c>
      <c r="Q2167" s="2" t="inlineStr">
        <is>
          <t>Operational Control</t>
        </is>
      </c>
      <c r="R2167" s="2" t="inlineStr">
        <is>
          <t>Corporate</t>
        </is>
      </c>
      <c r="S2167" s="2" t="inlineStr">
        <is>
          <t>Downer</t>
        </is>
      </c>
      <c r="T2167" s="2" t="n">
        <v>100</v>
      </c>
      <c r="W2167" s="2" t="inlineStr">
        <is>
          <t>Classification</t>
        </is>
      </c>
      <c r="X2167" s="2" t="n">
        <v>-37.0083</v>
      </c>
      <c r="Y2167" s="2" t="n">
        <v>174.8705</v>
      </c>
    </row>
    <row r="2168">
      <c r="A2168" s="2" t="inlineStr">
        <is>
          <t>Downer</t>
        </is>
      </c>
      <c r="B2168" s="2" t="inlineStr">
        <is>
          <t>Strategy &amp; Growth EU Subcontractors</t>
        </is>
      </c>
      <c r="C2168" s="2" t="inlineStr">
        <is>
          <t>Other</t>
        </is>
      </c>
      <c r="D2168" s="2" t="inlineStr">
        <is>
          <t>L9.J.377314</t>
        </is>
      </c>
      <c r="E2168" s="2" t="inlineStr">
        <is>
          <t>L9.J.377314</t>
        </is>
      </c>
      <c r="F2168" s="2" t="inlineStr">
        <is>
          <t>L9.J.377314</t>
        </is>
      </c>
      <c r="M2168" s="2" t="inlineStr">
        <is>
          <t>Auckland</t>
        </is>
      </c>
      <c r="N2168" s="2" t="inlineStr">
        <is>
          <t>New Zealand</t>
        </is>
      </c>
      <c r="P2168" s="2" t="inlineStr">
        <is>
          <t>Operational Control</t>
        </is>
      </c>
      <c r="Q2168" s="2" t="inlineStr">
        <is>
          <t>Operational Control</t>
        </is>
      </c>
      <c r="R2168" s="2" t="inlineStr">
        <is>
          <t>Energy and Utilities (EU)</t>
        </is>
      </c>
      <c r="S2168" s="2" t="inlineStr">
        <is>
          <t>Downer</t>
        </is>
      </c>
      <c r="T2168" s="2" t="n">
        <v>100</v>
      </c>
      <c r="W2168" s="2" t="inlineStr">
        <is>
          <t>Classification</t>
        </is>
      </c>
    </row>
    <row r="2169">
      <c r="A2169" s="2" t="inlineStr">
        <is>
          <t>Downer</t>
        </is>
      </c>
      <c r="B2169" s="2" t="inlineStr">
        <is>
          <t>Stratford Depot</t>
        </is>
      </c>
      <c r="C2169" s="2" t="inlineStr">
        <is>
          <t>Other</t>
        </is>
      </c>
      <c r="D2169" s="2" t="inlineStr">
        <is>
          <t>L9.DNZJ.55574</t>
        </is>
      </c>
      <c r="E2169" s="2" t="n">
        <v>55574</v>
      </c>
      <c r="H2169" s="2" t="inlineStr">
        <is>
          <t>134-136 Orlando Street</t>
        </is>
      </c>
      <c r="I2169" s="2" t="inlineStr">
        <is>
          <t>Stratford</t>
        </is>
      </c>
      <c r="J2169" s="2" t="inlineStr">
        <is>
          <t>Stratford</t>
        </is>
      </c>
      <c r="K2169" s="2" t="n">
        <v>4332</v>
      </c>
      <c r="L2169" s="2" t="inlineStr">
        <is>
          <t>New Zealand</t>
        </is>
      </c>
      <c r="M2169" s="2" t="inlineStr">
        <is>
          <t>Eltham</t>
        </is>
      </c>
      <c r="N2169" s="2" t="inlineStr">
        <is>
          <t>New Zealand</t>
        </is>
      </c>
      <c r="P2169" s="2" t="inlineStr">
        <is>
          <t>Operational Control</t>
        </is>
      </c>
      <c r="Q2169" s="2" t="inlineStr">
        <is>
          <t>Operational Control</t>
        </is>
      </c>
      <c r="R2169" s="2" t="inlineStr">
        <is>
          <t>Transport &amp; Infrastructure (T&amp;I)</t>
        </is>
      </c>
      <c r="S2169" s="2" t="inlineStr">
        <is>
          <t>Downer</t>
        </is>
      </c>
      <c r="T2169" s="2" t="n">
        <v>100</v>
      </c>
      <c r="W2169" s="2" t="inlineStr">
        <is>
          <t>Classification</t>
        </is>
      </c>
      <c r="X2169" s="2" t="n">
        <v>-39.3493</v>
      </c>
      <c r="Y2169" s="2" t="n">
        <v>174.2918</v>
      </c>
    </row>
    <row r="2170">
      <c r="A2170" s="2" t="inlineStr">
        <is>
          <t>Downer</t>
        </is>
      </c>
      <c r="B2170" s="2" t="inlineStr">
        <is>
          <t>Stratford People/Plant</t>
        </is>
      </c>
      <c r="C2170" s="2" t="inlineStr">
        <is>
          <t>Other</t>
        </is>
      </c>
      <c r="D2170" s="2" t="inlineStr">
        <is>
          <t>L9.DNZJ.66203</t>
        </is>
      </c>
      <c r="E2170" s="2" t="n">
        <v>66203</v>
      </c>
      <c r="H2170" s="2" t="inlineStr">
        <is>
          <t>130 Kerrs Road</t>
        </is>
      </c>
      <c r="I2170" s="2" t="inlineStr">
        <is>
          <t>Wiri</t>
        </is>
      </c>
      <c r="J2170" s="2" t="inlineStr">
        <is>
          <t>Auckland</t>
        </is>
      </c>
      <c r="K2170" s="2" t="n">
        <v>2104</v>
      </c>
      <c r="L2170" s="2" t="inlineStr">
        <is>
          <t>New Zealand</t>
        </is>
      </c>
      <c r="M2170" s="2" t="inlineStr">
        <is>
          <t>Manurewa</t>
        </is>
      </c>
      <c r="N2170" s="2" t="inlineStr">
        <is>
          <t>New Zealand</t>
        </is>
      </c>
      <c r="P2170" s="2" t="inlineStr">
        <is>
          <t>Operational Control</t>
        </is>
      </c>
      <c r="Q2170" s="2" t="inlineStr">
        <is>
          <t>Operational Control</t>
        </is>
      </c>
      <c r="R2170" s="2" t="inlineStr">
        <is>
          <t>Transport &amp; Infrastructure (T&amp;I)</t>
        </is>
      </c>
      <c r="S2170" s="2" t="inlineStr">
        <is>
          <t>Downer</t>
        </is>
      </c>
      <c r="T2170" s="2" t="n">
        <v>100</v>
      </c>
      <c r="W2170" s="2" t="inlineStr">
        <is>
          <t>Classification</t>
        </is>
      </c>
      <c r="X2170" s="2" t="n">
        <v>-37.0083</v>
      </c>
      <c r="Y2170" s="2" t="n">
        <v>174.8705</v>
      </c>
    </row>
    <row r="2171">
      <c r="A2171" s="2" t="inlineStr">
        <is>
          <t>Downer</t>
        </is>
      </c>
      <c r="B2171" s="2" t="inlineStr">
        <is>
          <t>Street Light Hamilton/Waikato</t>
        </is>
      </c>
      <c r="C2171" s="2" t="inlineStr">
        <is>
          <t>Other</t>
        </is>
      </c>
      <c r="D2171" s="2" t="inlineStr">
        <is>
          <t>L9.DNZJ.1516</t>
        </is>
      </c>
      <c r="E2171" s="2" t="n">
        <v>1516</v>
      </c>
      <c r="H2171" s="2" t="inlineStr">
        <is>
          <t>130 Kerrs Road</t>
        </is>
      </c>
      <c r="I2171" s="2" t="inlineStr">
        <is>
          <t>Wiri</t>
        </is>
      </c>
      <c r="J2171" s="2" t="inlineStr">
        <is>
          <t>Auckland</t>
        </is>
      </c>
      <c r="K2171" s="2" t="n">
        <v>2104</v>
      </c>
      <c r="L2171" s="2" t="inlineStr">
        <is>
          <t>New Zealand</t>
        </is>
      </c>
      <c r="M2171" s="2" t="inlineStr">
        <is>
          <t>Manurewa</t>
        </is>
      </c>
      <c r="N2171" s="2" t="inlineStr">
        <is>
          <t>New Zealand</t>
        </is>
      </c>
      <c r="P2171" s="2" t="inlineStr">
        <is>
          <t>Operational Control</t>
        </is>
      </c>
      <c r="Q2171" s="2" t="inlineStr">
        <is>
          <t>Operational Control</t>
        </is>
      </c>
      <c r="R2171" s="2" t="inlineStr">
        <is>
          <t>Energy and Utilities (EU)</t>
        </is>
      </c>
      <c r="S2171" s="2" t="inlineStr">
        <is>
          <t>Downer</t>
        </is>
      </c>
      <c r="T2171" s="2" t="n">
        <v>100</v>
      </c>
      <c r="W2171" s="2" t="inlineStr">
        <is>
          <t>Classification</t>
        </is>
      </c>
      <c r="X2171" s="2" t="n">
        <v>-37.0083</v>
      </c>
      <c r="Y2171" s="2" t="n">
        <v>174.8705</v>
      </c>
    </row>
    <row r="2172">
      <c r="A2172" s="2" t="inlineStr">
        <is>
          <t>Downer</t>
        </is>
      </c>
      <c r="B2172" s="2" t="inlineStr">
        <is>
          <t>Streets for People-TDC</t>
        </is>
      </c>
      <c r="C2172" s="2" t="inlineStr">
        <is>
          <t>Site</t>
        </is>
      </c>
      <c r="D2172" s="2" t="inlineStr">
        <is>
          <t>L9.DNZJ.553712</t>
        </is>
      </c>
      <c r="E2172" s="2" t="n">
        <v>553712</v>
      </c>
      <c r="M2172" s="2" t="inlineStr">
        <is>
          <t>Auckland</t>
        </is>
      </c>
      <c r="N2172" s="2" t="inlineStr">
        <is>
          <t>New Zealand</t>
        </is>
      </c>
      <c r="P2172" s="2" t="inlineStr">
        <is>
          <t>Operational Control</t>
        </is>
      </c>
      <c r="Q2172" s="2" t="inlineStr">
        <is>
          <t>Operational Control</t>
        </is>
      </c>
      <c r="R2172" s="2" t="inlineStr">
        <is>
          <t>Transport &amp; Infrastructure (T&amp;I)</t>
        </is>
      </c>
      <c r="S2172" s="2" t="inlineStr">
        <is>
          <t>Downer</t>
        </is>
      </c>
      <c r="T2172" s="2" t="n">
        <v>100</v>
      </c>
      <c r="W2172" s="2" t="inlineStr">
        <is>
          <t>Classification</t>
        </is>
      </c>
    </row>
    <row r="2173">
      <c r="A2173" s="2" t="inlineStr">
        <is>
          <t>Downer</t>
        </is>
      </c>
      <c r="B2173" s="2" t="inlineStr">
        <is>
          <t>Sturt</t>
        </is>
      </c>
      <c r="C2173" s="2" t="inlineStr">
        <is>
          <t>Depot</t>
        </is>
      </c>
      <c r="D2173" s="2" t="inlineStr">
        <is>
          <t>L9.J.17021267</t>
        </is>
      </c>
      <c r="E2173" s="2" t="n">
        <v>17021267</v>
      </c>
      <c r="H2173" s="2" t="inlineStr">
        <is>
          <t>331 Sturt Road</t>
        </is>
      </c>
      <c r="I2173" s="2" t="inlineStr">
        <is>
          <t>Bedford Park</t>
        </is>
      </c>
      <c r="J2173" s="2" t="inlineStr">
        <is>
          <t>South Australia</t>
        </is>
      </c>
      <c r="M2173" s="2" t="inlineStr">
        <is>
          <t>Bedford Park</t>
        </is>
      </c>
      <c r="N2173" s="2" t="inlineStr">
        <is>
          <t>Australia</t>
        </is>
      </c>
      <c r="P2173" s="2" t="inlineStr">
        <is>
          <t>Operational Control</t>
        </is>
      </c>
      <c r="Q2173" s="2" t="inlineStr">
        <is>
          <t>Operational Control</t>
        </is>
      </c>
      <c r="R2173" s="2" t="inlineStr">
        <is>
          <t>Transport &amp; Infrastructure (T&amp;I)</t>
        </is>
      </c>
      <c r="S2173" s="2" t="inlineStr">
        <is>
          <t>Downer</t>
        </is>
      </c>
      <c r="T2173" s="2" t="n">
        <v>100</v>
      </c>
      <c r="W2173" s="2" t="inlineStr">
        <is>
          <t>Classification</t>
        </is>
      </c>
    </row>
    <row r="2174">
      <c r="A2174" s="2" t="inlineStr">
        <is>
          <t>Downer</t>
        </is>
      </c>
      <c r="B2174" s="2" t="inlineStr">
        <is>
          <t>Sub - Powerlink QLD</t>
        </is>
      </c>
      <c r="C2174" s="2" t="inlineStr">
        <is>
          <t>Construction Site</t>
        </is>
      </c>
      <c r="D2174" s="2" t="inlineStr">
        <is>
          <t>L9.J.23300004</t>
        </is>
      </c>
      <c r="E2174" s="2" t="inlineStr">
        <is>
          <t>IP-356.369.247.278</t>
        </is>
      </c>
      <c r="G2174" s="2" t="inlineStr">
        <is>
          <t>Through Jul 18 to Dec 18 there were 4 substation works occurring at Ashgrove, Nebo, Calide, Calvale and Dysart with works dropping off significantly towards Dec 18.  Calide and Calvale demobilised  Feb 2019.
Project Update - July 2019
Ashgrove, On Site till early August then off-Site till mid-November, Contacts Gary Crawley and Glenn Dobson
Dysart, Off Site around October then back on Site March 2020, Contacts Dave Gilbert and Greg Rafter
Nebo, Off Site late July then back on Site around April 2020, Contacts Dave Gilbert and Dan Lucas
Dan Gleeson, On Site till late September then back on Site around July 2020, contacts Nic Musa and Trevor Rodgers.</t>
        </is>
      </c>
      <c r="H2174" s="2" t="inlineStr">
        <is>
          <t>QLD</t>
        </is>
      </c>
      <c r="I2174" s="2" t="inlineStr">
        <is>
          <t>QLD</t>
        </is>
      </c>
      <c r="J2174" s="2" t="inlineStr">
        <is>
          <t>QLD</t>
        </is>
      </c>
      <c r="M2174" s="2" t="inlineStr">
        <is>
          <t>Queensland</t>
        </is>
      </c>
      <c r="N2174" s="2" t="inlineStr">
        <is>
          <t>Australia</t>
        </is>
      </c>
      <c r="P2174" s="2" t="inlineStr">
        <is>
          <t>Operational Control</t>
        </is>
      </c>
      <c r="Q2174" s="2" t="inlineStr">
        <is>
          <t>Operational Control</t>
        </is>
      </c>
      <c r="R2174" s="2" t="inlineStr">
        <is>
          <t>Energy and Utilities (EU)</t>
        </is>
      </c>
      <c r="S2174" s="2" t="inlineStr">
        <is>
          <t>Downer</t>
        </is>
      </c>
      <c r="T2174" s="2" t="n">
        <v>100</v>
      </c>
      <c r="W2174" s="2" t="inlineStr">
        <is>
          <t>Classification</t>
        </is>
      </c>
      <c r="X2174" s="2" t="n">
        <v>-27.494707</v>
      </c>
      <c r="Y2174" s="2" t="n">
        <v>153.003986</v>
      </c>
      <c r="Z2174" s="2" t="n">
        <v>310</v>
      </c>
    </row>
    <row r="2175">
      <c r="A2175" s="2" t="inlineStr">
        <is>
          <t>Downer</t>
        </is>
      </c>
      <c r="B2175" s="2" t="inlineStr">
        <is>
          <t>Substations East EU Subcontractors</t>
        </is>
      </c>
      <c r="C2175" s="2" t="inlineStr">
        <is>
          <t>Other</t>
        </is>
      </c>
      <c r="D2175" s="2" t="inlineStr">
        <is>
          <t>L9.J.37740099</t>
        </is>
      </c>
      <c r="E2175" s="2" t="inlineStr">
        <is>
          <t>L9.J.37740099</t>
        </is>
      </c>
      <c r="M2175" s="2" t="inlineStr">
        <is>
          <t>North Ryde</t>
        </is>
      </c>
      <c r="N2175" s="2" t="inlineStr">
        <is>
          <t>Australia</t>
        </is>
      </c>
      <c r="P2175" s="2" t="inlineStr">
        <is>
          <t>Operational Control</t>
        </is>
      </c>
      <c r="Q2175" s="2" t="inlineStr">
        <is>
          <t>Operational Control</t>
        </is>
      </c>
      <c r="R2175" s="2" t="inlineStr">
        <is>
          <t>Energy and Utilities (EU)</t>
        </is>
      </c>
      <c r="S2175" s="2" t="inlineStr">
        <is>
          <t>Downer</t>
        </is>
      </c>
      <c r="T2175" s="2" t="n">
        <v>100</v>
      </c>
      <c r="W2175" s="2" t="inlineStr">
        <is>
          <t>Classification</t>
        </is>
      </c>
    </row>
    <row r="2176">
      <c r="A2176" s="2" t="inlineStr">
        <is>
          <t>Downer</t>
        </is>
      </c>
      <c r="B2176" s="2" t="inlineStr">
        <is>
          <t>Sunbury RWP</t>
        </is>
      </c>
      <c r="C2176" s="2" t="inlineStr">
        <is>
          <t>Depot</t>
        </is>
      </c>
      <c r="D2176" s="2" t="inlineStr">
        <is>
          <t>L9.J.24150013</t>
        </is>
      </c>
      <c r="E2176" s="2" t="n">
        <v>7008</v>
      </c>
      <c r="G2176" s="2" t="inlineStr">
        <is>
          <t>Sunbury</t>
        </is>
      </c>
      <c r="H2176" s="2" t="inlineStr">
        <is>
          <t>Harker Street</t>
        </is>
      </c>
      <c r="I2176" s="2" t="inlineStr">
        <is>
          <t>Sunbury</t>
        </is>
      </c>
      <c r="J2176" s="2" t="inlineStr">
        <is>
          <t>VIC</t>
        </is>
      </c>
      <c r="K2176" s="2" t="n">
        <v>3429</v>
      </c>
      <c r="L2176" s="2" t="inlineStr">
        <is>
          <t>Australia</t>
        </is>
      </c>
      <c r="M2176" s="2" t="inlineStr">
        <is>
          <t>Sunbury</t>
        </is>
      </c>
      <c r="N2176" s="2" t="inlineStr">
        <is>
          <t>Australia</t>
        </is>
      </c>
      <c r="P2176" s="2" t="inlineStr">
        <is>
          <t>Operational Control</t>
        </is>
      </c>
      <c r="Q2176" s="2" t="inlineStr">
        <is>
          <t>Operational Control</t>
        </is>
      </c>
      <c r="R2176" s="2" t="inlineStr">
        <is>
          <t>Energy and Utilities (EU)</t>
        </is>
      </c>
      <c r="S2176" s="2" t="inlineStr">
        <is>
          <t>Downer</t>
        </is>
      </c>
      <c r="T2176" s="2" t="n">
        <v>100</v>
      </c>
      <c r="W2176" s="2" t="inlineStr">
        <is>
          <t>Classification</t>
        </is>
      </c>
      <c r="X2176" s="2" t="n">
        <v>-37.595544</v>
      </c>
      <c r="Y2176" s="2" t="n">
        <v>144.738472</v>
      </c>
      <c r="Z2176" s="2" t="n">
        <v>281</v>
      </c>
    </row>
    <row r="2177">
      <c r="A2177" s="2" t="inlineStr">
        <is>
          <t>Downer</t>
        </is>
      </c>
      <c r="B2177" s="2" t="inlineStr">
        <is>
          <t>Suncontractors - NZ - Energy Networks</t>
        </is>
      </c>
      <c r="C2177" s="2" t="inlineStr">
        <is>
          <t>Other</t>
        </is>
      </c>
      <c r="M2177" s="2" t="inlineStr">
        <is>
          <t>Auckland</t>
        </is>
      </c>
      <c r="N2177" s="2" t="inlineStr">
        <is>
          <t>New Zealand</t>
        </is>
      </c>
      <c r="P2177" s="2" t="inlineStr">
        <is>
          <t>Operational Control</t>
        </is>
      </c>
      <c r="Q2177" s="2" t="inlineStr">
        <is>
          <t>Operational Control</t>
        </is>
      </c>
      <c r="R2177" s="2" t="inlineStr">
        <is>
          <t>Asset &amp; Development Services (Baseline)</t>
        </is>
      </c>
      <c r="S2177" s="2" t="inlineStr">
        <is>
          <t>Downer</t>
        </is>
      </c>
      <c r="T2177" s="2" t="n">
        <v>100</v>
      </c>
      <c r="W2177" s="2" t="inlineStr">
        <is>
          <t>Classification</t>
        </is>
      </c>
    </row>
    <row r="2178">
      <c r="A2178" s="2" t="inlineStr">
        <is>
          <t>Downer</t>
        </is>
      </c>
      <c r="B2178" s="2" t="inlineStr">
        <is>
          <t>Swanbank BESS</t>
        </is>
      </c>
      <c r="C2178" s="2" t="inlineStr">
        <is>
          <t>Infrastructure</t>
        </is>
      </c>
      <c r="D2178" s="2" t="inlineStr">
        <is>
          <t>L9.J.3776003101</t>
        </is>
      </c>
      <c r="E2178" s="2" t="n">
        <v>3776003101</v>
      </c>
      <c r="G2178" s="2" t="inlineStr">
        <is>
          <t>EU-3776003101 - Swanbank BESS</t>
        </is>
      </c>
      <c r="M2178" s="2" t="inlineStr">
        <is>
          <t>Queensland</t>
        </is>
      </c>
      <c r="N2178" s="2" t="inlineStr">
        <is>
          <t>Australia</t>
        </is>
      </c>
      <c r="P2178" s="2" t="inlineStr">
        <is>
          <t>Operational Control</t>
        </is>
      </c>
      <c r="Q2178" s="2" t="inlineStr">
        <is>
          <t>Operational Control</t>
        </is>
      </c>
      <c r="R2178" s="2" t="inlineStr">
        <is>
          <t>Energy and Utilities (EU)</t>
        </is>
      </c>
      <c r="S2178" s="2" t="inlineStr">
        <is>
          <t>Downer</t>
        </is>
      </c>
      <c r="T2178" s="2" t="n">
        <v>100</v>
      </c>
      <c r="W2178" s="2" t="inlineStr">
        <is>
          <t>Classification</t>
        </is>
      </c>
    </row>
    <row r="2179">
      <c r="A2179" s="2" t="inlineStr">
        <is>
          <t>Downer</t>
        </is>
      </c>
      <c r="B2179" s="2" t="inlineStr">
        <is>
          <t>SWDC - Tirau 45004733</t>
        </is>
      </c>
      <c r="C2179" s="2" t="inlineStr">
        <is>
          <t>Other</t>
        </is>
      </c>
      <c r="D2179" s="2" t="inlineStr">
        <is>
          <t>L9.S.26019877</t>
        </is>
      </c>
      <c r="E2179" s="2" t="n">
        <v>2000005158</v>
      </c>
      <c r="H2179" s="2" t="inlineStr">
        <is>
          <t>130 Kerrs Road</t>
        </is>
      </c>
      <c r="I2179" s="2" t="inlineStr">
        <is>
          <t>Wiri</t>
        </is>
      </c>
      <c r="J2179" s="2" t="inlineStr">
        <is>
          <t>Auckland</t>
        </is>
      </c>
      <c r="K2179" s="2" t="n">
        <v>2104</v>
      </c>
      <c r="L2179" s="2" t="inlineStr">
        <is>
          <t>New Zealand</t>
        </is>
      </c>
      <c r="M2179" s="2" t="inlineStr">
        <is>
          <t>Manurewa</t>
        </is>
      </c>
      <c r="N2179" s="2" t="inlineStr">
        <is>
          <t>New Zealand</t>
        </is>
      </c>
      <c r="P2179" s="2" t="inlineStr">
        <is>
          <t>Operational Control</t>
        </is>
      </c>
      <c r="Q2179" s="2" t="inlineStr">
        <is>
          <t>Operational Control</t>
        </is>
      </c>
      <c r="R2179" s="2" t="inlineStr">
        <is>
          <t>Social Infra &amp; Citizen Serv (SICS)</t>
        </is>
      </c>
      <c r="S2179" s="2" t="inlineStr">
        <is>
          <t>Downer</t>
        </is>
      </c>
      <c r="T2179" s="2" t="n">
        <v>100</v>
      </c>
      <c r="W2179" s="2" t="inlineStr">
        <is>
          <t>Classification</t>
        </is>
      </c>
      <c r="X2179" s="2" t="n">
        <v>-37.0083</v>
      </c>
      <c r="Y2179" s="2" t="n">
        <v>174.8705</v>
      </c>
    </row>
    <row r="2180">
      <c r="A2180" s="2" t="inlineStr">
        <is>
          <t>Downer</t>
        </is>
      </c>
      <c r="B2180" s="2" t="inlineStr">
        <is>
          <t>SWDC - Tokoroa 45004733</t>
        </is>
      </c>
      <c r="C2180" s="2" t="inlineStr">
        <is>
          <t>Other</t>
        </is>
      </c>
      <c r="D2180" s="2" t="inlineStr">
        <is>
          <t>L9.S.26019854</t>
        </is>
      </c>
      <c r="E2180" s="2" t="n">
        <v>2000005156</v>
      </c>
      <c r="H2180" s="2" t="inlineStr">
        <is>
          <t>130 Kerrs Road</t>
        </is>
      </c>
      <c r="I2180" s="2" t="inlineStr">
        <is>
          <t>Wiri</t>
        </is>
      </c>
      <c r="J2180" s="2" t="inlineStr">
        <is>
          <t>Auckland</t>
        </is>
      </c>
      <c r="K2180" s="2" t="n">
        <v>2104</v>
      </c>
      <c r="L2180" s="2" t="inlineStr">
        <is>
          <t>New Zealand</t>
        </is>
      </c>
      <c r="M2180" s="2" t="inlineStr">
        <is>
          <t>Manurewa</t>
        </is>
      </c>
      <c r="N2180" s="2" t="inlineStr">
        <is>
          <t>New Zealand</t>
        </is>
      </c>
      <c r="P2180" s="2" t="inlineStr">
        <is>
          <t>Operational Control</t>
        </is>
      </c>
      <c r="Q2180" s="2" t="inlineStr">
        <is>
          <t>Operational Control</t>
        </is>
      </c>
      <c r="R2180" s="2" t="inlineStr">
        <is>
          <t>Social Infra &amp; Citizen Serv (SICS)</t>
        </is>
      </c>
      <c r="S2180" s="2" t="inlineStr">
        <is>
          <t>Downer</t>
        </is>
      </c>
      <c r="T2180" s="2" t="n">
        <v>100</v>
      </c>
      <c r="W2180" s="2" t="inlineStr">
        <is>
          <t>Classification</t>
        </is>
      </c>
      <c r="X2180" s="2" t="n">
        <v>-37.0083</v>
      </c>
      <c r="Y2180" s="2" t="n">
        <v>174.8705</v>
      </c>
    </row>
    <row r="2181">
      <c r="A2181" s="2" t="inlineStr">
        <is>
          <t>Downer</t>
        </is>
      </c>
      <c r="B2181" s="2" t="inlineStr">
        <is>
          <t>SWDC 640/637 Unsealed Rds</t>
        </is>
      </c>
      <c r="C2181" s="2" t="inlineStr">
        <is>
          <t>Other</t>
        </is>
      </c>
      <c r="D2181" s="2" t="inlineStr">
        <is>
          <t>L9.DNZJ.559614</t>
        </is>
      </c>
      <c r="E2181" s="2" t="n">
        <v>559614</v>
      </c>
      <c r="M2181" s="2" t="inlineStr">
        <is>
          <t>Auckland</t>
        </is>
      </c>
      <c r="N2181" s="2" t="inlineStr">
        <is>
          <t>New Zealand</t>
        </is>
      </c>
      <c r="P2181" s="2" t="inlineStr">
        <is>
          <t>Operational Control</t>
        </is>
      </c>
      <c r="Q2181" s="2" t="inlineStr">
        <is>
          <t>Operational Control</t>
        </is>
      </c>
      <c r="R2181" s="2" t="inlineStr">
        <is>
          <t>Transport &amp; Infrastructure (T&amp;I)</t>
        </is>
      </c>
      <c r="S2181" s="2" t="inlineStr">
        <is>
          <t>Downer</t>
        </is>
      </c>
      <c r="T2181" s="2" t="n">
        <v>100</v>
      </c>
      <c r="W2181" s="2" t="inlineStr">
        <is>
          <t>Classification</t>
        </is>
      </c>
    </row>
    <row r="2182">
      <c r="A2182" s="2" t="inlineStr">
        <is>
          <t>Downer</t>
        </is>
      </c>
      <c r="B2182" s="2" t="inlineStr">
        <is>
          <t>Sydney Water EU Subcontractors</t>
        </is>
      </c>
      <c r="C2182" s="2" t="inlineStr">
        <is>
          <t>Other</t>
        </is>
      </c>
      <c r="D2182" s="2" t="inlineStr">
        <is>
          <t>L9.J.23900262</t>
        </is>
      </c>
      <c r="E2182" s="2" t="inlineStr">
        <is>
          <t>L9.J.23900262</t>
        </is>
      </c>
      <c r="M2182" s="2" t="inlineStr">
        <is>
          <t>North Ryde</t>
        </is>
      </c>
      <c r="N2182" s="2" t="inlineStr">
        <is>
          <t>Australia</t>
        </is>
      </c>
      <c r="P2182" s="2" t="inlineStr">
        <is>
          <t>Operational Control</t>
        </is>
      </c>
      <c r="Q2182" s="2" t="inlineStr">
        <is>
          <t>Operational Control</t>
        </is>
      </c>
      <c r="R2182" s="2" t="inlineStr">
        <is>
          <t>Energy and Utilities (EU)</t>
        </is>
      </c>
      <c r="S2182" s="2" t="inlineStr">
        <is>
          <t>Downer</t>
        </is>
      </c>
      <c r="T2182" s="2" t="n">
        <v>100</v>
      </c>
      <c r="W2182" s="2" t="inlineStr">
        <is>
          <t>Classification</t>
        </is>
      </c>
    </row>
    <row r="2183">
      <c r="A2183" s="2" t="inlineStr">
        <is>
          <t>Downer</t>
        </is>
      </c>
      <c r="B2183" s="2" t="inlineStr">
        <is>
          <t>Sydney Water NFRP EU Subcontractors</t>
        </is>
      </c>
      <c r="C2183" s="2" t="inlineStr">
        <is>
          <t>Other</t>
        </is>
      </c>
      <c r="D2183" s="2" t="inlineStr">
        <is>
          <t>L9.J.23900053</t>
        </is>
      </c>
      <c r="E2183" s="2" t="inlineStr">
        <is>
          <t>L9.J.23900053</t>
        </is>
      </c>
      <c r="M2183" s="2" t="inlineStr">
        <is>
          <t>North Ryde</t>
        </is>
      </c>
      <c r="N2183" s="2" t="inlineStr">
        <is>
          <t>Australia</t>
        </is>
      </c>
      <c r="P2183" s="2" t="inlineStr">
        <is>
          <t>Operational Control</t>
        </is>
      </c>
      <c r="Q2183" s="2" t="inlineStr">
        <is>
          <t>Operational Control</t>
        </is>
      </c>
      <c r="R2183" s="2" t="inlineStr">
        <is>
          <t>Energy and Utilities (EU)</t>
        </is>
      </c>
      <c r="S2183" s="2" t="inlineStr">
        <is>
          <t>Downer</t>
        </is>
      </c>
      <c r="T2183" s="2" t="n">
        <v>100</v>
      </c>
      <c r="W2183" s="2" t="inlineStr">
        <is>
          <t>Classification</t>
        </is>
      </c>
    </row>
    <row r="2184">
      <c r="A2184" s="2" t="inlineStr">
        <is>
          <t>Downer</t>
        </is>
      </c>
      <c r="B2184" s="2" t="inlineStr">
        <is>
          <t>T&amp;Cs - Other EU Subcontractors</t>
        </is>
      </c>
      <c r="C2184" s="2" t="inlineStr">
        <is>
          <t>Other</t>
        </is>
      </c>
      <c r="D2184" s="2" t="inlineStr">
        <is>
          <t>L9.J.23440142</t>
        </is>
      </c>
      <c r="E2184" s="2" t="inlineStr">
        <is>
          <t>L9.J.23440142</t>
        </is>
      </c>
      <c r="F2184" s="2" t="inlineStr">
        <is>
          <t>L9.J.23440142</t>
        </is>
      </c>
      <c r="M2184" s="2" t="inlineStr">
        <is>
          <t>North Ryde</t>
        </is>
      </c>
      <c r="N2184" s="2" t="inlineStr">
        <is>
          <t>Australia</t>
        </is>
      </c>
      <c r="P2184" s="2" t="inlineStr">
        <is>
          <t>Operational Control</t>
        </is>
      </c>
      <c r="Q2184" s="2" t="inlineStr">
        <is>
          <t>Operational Control</t>
        </is>
      </c>
      <c r="R2184" s="2" t="inlineStr">
        <is>
          <t>Energy and Utilities (EU)</t>
        </is>
      </c>
      <c r="S2184" s="2" t="inlineStr">
        <is>
          <t>Downer</t>
        </is>
      </c>
      <c r="T2184" s="2" t="n">
        <v>100</v>
      </c>
      <c r="W2184" s="2" t="inlineStr">
        <is>
          <t>Classification</t>
        </is>
      </c>
    </row>
    <row r="2185">
      <c r="A2185" s="2" t="inlineStr">
        <is>
          <t>Downer</t>
        </is>
      </c>
      <c r="B2185" s="2" t="inlineStr">
        <is>
          <t>T&amp;I AU Cartage - TI-171 - TI-HO Office</t>
        </is>
      </c>
      <c r="C2185" s="2" t="inlineStr">
        <is>
          <t>Other</t>
        </is>
      </c>
      <c r="D2185" s="2" t="inlineStr">
        <is>
          <t>L9.J.170833</t>
        </is>
      </c>
      <c r="E2185" s="2" t="inlineStr">
        <is>
          <t>L9.J.170833</t>
        </is>
      </c>
      <c r="M2185" s="2" t="inlineStr">
        <is>
          <t>North Ryde</t>
        </is>
      </c>
      <c r="N2185" s="2" t="inlineStr">
        <is>
          <t>Australia</t>
        </is>
      </c>
      <c r="P2185" s="2" t="inlineStr">
        <is>
          <t>Operational Control</t>
        </is>
      </c>
      <c r="Q2185" s="2" t="inlineStr">
        <is>
          <t>Operational Control</t>
        </is>
      </c>
      <c r="R2185" s="2" t="inlineStr">
        <is>
          <t>Transport &amp; Infrastructure (T&amp;I)</t>
        </is>
      </c>
      <c r="S2185" s="2" t="inlineStr">
        <is>
          <t>Downer</t>
        </is>
      </c>
      <c r="T2185" s="2" t="n">
        <v>100</v>
      </c>
      <c r="W2185" s="2" t="inlineStr">
        <is>
          <t>Classification</t>
        </is>
      </c>
    </row>
    <row r="2186">
      <c r="A2186" s="2" t="inlineStr">
        <is>
          <t>Downer</t>
        </is>
      </c>
      <c r="B2186" s="2" t="inlineStr">
        <is>
          <t>T&amp;I AU Cartage - TI-187 - Asphalt &amp; Products</t>
        </is>
      </c>
      <c r="C2186" s="2" t="inlineStr">
        <is>
          <t>Other</t>
        </is>
      </c>
      <c r="D2186" s="2" t="inlineStr">
        <is>
          <t>L9.J.17040439</t>
        </is>
      </c>
      <c r="E2186" s="2" t="inlineStr">
        <is>
          <t>L9.J.17040439</t>
        </is>
      </c>
      <c r="M2186" s="2" t="inlineStr">
        <is>
          <t>North Ryde</t>
        </is>
      </c>
      <c r="N2186" s="2" t="inlineStr">
        <is>
          <t>Australia</t>
        </is>
      </c>
      <c r="P2186" s="2" t="inlineStr">
        <is>
          <t>Operational Control</t>
        </is>
      </c>
      <c r="Q2186" s="2" t="inlineStr">
        <is>
          <t>Operational Control</t>
        </is>
      </c>
      <c r="R2186" s="2" t="inlineStr">
        <is>
          <t>Transport &amp; Infrastructure (T&amp;I)</t>
        </is>
      </c>
      <c r="S2186" s="2" t="inlineStr">
        <is>
          <t>Downer</t>
        </is>
      </c>
      <c r="T2186" s="2" t="n">
        <v>100</v>
      </c>
      <c r="W2186" s="2" t="inlineStr">
        <is>
          <t>Classification</t>
        </is>
      </c>
    </row>
    <row r="2187">
      <c r="A2187" s="2" t="inlineStr">
        <is>
          <t>Downer</t>
        </is>
      </c>
      <c r="B2187" s="2" t="inlineStr">
        <is>
          <t>T&amp;I AU Cartage - TI-189 - Specialised Pavements &amp; Projec</t>
        </is>
      </c>
      <c r="C2187" s="2" t="inlineStr">
        <is>
          <t>Other</t>
        </is>
      </c>
      <c r="D2187" s="2" t="inlineStr">
        <is>
          <t>L9.J.17093209</t>
        </is>
      </c>
      <c r="E2187" s="2" t="inlineStr">
        <is>
          <t>L9.J.17093209</t>
        </is>
      </c>
      <c r="M2187" s="2" t="inlineStr">
        <is>
          <t>North Ryde</t>
        </is>
      </c>
      <c r="N2187" s="2" t="inlineStr">
        <is>
          <t>Australia</t>
        </is>
      </c>
      <c r="P2187" s="2" t="inlineStr">
        <is>
          <t>Operational Control</t>
        </is>
      </c>
      <c r="Q2187" s="2" t="inlineStr">
        <is>
          <t>Operational Control</t>
        </is>
      </c>
      <c r="R2187" s="2" t="inlineStr">
        <is>
          <t>Transport &amp; Infrastructure (T&amp;I)</t>
        </is>
      </c>
      <c r="S2187" s="2" t="inlineStr">
        <is>
          <t>Downer</t>
        </is>
      </c>
      <c r="T2187" s="2" t="n">
        <v>100</v>
      </c>
      <c r="W2187" s="2" t="inlineStr">
        <is>
          <t>Classification</t>
        </is>
      </c>
    </row>
    <row r="2188">
      <c r="A2188" s="2" t="inlineStr">
        <is>
          <t>Downer</t>
        </is>
      </c>
      <c r="B2188" s="2" t="inlineStr">
        <is>
          <t>T&amp;I AU Cartage - TI-190 - Thin Surfacing</t>
        </is>
      </c>
      <c r="C2188" s="2" t="inlineStr">
        <is>
          <t>Other</t>
        </is>
      </c>
      <c r="D2188" s="2" t="inlineStr">
        <is>
          <t>L9.J.17098065</t>
        </is>
      </c>
      <c r="E2188" s="2" t="inlineStr">
        <is>
          <t>L9.J.17098065</t>
        </is>
      </c>
      <c r="M2188" s="2" t="inlineStr">
        <is>
          <t>North Ryde</t>
        </is>
      </c>
      <c r="N2188" s="2" t="inlineStr">
        <is>
          <t>Australia</t>
        </is>
      </c>
      <c r="P2188" s="2" t="inlineStr">
        <is>
          <t>Operational Control</t>
        </is>
      </c>
      <c r="Q2188" s="2" t="inlineStr">
        <is>
          <t>Operational Control</t>
        </is>
      </c>
      <c r="R2188" s="2" t="inlineStr">
        <is>
          <t>Transport &amp; Infrastructure (T&amp;I)</t>
        </is>
      </c>
      <c r="S2188" s="2" t="inlineStr">
        <is>
          <t>Downer</t>
        </is>
      </c>
      <c r="T2188" s="2" t="n">
        <v>100</v>
      </c>
      <c r="W2188" s="2" t="inlineStr">
        <is>
          <t>Classification</t>
        </is>
      </c>
    </row>
    <row r="2189">
      <c r="A2189" s="2" t="inlineStr">
        <is>
          <t>Downer</t>
        </is>
      </c>
      <c r="B2189" s="2" t="inlineStr">
        <is>
          <t>T&amp;I AU Cartage - TI-192 - AU Fleet &amp; TI</t>
        </is>
      </c>
      <c r="C2189" s="2" t="inlineStr">
        <is>
          <t>Other</t>
        </is>
      </c>
      <c r="D2189" s="2" t="inlineStr">
        <is>
          <t>L9.J.170145</t>
        </is>
      </c>
      <c r="E2189" s="2" t="inlineStr">
        <is>
          <t>L9.J.170145</t>
        </is>
      </c>
      <c r="M2189" s="2" t="inlineStr">
        <is>
          <t>North Ryde</t>
        </is>
      </c>
      <c r="N2189" s="2" t="inlineStr">
        <is>
          <t>Australia</t>
        </is>
      </c>
      <c r="P2189" s="2" t="inlineStr">
        <is>
          <t>Operational Control</t>
        </is>
      </c>
      <c r="Q2189" s="2" t="inlineStr">
        <is>
          <t>Operational Control</t>
        </is>
      </c>
      <c r="R2189" s="2" t="inlineStr">
        <is>
          <t>Transport &amp; Infrastructure (T&amp;I)</t>
        </is>
      </c>
      <c r="S2189" s="2" t="inlineStr">
        <is>
          <t>Downer</t>
        </is>
      </c>
      <c r="T2189" s="2" t="n">
        <v>100</v>
      </c>
      <c r="W2189" s="2" t="inlineStr">
        <is>
          <t>Classification</t>
        </is>
      </c>
    </row>
    <row r="2190">
      <c r="A2190" s="2" t="inlineStr">
        <is>
          <t>Downer</t>
        </is>
      </c>
      <c r="B2190" s="2" t="inlineStr">
        <is>
          <t>T&amp;I Capability Strategy</t>
        </is>
      </c>
      <c r="C2190" s="2" t="inlineStr">
        <is>
          <t>Other</t>
        </is>
      </c>
      <c r="D2190" s="2" t="inlineStr">
        <is>
          <t>L9.DNZJ.57972</t>
        </is>
      </c>
      <c r="E2190" s="2" t="n">
        <v>57972</v>
      </c>
      <c r="M2190" s="2" t="inlineStr">
        <is>
          <t>Auckland</t>
        </is>
      </c>
      <c r="N2190" s="2" t="inlineStr">
        <is>
          <t>New Zealand</t>
        </is>
      </c>
      <c r="P2190" s="2" t="inlineStr">
        <is>
          <t>Operational Control</t>
        </is>
      </c>
      <c r="Q2190" s="2" t="inlineStr">
        <is>
          <t>Operational Control</t>
        </is>
      </c>
      <c r="R2190" s="2" t="inlineStr">
        <is>
          <t>Transport &amp; Infrastructure (T&amp;I)</t>
        </is>
      </c>
      <c r="S2190" s="2" t="inlineStr">
        <is>
          <t>Downer</t>
        </is>
      </c>
      <c r="T2190" s="2" t="n">
        <v>100</v>
      </c>
      <c r="W2190" s="2" t="inlineStr">
        <is>
          <t>Classification</t>
        </is>
      </c>
    </row>
    <row r="2191">
      <c r="A2191" s="2" t="inlineStr">
        <is>
          <t>Downer</t>
        </is>
      </c>
      <c r="B2191" s="2" t="inlineStr">
        <is>
          <t>T&amp;I Cartage Subcontractors AU</t>
        </is>
      </c>
      <c r="C2191" s="2" t="inlineStr">
        <is>
          <t>Industrial</t>
        </is>
      </c>
      <c r="D2191" s="2" t="inlineStr">
        <is>
          <t>L9.J.170712</t>
        </is>
      </c>
      <c r="E2191" s="2" t="n">
        <v>170712</v>
      </c>
      <c r="M2191" s="2" t="inlineStr">
        <is>
          <t>North Ryde</t>
        </is>
      </c>
      <c r="N2191" s="2" t="inlineStr">
        <is>
          <t>Australia</t>
        </is>
      </c>
      <c r="P2191" s="2" t="inlineStr">
        <is>
          <t>Operational Control</t>
        </is>
      </c>
      <c r="Q2191" s="2" t="inlineStr">
        <is>
          <t>Operational Control</t>
        </is>
      </c>
      <c r="R2191" s="2" t="inlineStr">
        <is>
          <t>Transport &amp; Infrastructure (T&amp;I)</t>
        </is>
      </c>
      <c r="S2191" s="2" t="inlineStr">
        <is>
          <t>Downer</t>
        </is>
      </c>
      <c r="T2191" s="2" t="n">
        <v>100</v>
      </c>
      <c r="W2191" s="2" t="inlineStr">
        <is>
          <t>Classification</t>
        </is>
      </c>
    </row>
    <row r="2192">
      <c r="A2192" s="2" t="inlineStr">
        <is>
          <t>Downer</t>
        </is>
      </c>
      <c r="B2192" s="2" t="inlineStr">
        <is>
          <t>T&amp;I Commercial &amp; Risk</t>
        </is>
      </c>
      <c r="C2192" s="2" t="inlineStr">
        <is>
          <t>Other</t>
        </is>
      </c>
      <c r="D2192" s="2" t="inlineStr">
        <is>
          <t>L9.DNZJ.57965</t>
        </is>
      </c>
      <c r="E2192" s="2" t="n">
        <v>57965</v>
      </c>
      <c r="F2192" s="2" t="n">
        <v>57965</v>
      </c>
      <c r="M2192" s="2" t="inlineStr">
        <is>
          <t>Auckland</t>
        </is>
      </c>
      <c r="N2192" s="2" t="inlineStr">
        <is>
          <t>New Zealand</t>
        </is>
      </c>
      <c r="P2192" s="2" t="inlineStr">
        <is>
          <t>Operational Control</t>
        </is>
      </c>
      <c r="Q2192" s="2" t="inlineStr">
        <is>
          <t>Operational Control</t>
        </is>
      </c>
      <c r="R2192" s="2" t="inlineStr">
        <is>
          <t>Transport &amp; Infrastructure (T&amp;I)</t>
        </is>
      </c>
      <c r="S2192" s="2" t="inlineStr">
        <is>
          <t>Downer</t>
        </is>
      </c>
      <c r="T2192" s="2" t="n">
        <v>100</v>
      </c>
      <c r="W2192" s="2" t="inlineStr">
        <is>
          <t>Classification</t>
        </is>
      </c>
    </row>
    <row r="2193">
      <c r="A2193" s="2" t="inlineStr">
        <is>
          <t>Downer</t>
        </is>
      </c>
      <c r="B2193" s="2" t="inlineStr">
        <is>
          <t>T&amp;I COO</t>
        </is>
      </c>
      <c r="C2193" s="2" t="inlineStr">
        <is>
          <t>Other</t>
        </is>
      </c>
      <c r="D2193" s="2" t="inlineStr">
        <is>
          <t>L9.DNZJ.57950</t>
        </is>
      </c>
      <c r="E2193" s="2" t="n">
        <v>57950</v>
      </c>
      <c r="M2193" s="2" t="inlineStr">
        <is>
          <t>Auckland</t>
        </is>
      </c>
      <c r="N2193" s="2" t="inlineStr">
        <is>
          <t>New Zealand</t>
        </is>
      </c>
      <c r="P2193" s="2" t="inlineStr">
        <is>
          <t>Operational Control</t>
        </is>
      </c>
      <c r="Q2193" s="2" t="inlineStr">
        <is>
          <t>Operational Control</t>
        </is>
      </c>
      <c r="R2193" s="2" t="inlineStr">
        <is>
          <t>Transport &amp; Infrastructure (T&amp;I)</t>
        </is>
      </c>
      <c r="S2193" s="2" t="inlineStr">
        <is>
          <t>Downer</t>
        </is>
      </c>
      <c r="T2193" s="2" t="n">
        <v>100</v>
      </c>
      <c r="W2193" s="2" t="inlineStr">
        <is>
          <t>Classification</t>
        </is>
      </c>
    </row>
    <row r="2194">
      <c r="A2194" s="2" t="inlineStr">
        <is>
          <t>Downer</t>
        </is>
      </c>
      <c r="B2194" s="2" t="inlineStr">
        <is>
          <t>T&amp;I Environment &amp; Sustain</t>
        </is>
      </c>
      <c r="C2194" s="2" t="inlineStr">
        <is>
          <t>Other</t>
        </is>
      </c>
      <c r="D2194" s="2" t="inlineStr">
        <is>
          <t>L9.DNZJ.57976</t>
        </is>
      </c>
      <c r="E2194" s="2" t="n">
        <v>57976</v>
      </c>
      <c r="M2194" s="2" t="inlineStr">
        <is>
          <t>Auckland</t>
        </is>
      </c>
      <c r="N2194" s="2" t="inlineStr">
        <is>
          <t>New Zealand</t>
        </is>
      </c>
      <c r="P2194" s="2" t="inlineStr">
        <is>
          <t>Operational Control</t>
        </is>
      </c>
      <c r="Q2194" s="2" t="inlineStr">
        <is>
          <t>Operational Control</t>
        </is>
      </c>
      <c r="R2194" s="2" t="inlineStr">
        <is>
          <t>Transport &amp; Infrastructure (T&amp;I)</t>
        </is>
      </c>
      <c r="S2194" s="2" t="inlineStr">
        <is>
          <t>Downer</t>
        </is>
      </c>
      <c r="T2194" s="2" t="n">
        <v>100</v>
      </c>
      <c r="W2194" s="2" t="inlineStr">
        <is>
          <t>Classification</t>
        </is>
      </c>
    </row>
    <row r="2195">
      <c r="A2195" s="2" t="inlineStr">
        <is>
          <t>Downer</t>
        </is>
      </c>
      <c r="B2195" s="2" t="inlineStr">
        <is>
          <t>T&amp;I Finance &amp; Performance</t>
        </is>
      </c>
      <c r="C2195" s="2" t="inlineStr">
        <is>
          <t>Other</t>
        </is>
      </c>
      <c r="D2195" s="2" t="inlineStr">
        <is>
          <t>L9.DNZJ.57960</t>
        </is>
      </c>
      <c r="E2195" s="2" t="n">
        <v>57960</v>
      </c>
      <c r="F2195" s="2" t="n">
        <v>57960</v>
      </c>
      <c r="M2195" s="2" t="inlineStr">
        <is>
          <t>Auckland</t>
        </is>
      </c>
      <c r="N2195" s="2" t="inlineStr">
        <is>
          <t>New Zealand</t>
        </is>
      </c>
      <c r="P2195" s="2" t="inlineStr">
        <is>
          <t>Operational Control</t>
        </is>
      </c>
      <c r="Q2195" s="2" t="inlineStr">
        <is>
          <t>Operational Control</t>
        </is>
      </c>
      <c r="R2195" s="2" t="inlineStr">
        <is>
          <t>Transport &amp; Infrastructure (T&amp;I)</t>
        </is>
      </c>
      <c r="S2195" s="2" t="inlineStr">
        <is>
          <t>Downer</t>
        </is>
      </c>
      <c r="T2195" s="2" t="n">
        <v>100</v>
      </c>
      <c r="W2195" s="2" t="inlineStr">
        <is>
          <t>Classification</t>
        </is>
      </c>
    </row>
    <row r="2196">
      <c r="A2196" s="2" t="inlineStr">
        <is>
          <t>Downer</t>
        </is>
      </c>
      <c r="B2196" s="2" t="inlineStr">
        <is>
          <t>T&amp;I People &amp; Culture</t>
        </is>
      </c>
      <c r="C2196" s="2" t="inlineStr">
        <is>
          <t>Other</t>
        </is>
      </c>
      <c r="D2196" s="2" t="inlineStr">
        <is>
          <t>L9.DNZJ.57970</t>
        </is>
      </c>
      <c r="E2196" s="2" t="n">
        <v>57970</v>
      </c>
      <c r="F2196" s="2" t="n">
        <v>57970</v>
      </c>
      <c r="M2196" s="2" t="inlineStr">
        <is>
          <t>Auckland</t>
        </is>
      </c>
      <c r="N2196" s="2" t="inlineStr">
        <is>
          <t>New Zealand</t>
        </is>
      </c>
      <c r="P2196" s="2" t="inlineStr">
        <is>
          <t>Operational Control</t>
        </is>
      </c>
      <c r="Q2196" s="2" t="inlineStr">
        <is>
          <t>Operational Control</t>
        </is>
      </c>
      <c r="R2196" s="2" t="inlineStr">
        <is>
          <t>Transport &amp; Infrastructure (T&amp;I)</t>
        </is>
      </c>
      <c r="S2196" s="2" t="inlineStr">
        <is>
          <t>Downer</t>
        </is>
      </c>
      <c r="T2196" s="2" t="n">
        <v>100</v>
      </c>
      <c r="W2196" s="2" t="inlineStr">
        <is>
          <t>Classification</t>
        </is>
      </c>
    </row>
    <row r="2197">
      <c r="A2197" s="2" t="inlineStr">
        <is>
          <t>Downer</t>
        </is>
      </c>
      <c r="B2197" s="2" t="inlineStr">
        <is>
          <t>T&amp;I Zero Harm</t>
        </is>
      </c>
      <c r="C2197" s="2" t="inlineStr">
        <is>
          <t>Other</t>
        </is>
      </c>
      <c r="D2197" s="2" t="inlineStr">
        <is>
          <t>L9.DNZJ.57975</t>
        </is>
      </c>
      <c r="E2197" s="2" t="n">
        <v>57975</v>
      </c>
      <c r="F2197" s="2" t="n">
        <v>57975</v>
      </c>
      <c r="M2197" s="2" t="inlineStr">
        <is>
          <t>Auckland</t>
        </is>
      </c>
      <c r="N2197" s="2" t="inlineStr">
        <is>
          <t>New Zealand</t>
        </is>
      </c>
      <c r="P2197" s="2" t="inlineStr">
        <is>
          <t>Operational Control</t>
        </is>
      </c>
      <c r="Q2197" s="2" t="inlineStr">
        <is>
          <t>Operational Control</t>
        </is>
      </c>
      <c r="R2197" s="2" t="inlineStr">
        <is>
          <t>Transport &amp; Infrastructure (T&amp;I)</t>
        </is>
      </c>
      <c r="S2197" s="2" t="inlineStr">
        <is>
          <t>Downer</t>
        </is>
      </c>
      <c r="T2197" s="2" t="n">
        <v>100</v>
      </c>
      <c r="W2197" s="2" t="inlineStr">
        <is>
          <t>Classification</t>
        </is>
      </c>
    </row>
    <row r="2198">
      <c r="A2198" s="2" t="inlineStr">
        <is>
          <t>Downer</t>
        </is>
      </c>
      <c r="B2198" s="2" t="inlineStr">
        <is>
          <t>T_SubContractors</t>
        </is>
      </c>
      <c r="C2198" s="2" t="inlineStr">
        <is>
          <t>Other</t>
        </is>
      </c>
      <c r="D2198" s="2" t="inlineStr">
        <is>
          <t>L9.DNZJ.1923</t>
        </is>
      </c>
      <c r="E2198" s="2" t="n">
        <v>5323</v>
      </c>
      <c r="M2198" s="2" t="inlineStr">
        <is>
          <t>Auckland</t>
        </is>
      </c>
      <c r="N2198" s="2" t="inlineStr">
        <is>
          <t>New Zealand</t>
        </is>
      </c>
      <c r="P2198" s="2" t="inlineStr">
        <is>
          <t>Operational Control</t>
        </is>
      </c>
      <c r="Q2198" s="2" t="inlineStr">
        <is>
          <t>Operational Control</t>
        </is>
      </c>
      <c r="R2198" s="2" t="inlineStr">
        <is>
          <t>Transport &amp; Infrastructure (T&amp;I)</t>
        </is>
      </c>
      <c r="S2198" s="2" t="inlineStr">
        <is>
          <t>Downer</t>
        </is>
      </c>
      <c r="T2198" s="2" t="n">
        <v>100</v>
      </c>
      <c r="U2198" s="2" t="inlineStr">
        <is>
          <t>1899/12/31</t>
        </is>
      </c>
      <c r="W2198" s="2" t="inlineStr">
        <is>
          <t>Classification</t>
        </is>
      </c>
    </row>
    <row r="2199">
      <c r="A2199" s="2" t="inlineStr">
        <is>
          <t>Downer</t>
        </is>
      </c>
      <c r="B2199" s="2" t="inlineStr">
        <is>
          <t>Taihape/Raetihi - Depot</t>
        </is>
      </c>
      <c r="C2199" s="2" t="inlineStr">
        <is>
          <t>Other</t>
        </is>
      </c>
      <c r="D2199" s="2" t="inlineStr">
        <is>
          <t>L9.DUN.60224</t>
        </is>
      </c>
      <c r="E2199" s="2" t="inlineStr">
        <is>
          <t>PG60224</t>
        </is>
      </c>
      <c r="H2199" s="2" t="inlineStr">
        <is>
          <t>5131 Abattoir Road</t>
        </is>
      </c>
      <c r="I2199" s="2" t="inlineStr">
        <is>
          <t>Taihape</t>
        </is>
      </c>
      <c r="M2199" s="2" t="inlineStr">
        <is>
          <t>Waiouru</t>
        </is>
      </c>
      <c r="N2199" s="2" t="inlineStr">
        <is>
          <t>New Zealand</t>
        </is>
      </c>
      <c r="P2199" s="2" t="inlineStr">
        <is>
          <t>Operational Control</t>
        </is>
      </c>
      <c r="Q2199" s="2" t="inlineStr">
        <is>
          <t>Operational Control</t>
        </is>
      </c>
      <c r="R2199" s="2" t="inlineStr">
        <is>
          <t>Energy and Utilities (EU)</t>
        </is>
      </c>
      <c r="S2199" s="2" t="inlineStr">
        <is>
          <t>Downer</t>
        </is>
      </c>
      <c r="T2199" s="2" t="n">
        <v>100</v>
      </c>
      <c r="W2199" s="2" t="inlineStr">
        <is>
          <t>Classification</t>
        </is>
      </c>
      <c r="X2199" s="2" t="n">
        <v>-39.6595</v>
      </c>
      <c r="Y2199" s="2" t="n">
        <v>175.7838</v>
      </c>
    </row>
    <row r="2200">
      <c r="A2200" s="2" t="inlineStr">
        <is>
          <t>Downer</t>
        </is>
      </c>
      <c r="B2200" s="2" t="inlineStr">
        <is>
          <t>Taihape/Raetihi - WM 223</t>
        </is>
      </c>
      <c r="C2200" s="2" t="inlineStr">
        <is>
          <t>Other</t>
        </is>
      </c>
      <c r="D2200" s="2" t="inlineStr">
        <is>
          <t>L9.DUN.60223</t>
        </is>
      </c>
      <c r="E2200" s="2" t="inlineStr">
        <is>
          <t>PG60223</t>
        </is>
      </c>
      <c r="H2200" s="2" t="inlineStr">
        <is>
          <t>130 Kerrs Road</t>
        </is>
      </c>
      <c r="I2200" s="2" t="inlineStr">
        <is>
          <t>Wiri</t>
        </is>
      </c>
      <c r="J2200" s="2" t="inlineStr">
        <is>
          <t>Auckland</t>
        </is>
      </c>
      <c r="K2200" s="2" t="n">
        <v>2104</v>
      </c>
      <c r="L2200" s="2" t="inlineStr">
        <is>
          <t>New Zealand</t>
        </is>
      </c>
      <c r="M2200" s="2" t="inlineStr">
        <is>
          <t>Manurewa</t>
        </is>
      </c>
      <c r="N2200" s="2" t="inlineStr">
        <is>
          <t>New Zealand</t>
        </is>
      </c>
      <c r="P2200" s="2" t="inlineStr">
        <is>
          <t>Operational Control</t>
        </is>
      </c>
      <c r="Q2200" s="2" t="inlineStr">
        <is>
          <t>Operational Control</t>
        </is>
      </c>
      <c r="R2200" s="2" t="inlineStr">
        <is>
          <t>Energy and Utilities (EU)</t>
        </is>
      </c>
      <c r="S2200" s="2" t="inlineStr">
        <is>
          <t>Downer</t>
        </is>
      </c>
      <c r="T2200" s="2" t="n">
        <v>100</v>
      </c>
      <c r="W2200" s="2" t="inlineStr">
        <is>
          <t>Classification</t>
        </is>
      </c>
      <c r="X2200" s="2" t="n">
        <v>-37.0083</v>
      </c>
      <c r="Y2200" s="2" t="n">
        <v>174.8705</v>
      </c>
    </row>
    <row r="2201">
      <c r="A2201" s="2" t="inlineStr">
        <is>
          <t>Downer</t>
        </is>
      </c>
      <c r="B2201" s="2" t="inlineStr">
        <is>
          <t>TAKAKA HILL 5 SITES REMEDIATIO</t>
        </is>
      </c>
      <c r="C2201" s="2" t="inlineStr">
        <is>
          <t>Other</t>
        </is>
      </c>
      <c r="D2201" s="2" t="inlineStr">
        <is>
          <t>L9.DNZJ.DS2653</t>
        </is>
      </c>
      <c r="E2201" s="2" t="inlineStr">
        <is>
          <t>JP_DS2653</t>
        </is>
      </c>
      <c r="H2201" s="2" t="inlineStr">
        <is>
          <t>130 Kerrs Road</t>
        </is>
      </c>
      <c r="I2201" s="2" t="inlineStr">
        <is>
          <t>Wiri</t>
        </is>
      </c>
      <c r="J2201" s="2" t="inlineStr">
        <is>
          <t>Auckland</t>
        </is>
      </c>
      <c r="K2201" s="2" t="n">
        <v>2104</v>
      </c>
      <c r="L2201" s="2" t="inlineStr">
        <is>
          <t>New Zealand</t>
        </is>
      </c>
      <c r="M2201" s="2" t="inlineStr">
        <is>
          <t>Manurewa</t>
        </is>
      </c>
      <c r="N2201" s="2" t="inlineStr">
        <is>
          <t>New Zealand</t>
        </is>
      </c>
      <c r="P2201" s="2" t="inlineStr">
        <is>
          <t>Operational Control</t>
        </is>
      </c>
      <c r="Q2201" s="2" t="inlineStr">
        <is>
          <t>Operational Control</t>
        </is>
      </c>
      <c r="R2201" s="2" t="inlineStr">
        <is>
          <t>Transport &amp; Infrastructure (T&amp;I)</t>
        </is>
      </c>
      <c r="S2201" s="2" t="inlineStr">
        <is>
          <t>Downer</t>
        </is>
      </c>
      <c r="T2201" s="2" t="n">
        <v>100</v>
      </c>
      <c r="W2201" s="2" t="inlineStr">
        <is>
          <t>Classification</t>
        </is>
      </c>
      <c r="X2201" s="2" t="n">
        <v>-37.0083</v>
      </c>
      <c r="Y2201" s="2" t="n">
        <v>174.8705</v>
      </c>
    </row>
    <row r="2202">
      <c r="A2202" s="2" t="inlineStr">
        <is>
          <t>Downer</t>
        </is>
      </c>
      <c r="B2202" s="2" t="inlineStr">
        <is>
          <t>Tamworth</t>
        </is>
      </c>
      <c r="C2202" s="2" t="inlineStr">
        <is>
          <t>Asphalt Plant</t>
        </is>
      </c>
      <c r="D2202" s="2" t="inlineStr">
        <is>
          <t>L9.J.170937</t>
        </is>
      </c>
      <c r="E2202" s="2" t="n">
        <v>170937</v>
      </c>
      <c r="H2202" s="2" t="inlineStr">
        <is>
          <t>15 - 27 Armstrong Street</t>
        </is>
      </c>
      <c r="I2202" s="2" t="inlineStr">
        <is>
          <t>Tamworth</t>
        </is>
      </c>
      <c r="J2202" s="2" t="inlineStr">
        <is>
          <t>NSW</t>
        </is>
      </c>
      <c r="K2202" s="2" t="n">
        <v>2340</v>
      </c>
      <c r="L2202" s="2" t="inlineStr">
        <is>
          <t>Australia</t>
        </is>
      </c>
      <c r="M2202" s="2" t="inlineStr">
        <is>
          <t>New South Wales</t>
        </is>
      </c>
      <c r="N2202" s="2" t="inlineStr">
        <is>
          <t>Australia</t>
        </is>
      </c>
      <c r="P2202" s="2" t="inlineStr">
        <is>
          <t>Operational Control</t>
        </is>
      </c>
      <c r="Q2202" s="2" t="inlineStr">
        <is>
          <t>Operational Control</t>
        </is>
      </c>
      <c r="R2202" s="2" t="inlineStr">
        <is>
          <t>Transport &amp; Infrastructure (T&amp;I)</t>
        </is>
      </c>
      <c r="S2202" s="2" t="inlineStr">
        <is>
          <t>Downer</t>
        </is>
      </c>
      <c r="T2202" s="2" t="n">
        <v>100</v>
      </c>
      <c r="W2202" s="2" t="inlineStr">
        <is>
          <t>Classification</t>
        </is>
      </c>
      <c r="X2202" s="2" t="n">
        <v>-31.078</v>
      </c>
      <c r="Y2202" s="2" t="n">
        <v>150.851</v>
      </c>
      <c r="Z2202" s="2" t="n">
        <v>170</v>
      </c>
    </row>
    <row r="2203">
      <c r="A2203" s="2" t="inlineStr">
        <is>
          <t>Downer</t>
        </is>
      </c>
      <c r="B2203" s="2" t="inlineStr">
        <is>
          <t>Taranaki Overhead</t>
        </is>
      </c>
      <c r="C2203" s="2" t="inlineStr">
        <is>
          <t>Other</t>
        </is>
      </c>
      <c r="D2203" s="2" t="inlineStr">
        <is>
          <t>L9.DNZJ.54936</t>
        </is>
      </c>
      <c r="E2203" s="2" t="n">
        <v>54936</v>
      </c>
      <c r="G2203" s="2" t="inlineStr">
        <is>
          <t>TI-NZT-54936 - Manuwatu Overhead (INX name). Envizi location is named after edw dashboard, which is directly linked to JDE.</t>
        </is>
      </c>
      <c r="M2203" s="2" t="inlineStr">
        <is>
          <t>Taranaki</t>
        </is>
      </c>
      <c r="N2203" s="2" t="inlineStr">
        <is>
          <t>New Zealand</t>
        </is>
      </c>
      <c r="P2203" s="2" t="inlineStr">
        <is>
          <t>Operational Control</t>
        </is>
      </c>
      <c r="Q2203" s="2" t="inlineStr">
        <is>
          <t>Operational Control</t>
        </is>
      </c>
      <c r="R2203" s="2" t="inlineStr">
        <is>
          <t>Transport &amp; Infrastructure (T&amp;I)</t>
        </is>
      </c>
      <c r="S2203" s="2" t="inlineStr">
        <is>
          <t>Downer</t>
        </is>
      </c>
      <c r="T2203" s="2" t="n">
        <v>100</v>
      </c>
      <c r="W2203" s="2" t="inlineStr">
        <is>
          <t>Classification</t>
        </is>
      </c>
    </row>
    <row r="2204">
      <c r="A2204" s="2" t="inlineStr">
        <is>
          <t>Downer</t>
        </is>
      </c>
      <c r="B2204" s="2" t="inlineStr">
        <is>
          <t>TAREWA ITC - NRHLD DLVR FMWK 1</t>
        </is>
      </c>
      <c r="C2204" s="2" t="inlineStr">
        <is>
          <t>Other</t>
        </is>
      </c>
      <c r="D2204" s="2" t="inlineStr">
        <is>
          <t>L9.DNZJ.DN1157</t>
        </is>
      </c>
      <c r="E2204" s="2" t="inlineStr">
        <is>
          <t>JP_DN1157</t>
        </is>
      </c>
      <c r="H2204" s="2" t="inlineStr">
        <is>
          <t>Otaika Road</t>
        </is>
      </c>
      <c r="I2204" s="2" t="inlineStr">
        <is>
          <t>Raumanga</t>
        </is>
      </c>
      <c r="J2204" s="2" t="inlineStr">
        <is>
          <t>Whangarei</t>
        </is>
      </c>
      <c r="K2204" s="2" t="n">
        <v>110</v>
      </c>
      <c r="L2204" s="2" t="inlineStr">
        <is>
          <t>New Zealand</t>
        </is>
      </c>
      <c r="M2204" s="2" t="inlineStr">
        <is>
          <t>Whangarei</t>
        </is>
      </c>
      <c r="N2204" s="2" t="inlineStr">
        <is>
          <t>New Zealand</t>
        </is>
      </c>
      <c r="P2204" s="2" t="inlineStr">
        <is>
          <t>Operational Control</t>
        </is>
      </c>
      <c r="Q2204" s="2" t="inlineStr">
        <is>
          <t>Operational Control</t>
        </is>
      </c>
      <c r="R2204" s="2" t="inlineStr">
        <is>
          <t>Transport &amp; Infrastructure (T&amp;I)</t>
        </is>
      </c>
      <c r="S2204" s="2" t="inlineStr">
        <is>
          <t>Downer</t>
        </is>
      </c>
      <c r="T2204" s="2" t="n">
        <v>100</v>
      </c>
      <c r="W2204" s="2" t="inlineStr">
        <is>
          <t>Classification</t>
        </is>
      </c>
      <c r="X2204" s="2" t="n">
        <v>-35.7489</v>
      </c>
      <c r="Y2204" s="2" t="n">
        <v>174.3079</v>
      </c>
    </row>
    <row r="2205">
      <c r="A2205" s="2" t="inlineStr">
        <is>
          <t>Downer</t>
        </is>
      </c>
      <c r="B2205" s="2" t="inlineStr">
        <is>
          <t>Tarmac Line Marking, Bairnsdale Depot</t>
        </is>
      </c>
      <c r="C2205" s="2" t="inlineStr">
        <is>
          <t>Depot</t>
        </is>
      </c>
      <c r="D2205" s="2" t="inlineStr">
        <is>
          <t>L9.J.17030829</t>
        </is>
      </c>
      <c r="E2205" s="2" t="inlineStr">
        <is>
          <t>L9.J.17030829</t>
        </is>
      </c>
      <c r="G2205" s="2" t="inlineStr">
        <is>
          <t>Park up depot - a shed with electricity. All other fuel sources are captured within Fowlers Asphalting.</t>
        </is>
      </c>
      <c r="H2205" s="2" t="inlineStr">
        <is>
          <t>15B Rovan Place</t>
        </is>
      </c>
      <c r="I2205" s="2" t="inlineStr">
        <is>
          <t>Bairnsdale</t>
        </is>
      </c>
      <c r="J2205" s="2" t="inlineStr">
        <is>
          <t>NSW</t>
        </is>
      </c>
      <c r="K2205" s="2" t="n">
        <v>3875</v>
      </c>
      <c r="M2205" s="2" t="inlineStr">
        <is>
          <t>Victoria</t>
        </is>
      </c>
      <c r="N2205" s="2" t="inlineStr">
        <is>
          <t>Australia</t>
        </is>
      </c>
      <c r="P2205" s="2" t="inlineStr">
        <is>
          <t>Operational Control</t>
        </is>
      </c>
      <c r="Q2205" s="2" t="inlineStr">
        <is>
          <t>Operational Control</t>
        </is>
      </c>
      <c r="R2205" s="2" t="inlineStr">
        <is>
          <t>Transport &amp; Infrastructure (T&amp;I)</t>
        </is>
      </c>
      <c r="S2205" s="2" t="inlineStr">
        <is>
          <t>Downer</t>
        </is>
      </c>
      <c r="T2205" s="2" t="n">
        <v>100</v>
      </c>
      <c r="W2205" s="2" t="inlineStr">
        <is>
          <t>Classification</t>
        </is>
      </c>
    </row>
    <row r="2206">
      <c r="A2206" s="2" t="inlineStr">
        <is>
          <t>Downer</t>
        </is>
      </c>
      <c r="B2206" s="2" t="inlineStr">
        <is>
          <t>Tasman DC Alliance</t>
        </is>
      </c>
      <c r="C2206" s="2" t="inlineStr">
        <is>
          <t>Other</t>
        </is>
      </c>
      <c r="D2206" s="2" t="inlineStr">
        <is>
          <t>L9.DNZJ.55308</t>
        </is>
      </c>
      <c r="E2206" s="2" t="n">
        <v>55308</v>
      </c>
      <c r="H2206" s="2" t="inlineStr">
        <is>
          <t>130 Kerrs Road</t>
        </is>
      </c>
      <c r="I2206" s="2" t="inlineStr">
        <is>
          <t>Wiri</t>
        </is>
      </c>
      <c r="J2206" s="2" t="inlineStr">
        <is>
          <t>Auckland</t>
        </is>
      </c>
      <c r="K2206" s="2" t="n">
        <v>2104</v>
      </c>
      <c r="L2206" s="2" t="inlineStr">
        <is>
          <t>New Zealand</t>
        </is>
      </c>
      <c r="M2206" s="2" t="inlineStr">
        <is>
          <t>Manurewa</t>
        </is>
      </c>
      <c r="N2206" s="2" t="inlineStr">
        <is>
          <t>New Zealand</t>
        </is>
      </c>
      <c r="P2206" s="2" t="inlineStr">
        <is>
          <t>Operational Control</t>
        </is>
      </c>
      <c r="Q2206" s="2" t="inlineStr">
        <is>
          <t>Operational Control</t>
        </is>
      </c>
      <c r="R2206" s="2" t="inlineStr">
        <is>
          <t>Transport &amp; Infrastructure (T&amp;I)</t>
        </is>
      </c>
      <c r="S2206" s="2" t="inlineStr">
        <is>
          <t>Downer</t>
        </is>
      </c>
      <c r="T2206" s="2" t="n">
        <v>100</v>
      </c>
      <c r="W2206" s="2" t="inlineStr">
        <is>
          <t>Classification</t>
        </is>
      </c>
      <c r="X2206" s="2" t="n">
        <v>-37.0083</v>
      </c>
      <c r="Y2206" s="2" t="n">
        <v>174.8705</v>
      </c>
    </row>
    <row r="2207">
      <c r="A2207" s="2" t="inlineStr">
        <is>
          <t>Downer</t>
        </is>
      </c>
      <c r="B2207" s="2" t="inlineStr">
        <is>
          <t>Tasman DC Alliance Emergency</t>
        </is>
      </c>
      <c r="C2207" s="2" t="inlineStr">
        <is>
          <t>Other</t>
        </is>
      </c>
      <c r="D2207" s="2" t="inlineStr">
        <is>
          <t>L9.DNZJ.553704</t>
        </is>
      </c>
      <c r="E2207" s="2" t="n">
        <v>553704</v>
      </c>
      <c r="M2207" s="2" t="inlineStr">
        <is>
          <t>Auckland</t>
        </is>
      </c>
      <c r="N2207" s="2" t="inlineStr">
        <is>
          <t>New Zealand</t>
        </is>
      </c>
      <c r="P2207" s="2" t="inlineStr">
        <is>
          <t>Operational Control</t>
        </is>
      </c>
      <c r="Q2207" s="2" t="inlineStr">
        <is>
          <t>Operational Control</t>
        </is>
      </c>
      <c r="R2207" s="2" t="inlineStr">
        <is>
          <t>Transport &amp; Infrastructure (T&amp;I)</t>
        </is>
      </c>
      <c r="S2207" s="2" t="inlineStr">
        <is>
          <t>Downer</t>
        </is>
      </c>
      <c r="T2207" s="2" t="n">
        <v>100</v>
      </c>
      <c r="W2207" s="2" t="inlineStr">
        <is>
          <t>Classification</t>
        </is>
      </c>
    </row>
    <row r="2208">
      <c r="A2208" s="2" t="inlineStr">
        <is>
          <t>Downer</t>
        </is>
      </c>
      <c r="B2208" s="2" t="inlineStr">
        <is>
          <t>Tasman DC Alliance Maintenance</t>
        </is>
      </c>
      <c r="C2208" s="2" t="inlineStr">
        <is>
          <t>Public Facility</t>
        </is>
      </c>
      <c r="D2208" s="2" t="inlineStr">
        <is>
          <t>L9.DNZJ.553701</t>
        </is>
      </c>
      <c r="E2208" s="2" t="n">
        <v>553701</v>
      </c>
      <c r="G2208" s="2" t="inlineStr">
        <is>
          <t>TI-NZT-553701 - Tasman DC Alliance Maintenance (TI-NZT - Tasman Nelson)</t>
        </is>
      </c>
      <c r="M2208" s="2" t="inlineStr">
        <is>
          <t>Nelson</t>
        </is>
      </c>
      <c r="N2208" s="2" t="inlineStr">
        <is>
          <t>New Zealand</t>
        </is>
      </c>
      <c r="P2208" s="2" t="inlineStr">
        <is>
          <t>Operational Control</t>
        </is>
      </c>
      <c r="Q2208" s="2" t="inlineStr">
        <is>
          <t>Operational Control</t>
        </is>
      </c>
      <c r="R2208" s="2" t="inlineStr">
        <is>
          <t>Transport &amp; Infrastructure (T&amp;I)</t>
        </is>
      </c>
      <c r="S2208" s="2" t="inlineStr">
        <is>
          <t>Downer</t>
        </is>
      </c>
      <c r="T2208" s="2" t="n">
        <v>100</v>
      </c>
      <c r="W2208" s="2" t="inlineStr">
        <is>
          <t>Classification</t>
        </is>
      </c>
    </row>
    <row r="2209">
      <c r="A2209" s="2" t="inlineStr">
        <is>
          <t>Downer</t>
        </is>
      </c>
      <c r="B2209" s="2" t="inlineStr">
        <is>
          <t>Tasman DC Alliance UniqueCodes</t>
        </is>
      </c>
      <c r="C2209" s="2" t="inlineStr">
        <is>
          <t>Site</t>
        </is>
      </c>
      <c r="D2209" s="2" t="inlineStr">
        <is>
          <t>L9.DNZJ.553707</t>
        </is>
      </c>
      <c r="E2209" s="2" t="n">
        <v>553707</v>
      </c>
      <c r="M2209" s="2" t="inlineStr">
        <is>
          <t>Auckland</t>
        </is>
      </c>
      <c r="N2209" s="2" t="inlineStr">
        <is>
          <t>New Zealand</t>
        </is>
      </c>
      <c r="P2209" s="2" t="inlineStr">
        <is>
          <t>Operational Control</t>
        </is>
      </c>
      <c r="Q2209" s="2" t="inlineStr">
        <is>
          <t>Operational Control</t>
        </is>
      </c>
      <c r="R2209" s="2" t="inlineStr">
        <is>
          <t>Transport &amp; Infrastructure (T&amp;I)</t>
        </is>
      </c>
      <c r="S2209" s="2" t="inlineStr">
        <is>
          <t>Downer</t>
        </is>
      </c>
      <c r="T2209" s="2" t="n">
        <v>100</v>
      </c>
      <c r="W2209" s="2" t="inlineStr">
        <is>
          <t>Classification</t>
        </is>
      </c>
    </row>
    <row r="2210">
      <c r="A2210" s="2" t="inlineStr">
        <is>
          <t>Downer</t>
        </is>
      </c>
      <c r="B2210" s="2" t="inlineStr">
        <is>
          <t>Tasman DC Alliance Unscheduled</t>
        </is>
      </c>
      <c r="C2210" s="2" t="inlineStr">
        <is>
          <t>Other</t>
        </is>
      </c>
      <c r="D2210" s="2" t="inlineStr">
        <is>
          <t>L9.DNZJ.553703</t>
        </is>
      </c>
      <c r="E2210" s="2" t="n">
        <v>553703</v>
      </c>
      <c r="M2210" s="2" t="inlineStr">
        <is>
          <t>Auckland</t>
        </is>
      </c>
      <c r="N2210" s="2" t="inlineStr">
        <is>
          <t>New Zealand</t>
        </is>
      </c>
      <c r="P2210" s="2" t="inlineStr">
        <is>
          <t>Operational Control</t>
        </is>
      </c>
      <c r="Q2210" s="2" t="inlineStr">
        <is>
          <t>Operational Control</t>
        </is>
      </c>
      <c r="R2210" s="2" t="inlineStr">
        <is>
          <t>Transport &amp; Infrastructure (T&amp;I)</t>
        </is>
      </c>
      <c r="S2210" s="2" t="inlineStr">
        <is>
          <t>Downer</t>
        </is>
      </c>
      <c r="T2210" s="2" t="n">
        <v>100</v>
      </c>
      <c r="W2210" s="2" t="inlineStr">
        <is>
          <t>Classification</t>
        </is>
      </c>
    </row>
    <row r="2211">
      <c r="A2211" s="2" t="inlineStr">
        <is>
          <t>Downer</t>
        </is>
      </c>
      <c r="B2211" s="2" t="inlineStr">
        <is>
          <t>Tasman DC EU Subcontractors</t>
        </is>
      </c>
      <c r="C2211" s="2" t="inlineStr">
        <is>
          <t>Other</t>
        </is>
      </c>
      <c r="D2211" s="2" t="inlineStr">
        <is>
          <t>L9.DNZJ.56125</t>
        </is>
      </c>
      <c r="E2211" s="2" t="inlineStr">
        <is>
          <t>L9.DNZJ.56125</t>
        </is>
      </c>
      <c r="M2211" s="2" t="inlineStr">
        <is>
          <t>Auckland City</t>
        </is>
      </c>
      <c r="N2211" s="2" t="inlineStr">
        <is>
          <t>New Zealand</t>
        </is>
      </c>
      <c r="P2211" s="2" t="inlineStr">
        <is>
          <t>Operational Control</t>
        </is>
      </c>
      <c r="Q2211" s="2" t="inlineStr">
        <is>
          <t>Operational Control</t>
        </is>
      </c>
      <c r="R2211" s="2" t="inlineStr">
        <is>
          <t>Energy and Utilities (EU)</t>
        </is>
      </c>
      <c r="S2211" s="2" t="inlineStr">
        <is>
          <t>Downer</t>
        </is>
      </c>
      <c r="T2211" s="2" t="n">
        <v>100</v>
      </c>
      <c r="W2211" s="2" t="inlineStr">
        <is>
          <t>Classification</t>
        </is>
      </c>
    </row>
    <row r="2212">
      <c r="A2212" s="2" t="inlineStr">
        <is>
          <t>Downer</t>
        </is>
      </c>
      <c r="B2212" s="2" t="inlineStr">
        <is>
          <t>Taumarunui Depot</t>
        </is>
      </c>
      <c r="C2212" s="2" t="inlineStr">
        <is>
          <t>Other</t>
        </is>
      </c>
      <c r="D2212" s="2" t="inlineStr">
        <is>
          <t>L9.DNZJ.55563</t>
        </is>
      </c>
      <c r="E2212" s="2" t="n">
        <v>55563</v>
      </c>
      <c r="H2212" s="2" t="inlineStr">
        <is>
          <t>58 Kururau Road</t>
        </is>
      </c>
      <c r="I2212" s="2" t="inlineStr">
        <is>
          <t>Taumarunui</t>
        </is>
      </c>
      <c r="J2212" s="2" t="inlineStr">
        <is>
          <t>Taumarunui</t>
        </is>
      </c>
      <c r="K2212" s="2" t="n">
        <v>3920</v>
      </c>
      <c r="L2212" s="2" t="inlineStr">
        <is>
          <t>New Zealand</t>
        </is>
      </c>
      <c r="M2212" s="2" t="inlineStr">
        <is>
          <t>Taumarunui</t>
        </is>
      </c>
      <c r="N2212" s="2" t="inlineStr">
        <is>
          <t>New Zealand</t>
        </is>
      </c>
      <c r="P2212" s="2" t="inlineStr">
        <is>
          <t>Operational Control</t>
        </is>
      </c>
      <c r="Q2212" s="2" t="inlineStr">
        <is>
          <t>Operational Control</t>
        </is>
      </c>
      <c r="R2212" s="2" t="inlineStr">
        <is>
          <t>Transport &amp; Infrastructure (T&amp;I)</t>
        </is>
      </c>
      <c r="S2212" s="2" t="inlineStr">
        <is>
          <t>Downer</t>
        </is>
      </c>
      <c r="T2212" s="2" t="n">
        <v>100</v>
      </c>
      <c r="W2212" s="2" t="inlineStr">
        <is>
          <t>Classification</t>
        </is>
      </c>
      <c r="X2212" s="2" t="n">
        <v>-38.8919</v>
      </c>
      <c r="Y2212" s="2" t="n">
        <v>175.2297</v>
      </c>
    </row>
    <row r="2213">
      <c r="A2213" s="2" t="inlineStr">
        <is>
          <t>Downer</t>
        </is>
      </c>
      <c r="B2213" s="2" t="inlineStr">
        <is>
          <t>Taupo - Mechanical</t>
        </is>
      </c>
      <c r="C2213" s="2" t="inlineStr">
        <is>
          <t>Other</t>
        </is>
      </c>
      <c r="D2213" s="2" t="inlineStr">
        <is>
          <t>L9.DNZJ.561344</t>
        </is>
      </c>
      <c r="E2213" s="2" t="n">
        <v>561344</v>
      </c>
      <c r="H2213" s="2" t="inlineStr">
        <is>
          <t>130 Kerrs Road</t>
        </is>
      </c>
      <c r="I2213" s="2" t="inlineStr">
        <is>
          <t>Wiri</t>
        </is>
      </c>
      <c r="J2213" s="2" t="inlineStr">
        <is>
          <t>Auckland</t>
        </is>
      </c>
      <c r="K2213" s="2" t="n">
        <v>2104</v>
      </c>
      <c r="L2213" s="2" t="inlineStr">
        <is>
          <t>New Zealand</t>
        </is>
      </c>
      <c r="M2213" s="2" t="inlineStr">
        <is>
          <t>Manurewa</t>
        </is>
      </c>
      <c r="N2213" s="2" t="inlineStr">
        <is>
          <t>New Zealand</t>
        </is>
      </c>
      <c r="P2213" s="2" t="inlineStr">
        <is>
          <t>Operational Control</t>
        </is>
      </c>
      <c r="Q2213" s="2" t="inlineStr">
        <is>
          <t>Operational Control</t>
        </is>
      </c>
      <c r="R2213" s="2" t="inlineStr">
        <is>
          <t>Energy and Utilities (EU)</t>
        </is>
      </c>
      <c r="S2213" s="2" t="inlineStr">
        <is>
          <t>Downer</t>
        </is>
      </c>
      <c r="T2213" s="2" t="n">
        <v>100</v>
      </c>
      <c r="W2213" s="2" t="inlineStr">
        <is>
          <t>Classification</t>
        </is>
      </c>
      <c r="X2213" s="2" t="n">
        <v>-37.0083</v>
      </c>
      <c r="Y2213" s="2" t="n">
        <v>174.8705</v>
      </c>
    </row>
    <row r="2214">
      <c r="A2214" s="2" t="inlineStr">
        <is>
          <t>Downer</t>
        </is>
      </c>
      <c r="B2214" s="2" t="inlineStr">
        <is>
          <t>Taupo - Stormwater</t>
        </is>
      </c>
      <c r="C2214" s="2" t="inlineStr">
        <is>
          <t>Other</t>
        </is>
      </c>
      <c r="D2214" s="2" t="inlineStr">
        <is>
          <t>L9.DNZJ.561343</t>
        </is>
      </c>
      <c r="E2214" s="2" t="n">
        <v>561343</v>
      </c>
      <c r="M2214" s="2" t="inlineStr">
        <is>
          <t>Manurewa</t>
        </is>
      </c>
      <c r="N2214" s="2" t="inlineStr">
        <is>
          <t>New Zealand</t>
        </is>
      </c>
      <c r="P2214" s="2" t="inlineStr">
        <is>
          <t>Operational Control</t>
        </is>
      </c>
      <c r="Q2214" s="2" t="inlineStr">
        <is>
          <t>Operational Control</t>
        </is>
      </c>
      <c r="R2214" s="2" t="inlineStr">
        <is>
          <t>Energy and Utilities (EU)</t>
        </is>
      </c>
      <c r="S2214" s="2" t="inlineStr">
        <is>
          <t>Downer</t>
        </is>
      </c>
      <c r="T2214" s="2" t="n">
        <v>100</v>
      </c>
      <c r="W2214" s="2" t="inlineStr">
        <is>
          <t>Classification</t>
        </is>
      </c>
    </row>
    <row r="2215">
      <c r="A2215" s="2" t="inlineStr">
        <is>
          <t>Downer</t>
        </is>
      </c>
      <c r="B2215" s="2" t="inlineStr">
        <is>
          <t>Taupo - Third Party Jobs</t>
        </is>
      </c>
      <c r="C2215" s="2" t="inlineStr">
        <is>
          <t>Project</t>
        </is>
      </c>
      <c r="D2215" s="2" t="inlineStr">
        <is>
          <t>L9.DNZJ.561346</t>
        </is>
      </c>
      <c r="E2215" s="2" t="n">
        <v>561346</v>
      </c>
      <c r="G2215" s="2" t="inlineStr">
        <is>
          <t>UT-NZU-561346-Taupo (UT-NZU-Water Northern)</t>
        </is>
      </c>
      <c r="M2215" s="2" t="inlineStr">
        <is>
          <t>Taupo</t>
        </is>
      </c>
      <c r="N2215" s="2" t="inlineStr">
        <is>
          <t>New Zealand</t>
        </is>
      </c>
      <c r="P2215" s="2" t="inlineStr">
        <is>
          <t>Operational Control</t>
        </is>
      </c>
      <c r="Q2215" s="2" t="inlineStr">
        <is>
          <t>Operational Control</t>
        </is>
      </c>
      <c r="R2215" s="2" t="inlineStr">
        <is>
          <t>Energy and Utilities (EU)</t>
        </is>
      </c>
      <c r="S2215" s="2" t="inlineStr">
        <is>
          <t>Downer</t>
        </is>
      </c>
      <c r="T2215" s="2" t="n">
        <v>100</v>
      </c>
      <c r="W2215" s="2" t="inlineStr">
        <is>
          <t>Classification</t>
        </is>
      </c>
    </row>
    <row r="2216">
      <c r="A2216" s="2" t="inlineStr">
        <is>
          <t>Downer</t>
        </is>
      </c>
      <c r="B2216" s="2" t="inlineStr">
        <is>
          <t>Taupo - Wastewater</t>
        </is>
      </c>
      <c r="C2216" s="2" t="inlineStr">
        <is>
          <t>Other</t>
        </is>
      </c>
      <c r="D2216" s="2" t="inlineStr">
        <is>
          <t>L9.DNZJ.561342</t>
        </is>
      </c>
      <c r="E2216" s="2" t="n">
        <v>561342</v>
      </c>
      <c r="M2216" s="2" t="inlineStr">
        <is>
          <t>Taupo</t>
        </is>
      </c>
      <c r="N2216" s="2" t="inlineStr">
        <is>
          <t>New Zealand</t>
        </is>
      </c>
      <c r="P2216" s="2" t="inlineStr">
        <is>
          <t>Operational Control</t>
        </is>
      </c>
      <c r="Q2216" s="2" t="inlineStr">
        <is>
          <t>Operational Control</t>
        </is>
      </c>
      <c r="R2216" s="2" t="inlineStr">
        <is>
          <t>Energy and Utilities (EU)</t>
        </is>
      </c>
      <c r="S2216" s="2" t="inlineStr">
        <is>
          <t>Downer</t>
        </is>
      </c>
      <c r="T2216" s="2" t="n">
        <v>100</v>
      </c>
      <c r="W2216" s="2" t="inlineStr">
        <is>
          <t>Classification</t>
        </is>
      </c>
    </row>
    <row r="2217">
      <c r="A2217" s="2" t="inlineStr">
        <is>
          <t>Downer</t>
        </is>
      </c>
      <c r="B2217" s="2" t="inlineStr">
        <is>
          <t>Taupo - Water</t>
        </is>
      </c>
      <c r="C2217" s="2" t="inlineStr">
        <is>
          <t>Other</t>
        </is>
      </c>
      <c r="D2217" s="2" t="inlineStr">
        <is>
          <t>L9.DNZJ.561341</t>
        </is>
      </c>
      <c r="E2217" s="2" t="n">
        <v>561341</v>
      </c>
      <c r="H2217" s="2" t="inlineStr">
        <is>
          <t>130 Kerrs Road</t>
        </is>
      </c>
      <c r="I2217" s="2" t="inlineStr">
        <is>
          <t>Wiri</t>
        </is>
      </c>
      <c r="J2217" s="2" t="inlineStr">
        <is>
          <t>Auckland</t>
        </is>
      </c>
      <c r="K2217" s="2" t="n">
        <v>2104</v>
      </c>
      <c r="L2217" s="2" t="inlineStr">
        <is>
          <t>New Zealand</t>
        </is>
      </c>
      <c r="M2217" s="2" t="inlineStr">
        <is>
          <t>Manurewa</t>
        </is>
      </c>
      <c r="N2217" s="2" t="inlineStr">
        <is>
          <t>New Zealand</t>
        </is>
      </c>
      <c r="P2217" s="2" t="inlineStr">
        <is>
          <t>Operational Control</t>
        </is>
      </c>
      <c r="Q2217" s="2" t="inlineStr">
        <is>
          <t>Operational Control</t>
        </is>
      </c>
      <c r="R2217" s="2" t="inlineStr">
        <is>
          <t>Energy and Utilities (EU)</t>
        </is>
      </c>
      <c r="S2217" s="2" t="inlineStr">
        <is>
          <t>Downer</t>
        </is>
      </c>
      <c r="T2217" s="2" t="n">
        <v>100</v>
      </c>
      <c r="W2217" s="2" t="inlineStr">
        <is>
          <t>Classification</t>
        </is>
      </c>
      <c r="X2217" s="2" t="n">
        <v>-37.0083</v>
      </c>
      <c r="Y2217" s="2" t="n">
        <v>174.8705</v>
      </c>
    </row>
    <row r="2218">
      <c r="A2218" s="2" t="inlineStr">
        <is>
          <t>Downer</t>
        </is>
      </c>
      <c r="B2218" s="2" t="inlineStr">
        <is>
          <t>Taupo (36-39 Matai St)</t>
        </is>
      </c>
      <c r="C2218" s="2" t="inlineStr">
        <is>
          <t>Other</t>
        </is>
      </c>
      <c r="D2218" s="2" t="inlineStr">
        <is>
          <t>L9.DNZJ.91648</t>
        </is>
      </c>
      <c r="E2218" s="2" t="n">
        <v>91648</v>
      </c>
      <c r="H2218" s="2" t="inlineStr">
        <is>
          <t>35 Mataī Street</t>
        </is>
      </c>
      <c r="I2218" s="2" t="inlineStr">
        <is>
          <t>Tauhara</t>
        </is>
      </c>
      <c r="J2218" s="2" t="inlineStr">
        <is>
          <t>Taupō</t>
        </is>
      </c>
      <c r="K2218" s="2" t="n">
        <v>3378</v>
      </c>
      <c r="M2218" s="2" t="inlineStr">
        <is>
          <t>Manurewa</t>
        </is>
      </c>
      <c r="N2218" s="2" t="inlineStr">
        <is>
          <t>New Zealand</t>
        </is>
      </c>
      <c r="P2218" s="2" t="inlineStr">
        <is>
          <t>Operational Control</t>
        </is>
      </c>
      <c r="Q2218" s="2" t="inlineStr">
        <is>
          <t>Operational Control</t>
        </is>
      </c>
      <c r="R2218" s="2" t="inlineStr">
        <is>
          <t>Corporate</t>
        </is>
      </c>
      <c r="S2218" s="2" t="inlineStr">
        <is>
          <t>Downer</t>
        </is>
      </c>
      <c r="T2218" s="2" t="n">
        <v>100</v>
      </c>
      <c r="W2218" s="2" t="inlineStr">
        <is>
          <t>Classification</t>
        </is>
      </c>
    </row>
    <row r="2219">
      <c r="A2219" s="2" t="inlineStr">
        <is>
          <t>Downer</t>
        </is>
      </c>
      <c r="B2219" s="2" t="inlineStr">
        <is>
          <t>Taupo (66 Paro Hapi Street)</t>
        </is>
      </c>
      <c r="C2219" s="2" t="inlineStr">
        <is>
          <t>Other</t>
        </is>
      </c>
      <c r="D2219" s="2" t="inlineStr">
        <is>
          <t>L9.DNZJ.91237</t>
        </is>
      </c>
      <c r="E2219" s="2" t="n">
        <v>91237</v>
      </c>
      <c r="H2219" s="2" t="inlineStr">
        <is>
          <t>66 Pāora Hapi Street</t>
        </is>
      </c>
      <c r="I2219" s="2" t="inlineStr">
        <is>
          <t>Taupo</t>
        </is>
      </c>
      <c r="J2219" s="2" t="inlineStr">
        <is>
          <t>Taupo</t>
        </is>
      </c>
      <c r="K2219" s="2" t="n">
        <v>3330</v>
      </c>
      <c r="L2219" s="2" t="inlineStr">
        <is>
          <t>New Zealand</t>
        </is>
      </c>
      <c r="M2219" s="2" t="inlineStr">
        <is>
          <t>Taupo</t>
        </is>
      </c>
      <c r="N2219" s="2" t="inlineStr">
        <is>
          <t>New Zealand</t>
        </is>
      </c>
      <c r="P2219" s="2" t="inlineStr">
        <is>
          <t>Operational Control</t>
        </is>
      </c>
      <c r="Q2219" s="2" t="inlineStr">
        <is>
          <t>Operational Control</t>
        </is>
      </c>
      <c r="R2219" s="2" t="inlineStr">
        <is>
          <t>Corporate</t>
        </is>
      </c>
      <c r="S2219" s="2" t="inlineStr">
        <is>
          <t>Downer</t>
        </is>
      </c>
      <c r="T2219" s="2" t="n">
        <v>100</v>
      </c>
      <c r="W2219" s="2" t="inlineStr">
        <is>
          <t>Classification</t>
        </is>
      </c>
      <c r="X2219" s="2" t="n">
        <v>-38.6856</v>
      </c>
      <c r="Y2219" s="2" t="n">
        <v>176.0769</v>
      </c>
      <c r="AB2219" s="11" t="n">
        <v>45473</v>
      </c>
    </row>
    <row r="2220">
      <c r="A2220" s="2" t="inlineStr">
        <is>
          <t>Downer</t>
        </is>
      </c>
      <c r="B2220" s="2" t="inlineStr">
        <is>
          <t>Taupo (Mahoe St) Depot</t>
        </is>
      </c>
      <c r="C2220" s="2" t="inlineStr">
        <is>
          <t>Other</t>
        </is>
      </c>
      <c r="D2220" s="2" t="inlineStr">
        <is>
          <t>L9.DNZJ.55615</t>
        </is>
      </c>
      <c r="E2220" s="2" t="n">
        <v>55615</v>
      </c>
      <c r="H2220" s="2" t="inlineStr">
        <is>
          <t>9 Mahoe Street</t>
        </is>
      </c>
      <c r="I2220" s="2" t="inlineStr">
        <is>
          <t>Tauhara</t>
        </is>
      </c>
      <c r="J2220" s="2" t="inlineStr">
        <is>
          <t>Taupo</t>
        </is>
      </c>
      <c r="K2220" s="2" t="n">
        <v>3330</v>
      </c>
      <c r="L2220" s="2" t="inlineStr">
        <is>
          <t>New Zealand</t>
        </is>
      </c>
      <c r="M2220" s="2" t="inlineStr">
        <is>
          <t>Taupo</t>
        </is>
      </c>
      <c r="N2220" s="2" t="inlineStr">
        <is>
          <t>New Zealand</t>
        </is>
      </c>
      <c r="P2220" s="2" t="inlineStr">
        <is>
          <t>Operational Control</t>
        </is>
      </c>
      <c r="Q2220" s="2" t="inlineStr">
        <is>
          <t>Operational Control</t>
        </is>
      </c>
      <c r="R2220" s="2" t="inlineStr">
        <is>
          <t>Transport &amp; Infrastructure (T&amp;I)</t>
        </is>
      </c>
      <c r="S2220" s="2" t="inlineStr">
        <is>
          <t>Downer</t>
        </is>
      </c>
      <c r="T2220" s="2" t="n">
        <v>100</v>
      </c>
      <c r="W2220" s="2" t="inlineStr">
        <is>
          <t>Classification</t>
        </is>
      </c>
      <c r="X2220" s="2" t="n">
        <v>-38.6923</v>
      </c>
      <c r="Y2220" s="2" t="n">
        <v>176.1061</v>
      </c>
    </row>
    <row r="2221">
      <c r="A2221" s="2" t="inlineStr">
        <is>
          <t>Downer</t>
        </is>
      </c>
      <c r="B2221" s="2" t="inlineStr">
        <is>
          <t>Taupo DC - 3 Waters EU Subcontractors</t>
        </is>
      </c>
      <c r="C2221" s="2" t="inlineStr">
        <is>
          <t>Other</t>
        </is>
      </c>
      <c r="D2221" s="2" t="inlineStr">
        <is>
          <t>L9.DNZJ.56130</t>
        </is>
      </c>
      <c r="E2221" s="2" t="inlineStr">
        <is>
          <t>L9.DNZJ.56130</t>
        </is>
      </c>
      <c r="M2221" s="2" t="inlineStr">
        <is>
          <t>Auckland City</t>
        </is>
      </c>
      <c r="N2221" s="2" t="inlineStr">
        <is>
          <t>New Zealand</t>
        </is>
      </c>
      <c r="P2221" s="2" t="inlineStr">
        <is>
          <t>Operational Control</t>
        </is>
      </c>
      <c r="Q2221" s="2" t="inlineStr">
        <is>
          <t>Operational Control</t>
        </is>
      </c>
      <c r="R2221" s="2" t="inlineStr">
        <is>
          <t>Energy and Utilities (EU)</t>
        </is>
      </c>
      <c r="S2221" s="2" t="inlineStr">
        <is>
          <t>Downer</t>
        </is>
      </c>
      <c r="T2221" s="2" t="n">
        <v>100</v>
      </c>
      <c r="W2221" s="2" t="inlineStr">
        <is>
          <t>Classification</t>
        </is>
      </c>
    </row>
    <row r="2222">
      <c r="A2222" s="2" t="inlineStr">
        <is>
          <t>Downer</t>
        </is>
      </c>
      <c r="B2222" s="2" t="inlineStr">
        <is>
          <t>Taupo Depot</t>
        </is>
      </c>
      <c r="C2222" s="2" t="inlineStr">
        <is>
          <t>Other</t>
        </is>
      </c>
      <c r="D2222" s="2" t="inlineStr">
        <is>
          <t>L9.DNZJ.55564</t>
        </is>
      </c>
      <c r="E2222" s="2" t="n">
        <v>55564</v>
      </c>
      <c r="H2222" s="2" t="inlineStr">
        <is>
          <t>11 Ashwood Avenue</t>
        </is>
      </c>
      <c r="I2222" s="2" t="inlineStr">
        <is>
          <t>Tauhara</t>
        </is>
      </c>
      <c r="J2222" s="2" t="inlineStr">
        <is>
          <t>Taupo</t>
        </is>
      </c>
      <c r="K2222" s="2" t="n">
        <v>3330</v>
      </c>
      <c r="L2222" s="2" t="inlineStr">
        <is>
          <t>New Zealand</t>
        </is>
      </c>
      <c r="M2222" s="2" t="inlineStr">
        <is>
          <t>Taupo</t>
        </is>
      </c>
      <c r="N2222" s="2" t="inlineStr">
        <is>
          <t>New Zealand</t>
        </is>
      </c>
      <c r="P2222" s="2" t="inlineStr">
        <is>
          <t>Operational Control</t>
        </is>
      </c>
      <c r="Q2222" s="2" t="inlineStr">
        <is>
          <t>Operational Control</t>
        </is>
      </c>
      <c r="R2222" s="2" t="inlineStr">
        <is>
          <t>Transport &amp; Infrastructure (T&amp;I)</t>
        </is>
      </c>
      <c r="S2222" s="2" t="inlineStr">
        <is>
          <t>Downer</t>
        </is>
      </c>
      <c r="T2222" s="2" t="n">
        <v>100</v>
      </c>
      <c r="W2222" s="2" t="inlineStr">
        <is>
          <t>Classification</t>
        </is>
      </c>
      <c r="X2222" s="2" t="n">
        <v>-38.695</v>
      </c>
      <c r="Y2222" s="2" t="n">
        <v>176.1094</v>
      </c>
    </row>
    <row r="2223">
      <c r="A2223" s="2" t="inlineStr">
        <is>
          <t>Downer</t>
        </is>
      </c>
      <c r="B2223" s="2" t="inlineStr">
        <is>
          <t>Taupo Minor Construction Jobs</t>
        </is>
      </c>
      <c r="C2223" s="2" t="inlineStr">
        <is>
          <t>Other</t>
        </is>
      </c>
      <c r="D2223" s="2" t="inlineStr">
        <is>
          <t>L9.DNZJ.550692</t>
        </is>
      </c>
      <c r="E2223" s="2" t="n">
        <v>550692</v>
      </c>
      <c r="M2223" s="2" t="inlineStr">
        <is>
          <t>Manurewa</t>
        </is>
      </c>
      <c r="N2223" s="2" t="inlineStr">
        <is>
          <t>New Zealand</t>
        </is>
      </c>
      <c r="P2223" s="2" t="inlineStr">
        <is>
          <t>Operational Control</t>
        </is>
      </c>
      <c r="Q2223" s="2" t="inlineStr">
        <is>
          <t>Operational Control</t>
        </is>
      </c>
      <c r="R2223" s="2" t="inlineStr">
        <is>
          <t>Transport &amp; Infrastructure (T&amp;I)</t>
        </is>
      </c>
      <c r="S2223" s="2" t="inlineStr">
        <is>
          <t>Downer</t>
        </is>
      </c>
      <c r="T2223" s="2" t="n">
        <v>100</v>
      </c>
      <c r="W2223" s="2" t="inlineStr">
        <is>
          <t>Classification</t>
        </is>
      </c>
    </row>
    <row r="2224">
      <c r="A2224" s="2" t="inlineStr">
        <is>
          <t>Downer</t>
        </is>
      </c>
      <c r="B2224" s="2" t="inlineStr">
        <is>
          <t>Taupo RT Repeaters &amp; Network</t>
        </is>
      </c>
      <c r="C2224" s="2" t="inlineStr">
        <is>
          <t>Other</t>
        </is>
      </c>
      <c r="D2224" s="2" t="inlineStr">
        <is>
          <t>L9.DNZJ.550774</t>
        </is>
      </c>
      <c r="E2224" s="2" t="n">
        <v>550774</v>
      </c>
      <c r="H2224" s="2" t="inlineStr">
        <is>
          <t>Pohokura Road</t>
        </is>
      </c>
      <c r="I2224" s="2" t="inlineStr">
        <is>
          <t>Tutira</t>
        </is>
      </c>
      <c r="J2224" s="2" t="inlineStr">
        <is>
          <t>Napier</t>
        </is>
      </c>
      <c r="K2224" s="2" t="n">
        <v>4181</v>
      </c>
      <c r="L2224" s="2" t="inlineStr">
        <is>
          <t>New Zealand</t>
        </is>
      </c>
      <c r="M2224" s="2" t="inlineStr">
        <is>
          <t>Napier</t>
        </is>
      </c>
      <c r="N2224" s="2" t="inlineStr">
        <is>
          <t>New Zealand</t>
        </is>
      </c>
      <c r="P2224" s="2" t="inlineStr">
        <is>
          <t>Operational Control</t>
        </is>
      </c>
      <c r="Q2224" s="2" t="inlineStr">
        <is>
          <t>Operational Control</t>
        </is>
      </c>
      <c r="R2224" s="2" t="inlineStr">
        <is>
          <t>Transport &amp; Infrastructure (T&amp;I)</t>
        </is>
      </c>
      <c r="S2224" s="2" t="inlineStr">
        <is>
          <t>Downer</t>
        </is>
      </c>
      <c r="T2224" s="2" t="n">
        <v>100</v>
      </c>
      <c r="W2224" s="2" t="inlineStr">
        <is>
          <t>Classification</t>
        </is>
      </c>
      <c r="X2224" s="2" t="n">
        <v>-39.1655</v>
      </c>
      <c r="Y2224" s="2" t="n">
        <v>176.7817</v>
      </c>
    </row>
    <row r="2225">
      <c r="A2225" s="2" t="inlineStr">
        <is>
          <t>Downer</t>
        </is>
      </c>
      <c r="B2225" s="2" t="inlineStr">
        <is>
          <t>Taupo Teleco Ops</t>
        </is>
      </c>
      <c r="C2225" s="2" t="inlineStr">
        <is>
          <t>Other</t>
        </is>
      </c>
      <c r="D2225" s="2" t="inlineStr">
        <is>
          <t>L9.DNZ.810.10.194</t>
        </is>
      </c>
      <c r="E2225" s="2" t="n">
        <v>10194</v>
      </c>
      <c r="G2225" s="2" t="n">
        <v>10.194</v>
      </c>
      <c r="H2225" s="2" t="inlineStr">
        <is>
          <t>130 Kerrs Road</t>
        </is>
      </c>
      <c r="I2225" s="2" t="inlineStr">
        <is>
          <t>Wiri</t>
        </is>
      </c>
      <c r="J2225" s="2" t="inlineStr">
        <is>
          <t>Auckland</t>
        </is>
      </c>
      <c r="K2225" s="2" t="n">
        <v>2104</v>
      </c>
      <c r="L2225" s="2" t="inlineStr">
        <is>
          <t>New Zealand</t>
        </is>
      </c>
      <c r="M2225" s="2" t="inlineStr">
        <is>
          <t>Manurewa</t>
        </is>
      </c>
      <c r="N2225" s="2" t="inlineStr">
        <is>
          <t>New Zealand</t>
        </is>
      </c>
      <c r="P2225" s="2" t="inlineStr">
        <is>
          <t>Operational Control</t>
        </is>
      </c>
      <c r="Q2225" s="2" t="inlineStr">
        <is>
          <t>Operational Control</t>
        </is>
      </c>
      <c r="R2225" s="2" t="inlineStr">
        <is>
          <t>Energy and Utilities (EU)</t>
        </is>
      </c>
      <c r="S2225" s="2" t="inlineStr">
        <is>
          <t>Downer</t>
        </is>
      </c>
      <c r="T2225" s="2" t="n">
        <v>100</v>
      </c>
      <c r="W2225" s="2" t="inlineStr">
        <is>
          <t>Classification</t>
        </is>
      </c>
      <c r="X2225" s="2" t="n">
        <v>-37.0083</v>
      </c>
      <c r="Y2225" s="2" t="n">
        <v>174.8705</v>
      </c>
    </row>
    <row r="2226">
      <c r="A2226" s="2" t="inlineStr">
        <is>
          <t>Downer</t>
        </is>
      </c>
      <c r="B2226" s="2" t="inlineStr">
        <is>
          <t>Tauranga - WM 111</t>
        </is>
      </c>
      <c r="C2226" s="2" t="inlineStr">
        <is>
          <t>Other</t>
        </is>
      </c>
      <c r="D2226" s="2" t="inlineStr">
        <is>
          <t>L9.DUN.60111</t>
        </is>
      </c>
      <c r="E2226" s="2" t="inlineStr">
        <is>
          <t>PG60111</t>
        </is>
      </c>
      <c r="H2226" s="2" t="inlineStr">
        <is>
          <t>130 Kerrs Road</t>
        </is>
      </c>
      <c r="I2226" s="2" t="inlineStr">
        <is>
          <t>Wiri</t>
        </is>
      </c>
      <c r="J2226" s="2" t="inlineStr">
        <is>
          <t>Auckland</t>
        </is>
      </c>
      <c r="K2226" s="2" t="n">
        <v>2104</v>
      </c>
      <c r="L2226" s="2" t="inlineStr">
        <is>
          <t>New Zealand</t>
        </is>
      </c>
      <c r="M2226" s="2" t="inlineStr">
        <is>
          <t>Manurewa</t>
        </is>
      </c>
      <c r="N2226" s="2" t="inlineStr">
        <is>
          <t>New Zealand</t>
        </is>
      </c>
      <c r="P2226" s="2" t="inlineStr">
        <is>
          <t>Operational Control</t>
        </is>
      </c>
      <c r="Q2226" s="2" t="inlineStr">
        <is>
          <t>Operational Control</t>
        </is>
      </c>
      <c r="R2226" s="2" t="inlineStr">
        <is>
          <t>Energy and Utilities (EU)</t>
        </is>
      </c>
      <c r="S2226" s="2" t="inlineStr">
        <is>
          <t>Downer</t>
        </is>
      </c>
      <c r="T2226" s="2" t="n">
        <v>100</v>
      </c>
      <c r="W2226" s="2" t="inlineStr">
        <is>
          <t>Classification</t>
        </is>
      </c>
      <c r="X2226" s="2" t="n">
        <v>-37.0083</v>
      </c>
      <c r="Y2226" s="2" t="n">
        <v>174.8705</v>
      </c>
    </row>
    <row r="2227">
      <c r="A2227" s="2" t="inlineStr">
        <is>
          <t>Downer</t>
        </is>
      </c>
      <c r="B2227" s="2" t="inlineStr">
        <is>
          <t>Tauranga - WM 112</t>
        </is>
      </c>
      <c r="C2227" s="2" t="inlineStr">
        <is>
          <t>Other</t>
        </is>
      </c>
      <c r="D2227" s="2" t="inlineStr">
        <is>
          <t>L9.DUN.60112</t>
        </is>
      </c>
      <c r="E2227" s="2" t="inlineStr">
        <is>
          <t>PG60112</t>
        </is>
      </c>
      <c r="H2227" s="2" t="inlineStr">
        <is>
          <t>130 Kerrs Road</t>
        </is>
      </c>
      <c r="I2227" s="2" t="inlineStr">
        <is>
          <t>Wiri</t>
        </is>
      </c>
      <c r="J2227" s="2" t="inlineStr">
        <is>
          <t>Auckland</t>
        </is>
      </c>
      <c r="K2227" s="2" t="n">
        <v>2104</v>
      </c>
      <c r="L2227" s="2" t="inlineStr">
        <is>
          <t>New Zealand</t>
        </is>
      </c>
      <c r="M2227" s="2" t="inlineStr">
        <is>
          <t>Manurewa</t>
        </is>
      </c>
      <c r="N2227" s="2" t="inlineStr">
        <is>
          <t>New Zealand</t>
        </is>
      </c>
      <c r="P2227" s="2" t="inlineStr">
        <is>
          <t>Operational Control</t>
        </is>
      </c>
      <c r="Q2227" s="2" t="inlineStr">
        <is>
          <t>Operational Control</t>
        </is>
      </c>
      <c r="R2227" s="2" t="inlineStr">
        <is>
          <t>Energy and Utilities (EU)</t>
        </is>
      </c>
      <c r="S2227" s="2" t="inlineStr">
        <is>
          <t>Downer</t>
        </is>
      </c>
      <c r="T2227" s="2" t="n">
        <v>100</v>
      </c>
      <c r="W2227" s="2" t="inlineStr">
        <is>
          <t>Classification</t>
        </is>
      </c>
      <c r="X2227" s="2" t="n">
        <v>-37.0083</v>
      </c>
      <c r="Y2227" s="2" t="n">
        <v>174.8705</v>
      </c>
    </row>
    <row r="2228">
      <c r="A2228" s="2" t="inlineStr">
        <is>
          <t>Downer</t>
        </is>
      </c>
      <c r="B2228" s="2" t="inlineStr">
        <is>
          <t>Tauranga - WM 113</t>
        </is>
      </c>
      <c r="C2228" s="2" t="inlineStr">
        <is>
          <t>Other</t>
        </is>
      </c>
      <c r="D2228" s="2" t="inlineStr">
        <is>
          <t>L9.DUN.60113</t>
        </is>
      </c>
      <c r="E2228" s="2" t="inlineStr">
        <is>
          <t>PG60113</t>
        </is>
      </c>
      <c r="H2228" s="2" t="inlineStr">
        <is>
          <t>130 Kerrs Road</t>
        </is>
      </c>
      <c r="I2228" s="2" t="inlineStr">
        <is>
          <t>Wiri</t>
        </is>
      </c>
      <c r="J2228" s="2" t="inlineStr">
        <is>
          <t>Auckland</t>
        </is>
      </c>
      <c r="K2228" s="2" t="n">
        <v>2104</v>
      </c>
      <c r="L2228" s="2" t="inlineStr">
        <is>
          <t>New Zealand</t>
        </is>
      </c>
      <c r="M2228" s="2" t="inlineStr">
        <is>
          <t>Manurewa</t>
        </is>
      </c>
      <c r="N2228" s="2" t="inlineStr">
        <is>
          <t>New Zealand</t>
        </is>
      </c>
      <c r="P2228" s="2" t="inlineStr">
        <is>
          <t>Operational Control</t>
        </is>
      </c>
      <c r="Q2228" s="2" t="inlineStr">
        <is>
          <t>Operational Control</t>
        </is>
      </c>
      <c r="R2228" s="2" t="inlineStr">
        <is>
          <t>Energy and Utilities (EU)</t>
        </is>
      </c>
      <c r="S2228" s="2" t="inlineStr">
        <is>
          <t>Downer</t>
        </is>
      </c>
      <c r="T2228" s="2" t="n">
        <v>100</v>
      </c>
      <c r="W2228" s="2" t="inlineStr">
        <is>
          <t>Classification</t>
        </is>
      </c>
      <c r="X2228" s="2" t="n">
        <v>-37.0083</v>
      </c>
      <c r="Y2228" s="2" t="n">
        <v>174.8705</v>
      </c>
    </row>
    <row r="2229">
      <c r="A2229" s="2" t="inlineStr">
        <is>
          <t>Downer</t>
        </is>
      </c>
      <c r="B2229" s="2" t="inlineStr">
        <is>
          <t>Tauranga (1 Blenheim Pl)</t>
        </is>
      </c>
      <c r="C2229" s="2" t="inlineStr">
        <is>
          <t>Residential</t>
        </is>
      </c>
      <c r="D2229" s="2" t="inlineStr">
        <is>
          <t>L9.DNZJ.91418</t>
        </is>
      </c>
      <c r="E2229" s="2" t="n">
        <v>91418</v>
      </c>
      <c r="G2229" s="2" t="inlineStr">
        <is>
          <t>COR-NZHO-91418 - Tauranga (1 Blenheim Pl)</t>
        </is>
      </c>
      <c r="M2229" s="2" t="inlineStr">
        <is>
          <t>Tauranga</t>
        </is>
      </c>
      <c r="N2229" s="2" t="inlineStr">
        <is>
          <t>New Zealand</t>
        </is>
      </c>
      <c r="P2229" s="2" t="inlineStr">
        <is>
          <t>Operational Control</t>
        </is>
      </c>
      <c r="Q2229" s="2" t="inlineStr">
        <is>
          <t>Operational Control</t>
        </is>
      </c>
      <c r="R2229" s="2" t="inlineStr">
        <is>
          <t>Corporate</t>
        </is>
      </c>
      <c r="S2229" s="2" t="inlineStr">
        <is>
          <t>Downer</t>
        </is>
      </c>
      <c r="T2229" s="2" t="n">
        <v>100</v>
      </c>
      <c r="W2229" s="2" t="inlineStr">
        <is>
          <t>Classification</t>
        </is>
      </c>
    </row>
    <row r="2230">
      <c r="A2230" s="2" t="inlineStr">
        <is>
          <t>Downer</t>
        </is>
      </c>
      <c r="B2230" s="2" t="inlineStr">
        <is>
          <t>Tauranga (23 Cessna Place)</t>
        </is>
      </c>
      <c r="C2230" s="2" t="inlineStr">
        <is>
          <t>Other</t>
        </is>
      </c>
      <c r="D2230" s="2" t="inlineStr">
        <is>
          <t>L9.DNZJ.91622</t>
        </is>
      </c>
      <c r="E2230" s="2" t="n">
        <v>91622</v>
      </c>
      <c r="H2230" s="2" t="inlineStr">
        <is>
          <t>23 Cessna Place</t>
        </is>
      </c>
      <c r="I2230" s="2" t="inlineStr">
        <is>
          <t>Mount Maunganui</t>
        </is>
      </c>
      <c r="J2230" s="2" t="inlineStr">
        <is>
          <t>Mount Maunganui</t>
        </is>
      </c>
      <c r="K2230" s="2" t="n">
        <v>3116</v>
      </c>
      <c r="L2230" s="2" t="inlineStr">
        <is>
          <t>New Zealand</t>
        </is>
      </c>
      <c r="M2230" s="2" t="inlineStr">
        <is>
          <t>Tauranga</t>
        </is>
      </c>
      <c r="N2230" s="2" t="inlineStr">
        <is>
          <t>New Zealand</t>
        </is>
      </c>
      <c r="P2230" s="2" t="inlineStr">
        <is>
          <t>Operational Control</t>
        </is>
      </c>
      <c r="Q2230" s="2" t="inlineStr">
        <is>
          <t>Operational Control</t>
        </is>
      </c>
      <c r="R2230" s="2" t="inlineStr">
        <is>
          <t>Corporate</t>
        </is>
      </c>
      <c r="S2230" s="2" t="inlineStr">
        <is>
          <t>Downer</t>
        </is>
      </c>
      <c r="T2230" s="2" t="n">
        <v>100</v>
      </c>
      <c r="W2230" s="2" t="inlineStr">
        <is>
          <t>Classification</t>
        </is>
      </c>
      <c r="X2230" s="2" t="n">
        <v>-37.6705</v>
      </c>
      <c r="Y2230" s="2" t="n">
        <v>176.2065</v>
      </c>
    </row>
    <row r="2231">
      <c r="A2231" s="2" t="inlineStr">
        <is>
          <t>Downer</t>
        </is>
      </c>
      <c r="B2231" s="2" t="inlineStr">
        <is>
          <t>Tauranga (29a Pillans Rd)</t>
        </is>
      </c>
      <c r="C2231" s="2" t="inlineStr">
        <is>
          <t>Residential</t>
        </is>
      </c>
      <c r="D2231" s="2" t="inlineStr">
        <is>
          <t>L9.DNZJ.91417</t>
        </is>
      </c>
      <c r="E2231" s="2" t="n">
        <v>91417</v>
      </c>
      <c r="M2231" s="2" t="inlineStr">
        <is>
          <t>Tauranga</t>
        </is>
      </c>
      <c r="N2231" s="2" t="inlineStr">
        <is>
          <t>New Zealand</t>
        </is>
      </c>
      <c r="P2231" s="2" t="inlineStr">
        <is>
          <t>Operational Control</t>
        </is>
      </c>
      <c r="Q2231" s="2" t="inlineStr">
        <is>
          <t>Operational Control</t>
        </is>
      </c>
      <c r="R2231" s="2" t="inlineStr">
        <is>
          <t>Corporate</t>
        </is>
      </c>
      <c r="S2231" s="2" t="inlineStr">
        <is>
          <t>Downer</t>
        </is>
      </c>
      <c r="T2231" s="2" t="n">
        <v>100</v>
      </c>
      <c r="W2231" s="2" t="inlineStr">
        <is>
          <t>Classification</t>
        </is>
      </c>
    </row>
    <row r="2232">
      <c r="A2232" s="2" t="inlineStr">
        <is>
          <t>Downer</t>
        </is>
      </c>
      <c r="B2232" s="2" t="inlineStr">
        <is>
          <t>Tauranga (33b Domain Rd)</t>
        </is>
      </c>
      <c r="C2232" s="2" t="inlineStr">
        <is>
          <t>Residential</t>
        </is>
      </c>
      <c r="D2232" s="2" t="inlineStr">
        <is>
          <t>L9.DNZJ.91415</t>
        </is>
      </c>
      <c r="E2232" s="2" t="n">
        <v>91415</v>
      </c>
      <c r="G2232" s="2" t="inlineStr">
        <is>
          <t>COR-NZHO-91415 - Tauranga (33b Domain Rd)</t>
        </is>
      </c>
      <c r="M2232" s="2" t="inlineStr">
        <is>
          <t>Tauranga</t>
        </is>
      </c>
      <c r="N2232" s="2" t="inlineStr">
        <is>
          <t>New Zealand</t>
        </is>
      </c>
      <c r="P2232" s="2" t="inlineStr">
        <is>
          <t>Operational Control</t>
        </is>
      </c>
      <c r="Q2232" s="2" t="inlineStr">
        <is>
          <t>Operational Control</t>
        </is>
      </c>
      <c r="R2232" s="2" t="inlineStr">
        <is>
          <t>Corporate</t>
        </is>
      </c>
      <c r="S2232" s="2" t="inlineStr">
        <is>
          <t>Downer</t>
        </is>
      </c>
      <c r="T2232" s="2" t="n">
        <v>100</v>
      </c>
      <c r="W2232" s="2" t="inlineStr">
        <is>
          <t>Classification</t>
        </is>
      </c>
    </row>
    <row r="2233">
      <c r="A2233" s="2" t="inlineStr">
        <is>
          <t>Downer</t>
        </is>
      </c>
      <c r="B2233" s="2" t="inlineStr">
        <is>
          <t>Tauranga (345 Matakoakiri Drive</t>
        </is>
      </c>
      <c r="C2233" s="2" t="inlineStr">
        <is>
          <t>Office</t>
        </is>
      </c>
      <c r="D2233" s="2" t="inlineStr">
        <is>
          <t>L9.DNZJ.91255</t>
        </is>
      </c>
      <c r="E2233" s="2" t="n">
        <v>91255</v>
      </c>
      <c r="G2233" s="2" t="inlineStr">
        <is>
          <t>COR-NZHO.91255-Tauranga (345 Matakokiri Drive
345 Matakokiri Drive, Tauranga</t>
        </is>
      </c>
      <c r="M2233" s="2" t="inlineStr">
        <is>
          <t>Tauranga</t>
        </is>
      </c>
      <c r="N2233" s="2" t="inlineStr">
        <is>
          <t>New Zealand</t>
        </is>
      </c>
      <c r="P2233" s="2" t="inlineStr">
        <is>
          <t>Operational Control</t>
        </is>
      </c>
      <c r="Q2233" s="2" t="inlineStr">
        <is>
          <t>Operational Control</t>
        </is>
      </c>
      <c r="R2233" s="2" t="inlineStr">
        <is>
          <t>Transport &amp; Infrastructure (T&amp;I)</t>
        </is>
      </c>
      <c r="S2233" s="2" t="inlineStr">
        <is>
          <t>Downer</t>
        </is>
      </c>
      <c r="T2233" s="2" t="n">
        <v>100</v>
      </c>
      <c r="W2233" s="2" t="inlineStr">
        <is>
          <t>Classification</t>
        </is>
      </c>
    </row>
    <row r="2234">
      <c r="A2234" s="2" t="inlineStr">
        <is>
          <t>Downer</t>
        </is>
      </c>
      <c r="B2234" s="2" t="inlineStr">
        <is>
          <t>Tauranga (6 Aneta Way)</t>
        </is>
      </c>
      <c r="C2234" s="2" t="inlineStr">
        <is>
          <t>Other</t>
        </is>
      </c>
      <c r="D2234" s="2" t="inlineStr">
        <is>
          <t>L9.DNZJ.91430</t>
        </is>
      </c>
      <c r="E2234" s="2" t="n">
        <v>91430</v>
      </c>
      <c r="G2234" s="2" t="inlineStr">
        <is>
          <t>COR-NZHO.91430 - Tauranga (6 Aneta Way)</t>
        </is>
      </c>
      <c r="M2234" s="2" t="inlineStr">
        <is>
          <t>Tauranga</t>
        </is>
      </c>
      <c r="N2234" s="2" t="inlineStr">
        <is>
          <t>New Zealand</t>
        </is>
      </c>
      <c r="P2234" s="2" t="inlineStr">
        <is>
          <t>Operational Control</t>
        </is>
      </c>
      <c r="Q2234" s="2" t="inlineStr">
        <is>
          <t>Operational Control</t>
        </is>
      </c>
      <c r="R2234" s="2" t="inlineStr">
        <is>
          <t>Corporate</t>
        </is>
      </c>
      <c r="S2234" s="2" t="inlineStr">
        <is>
          <t>Downer</t>
        </is>
      </c>
      <c r="T2234" s="2" t="n">
        <v>100</v>
      </c>
      <c r="W2234" s="2" t="inlineStr">
        <is>
          <t>Classification</t>
        </is>
      </c>
    </row>
    <row r="2235">
      <c r="A2235" s="2" t="inlineStr">
        <is>
          <t>Downer</t>
        </is>
      </c>
      <c r="B2235" s="2" t="inlineStr">
        <is>
          <t>Tauranga (9-10 Te Ara Pipopiko</t>
        </is>
      </c>
      <c r="C2235" s="2" t="inlineStr">
        <is>
          <t>Other</t>
        </is>
      </c>
      <c r="D2235" s="2" t="inlineStr">
        <is>
          <t>L9.DNZJ.91431</t>
        </is>
      </c>
      <c r="E2235" s="2" t="n">
        <v>91431</v>
      </c>
      <c r="G2235" s="2" t="inlineStr">
        <is>
          <t>COR-NZHO.91431 - Tauranga (9-10 Te Ara Pipopiko</t>
        </is>
      </c>
      <c r="M2235" s="2" t="inlineStr">
        <is>
          <t>Tauranga</t>
        </is>
      </c>
      <c r="N2235" s="2" t="inlineStr">
        <is>
          <t>New Zealand</t>
        </is>
      </c>
      <c r="P2235" s="2" t="inlineStr">
        <is>
          <t>Operational Control</t>
        </is>
      </c>
      <c r="Q2235" s="2" t="inlineStr">
        <is>
          <t>Operational Control</t>
        </is>
      </c>
      <c r="R2235" s="2" t="inlineStr">
        <is>
          <t>Corporate</t>
        </is>
      </c>
      <c r="S2235" s="2" t="inlineStr">
        <is>
          <t>Downer</t>
        </is>
      </c>
      <c r="T2235" s="2" t="n">
        <v>100</v>
      </c>
      <c r="W2235" s="2" t="inlineStr">
        <is>
          <t>Classification</t>
        </is>
      </c>
    </row>
    <row r="2236">
      <c r="A2236" s="2" t="inlineStr">
        <is>
          <t>Downer</t>
        </is>
      </c>
      <c r="B2236" s="2" t="inlineStr">
        <is>
          <t>Tauranga Area Manager</t>
        </is>
      </c>
      <c r="C2236" s="2" t="inlineStr">
        <is>
          <t>Other</t>
        </is>
      </c>
      <c r="D2236" s="2" t="inlineStr">
        <is>
          <t>L9.DUN.60110</t>
        </is>
      </c>
      <c r="E2236" s="2" t="inlineStr">
        <is>
          <t>PG60110</t>
        </is>
      </c>
      <c r="H2236" s="2" t="inlineStr">
        <is>
          <t>126 Aerodrome Road</t>
        </is>
      </c>
      <c r="I2236" s="2" t="inlineStr">
        <is>
          <t>Mount Maunganui</t>
        </is>
      </c>
      <c r="J2236" s="2" t="inlineStr">
        <is>
          <t>Mount Maunganui</t>
        </is>
      </c>
      <c r="K2236" s="2" t="n">
        <v>3116</v>
      </c>
      <c r="L2236" s="2" t="inlineStr">
        <is>
          <t>New Zealand</t>
        </is>
      </c>
      <c r="M2236" s="2" t="inlineStr">
        <is>
          <t>Tauranga</t>
        </is>
      </c>
      <c r="N2236" s="2" t="inlineStr">
        <is>
          <t>New Zealand</t>
        </is>
      </c>
      <c r="P2236" s="2" t="inlineStr">
        <is>
          <t>Operational Control</t>
        </is>
      </c>
      <c r="Q2236" s="2" t="inlineStr">
        <is>
          <t>Operational Control</t>
        </is>
      </c>
      <c r="R2236" s="2" t="inlineStr">
        <is>
          <t>Energy and Utilities (EU)</t>
        </is>
      </c>
      <c r="S2236" s="2" t="inlineStr">
        <is>
          <t>Downer</t>
        </is>
      </c>
      <c r="T2236" s="2" t="n">
        <v>100</v>
      </c>
      <c r="W2236" s="2" t="inlineStr">
        <is>
          <t>Classification</t>
        </is>
      </c>
      <c r="X2236" s="2" t="n">
        <v>-37.6702</v>
      </c>
      <c r="Y2236" s="2" t="n">
        <v>176.2021</v>
      </c>
    </row>
    <row r="2237">
      <c r="A2237" s="2" t="inlineStr">
        <is>
          <t>Downer</t>
        </is>
      </c>
      <c r="B2237" s="2" t="inlineStr">
        <is>
          <t>Tauranga CC EU Subcontractors</t>
        </is>
      </c>
      <c r="C2237" s="2" t="inlineStr">
        <is>
          <t>Other</t>
        </is>
      </c>
      <c r="D2237" s="2" t="inlineStr">
        <is>
          <t>L9.DNZJ.56122</t>
        </is>
      </c>
      <c r="E2237" s="2" t="inlineStr">
        <is>
          <t>L9.DNZJ.56122</t>
        </is>
      </c>
      <c r="M2237" s="2" t="inlineStr">
        <is>
          <t>Auckland City</t>
        </is>
      </c>
      <c r="N2237" s="2" t="inlineStr">
        <is>
          <t>New Zealand</t>
        </is>
      </c>
      <c r="P2237" s="2" t="inlineStr">
        <is>
          <t>Operational Control</t>
        </is>
      </c>
      <c r="Q2237" s="2" t="inlineStr">
        <is>
          <t>Operational Control</t>
        </is>
      </c>
      <c r="R2237" s="2" t="inlineStr">
        <is>
          <t>Energy and Utilities (EU)</t>
        </is>
      </c>
      <c r="S2237" s="2" t="inlineStr">
        <is>
          <t>Downer</t>
        </is>
      </c>
      <c r="T2237" s="2" t="n">
        <v>100</v>
      </c>
      <c r="W2237" s="2" t="inlineStr">
        <is>
          <t>Classification</t>
        </is>
      </c>
    </row>
    <row r="2238">
      <c r="A2238" s="2" t="inlineStr">
        <is>
          <t>Downer</t>
        </is>
      </c>
      <c r="B2238" s="2" t="inlineStr">
        <is>
          <t>TAURANGA MOANA COURTHOUSE ECI</t>
        </is>
      </c>
      <c r="C2238" s="2" t="inlineStr">
        <is>
          <t>Infrastructure</t>
        </is>
      </c>
      <c r="D2238" s="2" t="inlineStr">
        <is>
          <t>L9.DNZ.HC0357</t>
        </is>
      </c>
      <c r="E2238" s="2" t="inlineStr">
        <is>
          <t>HC0357</t>
        </is>
      </c>
      <c r="G2238" s="2" t="inlineStr">
        <is>
          <t>TI-NZT.BP.HC0357 - Tauranga Moana Courthouse</t>
        </is>
      </c>
      <c r="M2238" s="2" t="inlineStr">
        <is>
          <t>Tauranga</t>
        </is>
      </c>
      <c r="N2238" s="2" t="inlineStr">
        <is>
          <t>New Zealand</t>
        </is>
      </c>
      <c r="P2238" s="2" t="inlineStr">
        <is>
          <t>Operational Control</t>
        </is>
      </c>
      <c r="Q2238" s="2" t="inlineStr">
        <is>
          <t>Operational Control</t>
        </is>
      </c>
      <c r="R2238" s="2" t="inlineStr">
        <is>
          <t>Transport &amp; Infrastructure (T&amp;I)</t>
        </is>
      </c>
      <c r="S2238" s="2" t="inlineStr">
        <is>
          <t>Downer</t>
        </is>
      </c>
      <c r="T2238" s="2" t="n">
        <v>100</v>
      </c>
      <c r="W2238" s="2" t="inlineStr">
        <is>
          <t>Classification</t>
        </is>
      </c>
    </row>
    <row r="2239">
      <c r="A2239" s="2" t="inlineStr">
        <is>
          <t>Downer</t>
        </is>
      </c>
      <c r="B2239" s="2" t="inlineStr">
        <is>
          <t>Tauranga Telco Ops</t>
        </is>
      </c>
      <c r="C2239" s="2" t="inlineStr">
        <is>
          <t>Other</t>
        </is>
      </c>
      <c r="D2239" s="2" t="inlineStr">
        <is>
          <t>L9.DNZ.810.10.175</t>
        </is>
      </c>
      <c r="E2239" s="2" t="n">
        <v>10175</v>
      </c>
      <c r="G2239" s="2" t="n">
        <v>10.175</v>
      </c>
      <c r="H2239" s="2" t="inlineStr">
        <is>
          <t>130 Kerrs Road</t>
        </is>
      </c>
      <c r="I2239" s="2" t="inlineStr">
        <is>
          <t>Wiri</t>
        </is>
      </c>
      <c r="J2239" s="2" t="inlineStr">
        <is>
          <t>Auckland</t>
        </is>
      </c>
      <c r="K2239" s="2" t="n">
        <v>2104</v>
      </c>
      <c r="L2239" s="2" t="inlineStr">
        <is>
          <t>New Zealand</t>
        </is>
      </c>
      <c r="M2239" s="2" t="inlineStr">
        <is>
          <t>Manurewa</t>
        </is>
      </c>
      <c r="N2239" s="2" t="inlineStr">
        <is>
          <t>New Zealand</t>
        </is>
      </c>
      <c r="P2239" s="2" t="inlineStr">
        <is>
          <t>Operational Control</t>
        </is>
      </c>
      <c r="Q2239" s="2" t="inlineStr">
        <is>
          <t>Operational Control</t>
        </is>
      </c>
      <c r="R2239" s="2" t="inlineStr">
        <is>
          <t>Energy and Utilities (EU)</t>
        </is>
      </c>
      <c r="S2239" s="2" t="inlineStr">
        <is>
          <t>Downer</t>
        </is>
      </c>
      <c r="T2239" s="2" t="n">
        <v>100</v>
      </c>
      <c r="W2239" s="2" t="inlineStr">
        <is>
          <t>Classification</t>
        </is>
      </c>
      <c r="X2239" s="2" t="n">
        <v>-37.0083</v>
      </c>
      <c r="Y2239" s="2" t="n">
        <v>174.8705</v>
      </c>
    </row>
    <row r="2240">
      <c r="A2240" s="2" t="inlineStr">
        <is>
          <t>Downer</t>
        </is>
      </c>
      <c r="B2240" s="2" t="inlineStr">
        <is>
          <t>Tauriko (763 SH29)</t>
        </is>
      </c>
      <c r="C2240" s="2" t="inlineStr">
        <is>
          <t>Infrastructure</t>
        </is>
      </c>
      <c r="D2240" s="2" t="inlineStr">
        <is>
          <t>L9.DNZJ.91426</t>
        </is>
      </c>
      <c r="E2240" s="2" t="n">
        <v>91426</v>
      </c>
      <c r="M2240" s="2" t="inlineStr">
        <is>
          <t>Tauranga</t>
        </is>
      </c>
      <c r="N2240" s="2" t="inlineStr">
        <is>
          <t>New Zealand</t>
        </is>
      </c>
      <c r="P2240" s="2" t="inlineStr">
        <is>
          <t>Operational Control</t>
        </is>
      </c>
      <c r="Q2240" s="2" t="inlineStr">
        <is>
          <t>Operational Control</t>
        </is>
      </c>
      <c r="R2240" s="2" t="inlineStr">
        <is>
          <t>Corporate</t>
        </is>
      </c>
      <c r="S2240" s="2" t="inlineStr">
        <is>
          <t>Downer</t>
        </is>
      </c>
      <c r="T2240" s="2" t="n">
        <v>100</v>
      </c>
      <c r="W2240" s="2" t="inlineStr">
        <is>
          <t>Classification</t>
        </is>
      </c>
    </row>
    <row r="2241">
      <c r="A2241" s="2" t="inlineStr">
        <is>
          <t>Downer</t>
        </is>
      </c>
      <c r="B2241" s="2" t="inlineStr">
        <is>
          <t>Tauriko (Taurikura Dr)</t>
        </is>
      </c>
      <c r="C2241" s="2" t="inlineStr">
        <is>
          <t>Other</t>
        </is>
      </c>
      <c r="D2241" s="2" t="inlineStr">
        <is>
          <t>L9.DNZJ.91220</t>
        </is>
      </c>
      <c r="E2241" s="2" t="n">
        <v>91220</v>
      </c>
      <c r="H2241" s="2" t="inlineStr">
        <is>
          <t>58 Taurikura Drive</t>
        </is>
      </c>
      <c r="I2241" s="2" t="inlineStr">
        <is>
          <t>Tauriko</t>
        </is>
      </c>
      <c r="J2241" s="2" t="inlineStr">
        <is>
          <t>Tauranga</t>
        </is>
      </c>
      <c r="K2241" s="2" t="n">
        <v>3110</v>
      </c>
      <c r="L2241" s="2" t="inlineStr">
        <is>
          <t>New Zealand</t>
        </is>
      </c>
      <c r="M2241" s="2" t="inlineStr">
        <is>
          <t>Tauranga</t>
        </is>
      </c>
      <c r="N2241" s="2" t="inlineStr">
        <is>
          <t>New Zealand</t>
        </is>
      </c>
      <c r="P2241" s="2" t="inlineStr">
        <is>
          <t>Operational Control</t>
        </is>
      </c>
      <c r="Q2241" s="2" t="inlineStr">
        <is>
          <t>Operational Control</t>
        </is>
      </c>
      <c r="R2241" s="2" t="inlineStr">
        <is>
          <t>Corporate</t>
        </is>
      </c>
      <c r="S2241" s="2" t="inlineStr">
        <is>
          <t>Downer</t>
        </is>
      </c>
      <c r="T2241" s="2" t="n">
        <v>100</v>
      </c>
      <c r="W2241" s="2" t="inlineStr">
        <is>
          <t>Classification</t>
        </is>
      </c>
      <c r="X2241" s="2" t="n">
        <v>-37.7422</v>
      </c>
      <c r="Y2241" s="2" t="n">
        <v>176.1017</v>
      </c>
    </row>
    <row r="2242">
      <c r="A2242" s="2" t="inlineStr">
        <is>
          <t>Downer</t>
        </is>
      </c>
      <c r="B2242" s="2" t="inlineStr">
        <is>
          <t>TAURIKO WEST ENABLING WORKS</t>
        </is>
      </c>
      <c r="C2242" s="2" t="inlineStr">
        <is>
          <t>Infrastructure</t>
        </is>
      </c>
      <c r="D2242" s="2" t="inlineStr">
        <is>
          <t>L9.DNZJ.DN1210</t>
        </is>
      </c>
      <c r="E2242" s="2" t="inlineStr">
        <is>
          <t>JP_DN1210</t>
        </is>
      </c>
      <c r="G2242" s="2" t="inlineStr">
        <is>
          <t>TI-NZT-DN1210 - Tauriko West Enabling Works</t>
        </is>
      </c>
      <c r="M2242" s="2" t="inlineStr">
        <is>
          <t>Tauranga</t>
        </is>
      </c>
      <c r="N2242" s="2" t="inlineStr">
        <is>
          <t>New Zealand</t>
        </is>
      </c>
      <c r="P2242" s="2" t="inlineStr">
        <is>
          <t>Operational Control</t>
        </is>
      </c>
      <c r="Q2242" s="2" t="inlineStr">
        <is>
          <t>Operational Control</t>
        </is>
      </c>
      <c r="R2242" s="2" t="inlineStr">
        <is>
          <t>Transport &amp; Infrastructure (T&amp;I)</t>
        </is>
      </c>
      <c r="S2242" s="2" t="inlineStr">
        <is>
          <t>Downer</t>
        </is>
      </c>
      <c r="T2242" s="2" t="n">
        <v>100</v>
      </c>
      <c r="W2242" s="2" t="inlineStr">
        <is>
          <t>Classification</t>
        </is>
      </c>
    </row>
    <row r="2243">
      <c r="A2243" s="2" t="inlineStr">
        <is>
          <t>Downer</t>
        </is>
      </c>
      <c r="B2243" s="2" t="inlineStr">
        <is>
          <t>TDC Minor Works</t>
        </is>
      </c>
      <c r="C2243" s="2" t="inlineStr">
        <is>
          <t>Public Facility</t>
        </is>
      </c>
      <c r="D2243" s="2" t="inlineStr">
        <is>
          <t>L9.DNZJ.553679</t>
        </is>
      </c>
      <c r="E2243" s="2" t="n">
        <v>553679</v>
      </c>
      <c r="G2243" s="2" t="inlineStr">
        <is>
          <t>TI-NZT-553679 -  TDC Minor Works (TI-NZT - Tasman Nelson Road Corridor Maintenance)</t>
        </is>
      </c>
      <c r="M2243" s="2" t="inlineStr">
        <is>
          <t>Nelson</t>
        </is>
      </c>
      <c r="N2243" s="2" t="inlineStr">
        <is>
          <t>New Zealand</t>
        </is>
      </c>
      <c r="P2243" s="2" t="inlineStr">
        <is>
          <t>Operational Control</t>
        </is>
      </c>
      <c r="Q2243" s="2" t="inlineStr">
        <is>
          <t>Operational Control</t>
        </is>
      </c>
      <c r="R2243" s="2" t="inlineStr">
        <is>
          <t>Transport &amp; Infrastructure (T&amp;I)</t>
        </is>
      </c>
      <c r="S2243" s="2" t="inlineStr">
        <is>
          <t>Downer</t>
        </is>
      </c>
      <c r="T2243" s="2" t="n">
        <v>100</v>
      </c>
      <c r="W2243" s="2" t="inlineStr">
        <is>
          <t>Classification</t>
        </is>
      </c>
    </row>
    <row r="2244">
      <c r="A2244" s="2" t="inlineStr">
        <is>
          <t>Downer</t>
        </is>
      </c>
      <c r="B2244" s="2" t="inlineStr">
        <is>
          <t>TDC WWPS/SS Elect. Upgrades</t>
        </is>
      </c>
      <c r="C2244" s="2" t="inlineStr">
        <is>
          <t>Other</t>
        </is>
      </c>
      <c r="D2244" s="2" t="inlineStr">
        <is>
          <t>L9.DNZJ.561369</t>
        </is>
      </c>
      <c r="E2244" s="2" t="n">
        <v>561369</v>
      </c>
      <c r="F2244" s="2" t="n">
        <v>561369</v>
      </c>
      <c r="M2244" s="2" t="inlineStr">
        <is>
          <t>Auckland</t>
        </is>
      </c>
      <c r="N2244" s="2" t="inlineStr">
        <is>
          <t>New Zealand</t>
        </is>
      </c>
      <c r="P2244" s="2" t="inlineStr">
        <is>
          <t>Operational Control</t>
        </is>
      </c>
      <c r="Q2244" s="2" t="inlineStr">
        <is>
          <t>Operational Control</t>
        </is>
      </c>
      <c r="R2244" s="2" t="inlineStr">
        <is>
          <t>Energy and Utilities (EU)</t>
        </is>
      </c>
      <c r="S2244" s="2" t="inlineStr">
        <is>
          <t>Downer</t>
        </is>
      </c>
      <c r="T2244" s="2" t="n">
        <v>100</v>
      </c>
      <c r="W2244" s="2" t="inlineStr">
        <is>
          <t>Classification</t>
        </is>
      </c>
    </row>
    <row r="2245">
      <c r="A2245" s="2" t="inlineStr">
        <is>
          <t>Downer</t>
        </is>
      </c>
      <c r="B2245" s="2" t="inlineStr">
        <is>
          <t>TDCAlliance Emergency Works</t>
        </is>
      </c>
      <c r="C2245" s="2" t="inlineStr">
        <is>
          <t>Other</t>
        </is>
      </c>
      <c r="D2245" s="2" t="inlineStr">
        <is>
          <t>L9.DNZJ.552207</t>
        </is>
      </c>
      <c r="E2245" s="2" t="n">
        <v>552207</v>
      </c>
      <c r="M2245" s="2" t="inlineStr">
        <is>
          <t>Manurewa</t>
        </is>
      </c>
      <c r="N2245" s="2" t="inlineStr">
        <is>
          <t>New Zealand</t>
        </is>
      </c>
      <c r="P2245" s="2" t="inlineStr">
        <is>
          <t>Operational Control</t>
        </is>
      </c>
      <c r="Q2245" s="2" t="inlineStr">
        <is>
          <t>Operational Control</t>
        </is>
      </c>
      <c r="R2245" s="2" t="inlineStr">
        <is>
          <t>Transport &amp; Infrastructure (T&amp;I)</t>
        </is>
      </c>
      <c r="S2245" s="2" t="inlineStr">
        <is>
          <t>Downer</t>
        </is>
      </c>
      <c r="T2245" s="2" t="n">
        <v>100</v>
      </c>
      <c r="W2245" s="2" t="inlineStr">
        <is>
          <t>Classification</t>
        </is>
      </c>
    </row>
    <row r="2246">
      <c r="A2246" s="2" t="inlineStr">
        <is>
          <t>Downer</t>
        </is>
      </c>
      <c r="B2246" s="2" t="inlineStr">
        <is>
          <t>Te Anau (103 Howden St)</t>
        </is>
      </c>
      <c r="C2246" s="2" t="inlineStr">
        <is>
          <t>Other</t>
        </is>
      </c>
      <c r="D2246" s="2" t="inlineStr">
        <is>
          <t>L9.DNZJ.91336</t>
        </is>
      </c>
      <c r="E2246" s="2" t="n">
        <v>91336</v>
      </c>
      <c r="H2246" s="2" t="inlineStr">
        <is>
          <t>103 Howden Street</t>
        </is>
      </c>
      <c r="I2246" s="2" t="inlineStr">
        <is>
          <t>Te Anau</t>
        </is>
      </c>
      <c r="J2246" s="2" t="inlineStr">
        <is>
          <t>Te Anau</t>
        </is>
      </c>
      <c r="K2246" s="2" t="n">
        <v>9600</v>
      </c>
      <c r="L2246" s="2" t="inlineStr">
        <is>
          <t>New Zealand</t>
        </is>
      </c>
      <c r="M2246" s="2" t="inlineStr">
        <is>
          <t>Te Anau</t>
        </is>
      </c>
      <c r="N2246" s="2" t="inlineStr">
        <is>
          <t>New Zealand</t>
        </is>
      </c>
      <c r="P2246" s="2" t="inlineStr">
        <is>
          <t>Operational Control</t>
        </is>
      </c>
      <c r="Q2246" s="2" t="inlineStr">
        <is>
          <t>Operational Control</t>
        </is>
      </c>
      <c r="R2246" s="2" t="inlineStr">
        <is>
          <t>Corporate</t>
        </is>
      </c>
      <c r="S2246" s="2" t="inlineStr">
        <is>
          <t>Downer</t>
        </is>
      </c>
      <c r="T2246" s="2" t="n">
        <v>100</v>
      </c>
      <c r="W2246" s="2" t="inlineStr">
        <is>
          <t>Classification</t>
        </is>
      </c>
      <c r="X2246" s="2" t="n">
        <v>-45.4035</v>
      </c>
      <c r="Y2246" s="2" t="n">
        <v>167.7167</v>
      </c>
    </row>
    <row r="2247">
      <c r="A2247" s="2" t="inlineStr">
        <is>
          <t>Downer</t>
        </is>
      </c>
      <c r="B2247" s="2" t="inlineStr">
        <is>
          <t>Te Anau Depot</t>
        </is>
      </c>
      <c r="C2247" s="2" t="inlineStr">
        <is>
          <t>Other</t>
        </is>
      </c>
      <c r="D2247" s="2" t="inlineStr">
        <is>
          <t>L9.DNZJ.55682</t>
        </is>
      </c>
      <c r="E2247" s="2" t="n">
        <v>55682</v>
      </c>
      <c r="H2247" s="2" t="inlineStr">
        <is>
          <t>29 Caswell Road</t>
        </is>
      </c>
      <c r="I2247" s="2" t="inlineStr">
        <is>
          <t>Te Anau</t>
        </is>
      </c>
      <c r="J2247" s="2" t="inlineStr">
        <is>
          <t>Te Anau</t>
        </is>
      </c>
      <c r="K2247" s="2" t="n">
        <v>9600</v>
      </c>
      <c r="L2247" s="2" t="inlineStr">
        <is>
          <t>New Zealand</t>
        </is>
      </c>
      <c r="M2247" s="2" t="inlineStr">
        <is>
          <t>Te Anau</t>
        </is>
      </c>
      <c r="N2247" s="2" t="inlineStr">
        <is>
          <t>New Zealand</t>
        </is>
      </c>
      <c r="P2247" s="2" t="inlineStr">
        <is>
          <t>Operational Control</t>
        </is>
      </c>
      <c r="Q2247" s="2" t="inlineStr">
        <is>
          <t>Operational Control</t>
        </is>
      </c>
      <c r="R2247" s="2" t="inlineStr">
        <is>
          <t>Transport &amp; Infrastructure (T&amp;I)</t>
        </is>
      </c>
      <c r="S2247" s="2" t="inlineStr">
        <is>
          <t>Downer</t>
        </is>
      </c>
      <c r="T2247" s="2" t="n">
        <v>100</v>
      </c>
      <c r="W2247" s="2" t="inlineStr">
        <is>
          <t>Classification</t>
        </is>
      </c>
      <c r="X2247" s="2" t="n">
        <v>-45.4124</v>
      </c>
      <c r="Y2247" s="2" t="n">
        <v>167.7315</v>
      </c>
    </row>
    <row r="2248">
      <c r="A2248" s="2" t="inlineStr">
        <is>
          <t>Downer</t>
        </is>
      </c>
      <c r="B2248" s="2" t="inlineStr">
        <is>
          <t>Te Pa Tahuna (Ngai Tahu)</t>
        </is>
      </c>
      <c r="C2248" s="2" t="inlineStr">
        <is>
          <t>Other</t>
        </is>
      </c>
      <c r="D2248" s="2" t="inlineStr">
        <is>
          <t>L9.DNZJ.556598</t>
        </is>
      </c>
      <c r="E2248" s="2" t="n">
        <v>556598</v>
      </c>
      <c r="H2248" s="2" t="inlineStr">
        <is>
          <t>68 Fryer Street</t>
        </is>
      </c>
      <c r="I2248" s="2" t="inlineStr">
        <is>
          <t>Queenstown</t>
        </is>
      </c>
      <c r="J2248" s="2" t="inlineStr">
        <is>
          <t>Queenstown</t>
        </is>
      </c>
      <c r="K2248" s="2" t="n">
        <v>9300</v>
      </c>
      <c r="L2248" s="2" t="inlineStr">
        <is>
          <t>New Zealand</t>
        </is>
      </c>
      <c r="M2248" s="2" t="inlineStr">
        <is>
          <t>Queenstown</t>
        </is>
      </c>
      <c r="N2248" s="2" t="inlineStr">
        <is>
          <t>New Zealand</t>
        </is>
      </c>
      <c r="P2248" s="2" t="inlineStr">
        <is>
          <t>Operational Control</t>
        </is>
      </c>
      <c r="Q2248" s="2" t="inlineStr">
        <is>
          <t>Operational Control</t>
        </is>
      </c>
      <c r="R2248" s="2" t="inlineStr">
        <is>
          <t>Transport &amp; Infrastructure (T&amp;I)</t>
        </is>
      </c>
      <c r="S2248" s="2" t="inlineStr">
        <is>
          <t>Downer</t>
        </is>
      </c>
      <c r="T2248" s="2" t="n">
        <v>100</v>
      </c>
      <c r="W2248" s="2" t="inlineStr">
        <is>
          <t>Classification</t>
        </is>
      </c>
      <c r="X2248" s="2" t="n">
        <v>-45.0227</v>
      </c>
      <c r="Y2248" s="2" t="n">
        <v>168.6589</v>
      </c>
    </row>
    <row r="2249">
      <c r="A2249" s="2" t="inlineStr">
        <is>
          <t>Downer</t>
        </is>
      </c>
      <c r="B2249" s="2" t="inlineStr">
        <is>
          <t>Te Puia (Gisborne) Depot</t>
        </is>
      </c>
      <c r="C2249" s="2" t="inlineStr">
        <is>
          <t>Other</t>
        </is>
      </c>
      <c r="D2249" s="2" t="inlineStr">
        <is>
          <t>L9.DNZJ.55581</t>
        </is>
      </c>
      <c r="E2249" s="2" t="n">
        <v>55581</v>
      </c>
      <c r="H2249" s="2" t="inlineStr">
        <is>
          <t>6 Waipiro Road</t>
        </is>
      </c>
      <c r="I2249" s="2" t="inlineStr">
        <is>
          <t>Te Puia Springs</t>
        </is>
      </c>
      <c r="J2249" s="2" t="inlineStr">
        <is>
          <t>Te Puia Springs</t>
        </is>
      </c>
      <c r="K2249" s="2" t="n">
        <v>4079</v>
      </c>
      <c r="L2249" s="2" t="inlineStr">
        <is>
          <t>New Zealand</t>
        </is>
      </c>
      <c r="M2249" s="2" t="inlineStr">
        <is>
          <t>Tokomaru</t>
        </is>
      </c>
      <c r="N2249" s="2" t="inlineStr">
        <is>
          <t>New Zealand</t>
        </is>
      </c>
      <c r="P2249" s="2" t="inlineStr">
        <is>
          <t>Operational Control</t>
        </is>
      </c>
      <c r="Q2249" s="2" t="inlineStr">
        <is>
          <t>Operational Control</t>
        </is>
      </c>
      <c r="R2249" s="2" t="inlineStr">
        <is>
          <t>Transport &amp; Infrastructure (T&amp;I)</t>
        </is>
      </c>
      <c r="S2249" s="2" t="inlineStr">
        <is>
          <t>Downer</t>
        </is>
      </c>
      <c r="T2249" s="2" t="n">
        <v>100</v>
      </c>
      <c r="W2249" s="2" t="inlineStr">
        <is>
          <t>Classification</t>
        </is>
      </c>
      <c r="X2249" s="2" t="n">
        <v>-38.0533</v>
      </c>
      <c r="Y2249" s="2" t="n">
        <v>178.309</v>
      </c>
    </row>
    <row r="2250">
      <c r="A2250" s="2" t="inlineStr">
        <is>
          <t>Downer</t>
        </is>
      </c>
      <c r="B2250" s="2" t="inlineStr">
        <is>
          <t>Te Puke ( 19 Station Road)</t>
        </is>
      </c>
      <c r="C2250" s="2" t="inlineStr">
        <is>
          <t>Other</t>
        </is>
      </c>
      <c r="D2250" s="2" t="inlineStr">
        <is>
          <t>L9.DNZJ.91217</t>
        </is>
      </c>
      <c r="E2250" s="2" t="n">
        <v>91217</v>
      </c>
      <c r="H2250" s="2" t="inlineStr">
        <is>
          <t>19 Station Road</t>
        </is>
      </c>
      <c r="I2250" s="2" t="inlineStr">
        <is>
          <t>Te Puke</t>
        </is>
      </c>
      <c r="J2250" s="2" t="inlineStr">
        <is>
          <t>Te Puke</t>
        </is>
      </c>
      <c r="K2250" s="2" t="n">
        <v>3119</v>
      </c>
      <c r="L2250" s="2" t="inlineStr">
        <is>
          <t>New Zealand</t>
        </is>
      </c>
      <c r="M2250" s="2" t="inlineStr">
        <is>
          <t>Te Puke</t>
        </is>
      </c>
      <c r="N2250" s="2" t="inlineStr">
        <is>
          <t>New Zealand</t>
        </is>
      </c>
      <c r="P2250" s="2" t="inlineStr">
        <is>
          <t>Operational Control</t>
        </is>
      </c>
      <c r="Q2250" s="2" t="inlineStr">
        <is>
          <t>Operational Control</t>
        </is>
      </c>
      <c r="R2250" s="2" t="inlineStr">
        <is>
          <t>Corporate</t>
        </is>
      </c>
      <c r="S2250" s="2" t="inlineStr">
        <is>
          <t>Downer</t>
        </is>
      </c>
      <c r="T2250" s="2" t="n">
        <v>100</v>
      </c>
      <c r="W2250" s="2" t="inlineStr">
        <is>
          <t>Classification</t>
        </is>
      </c>
      <c r="X2250" s="2" t="n">
        <v>-37.7812</v>
      </c>
      <c r="Y2250" s="2" t="n">
        <v>176.3267</v>
      </c>
    </row>
    <row r="2251">
      <c r="A2251" s="2" t="inlineStr">
        <is>
          <t>Downer</t>
        </is>
      </c>
      <c r="B2251" s="2" t="inlineStr">
        <is>
          <t>Te Pukenga - Otago Poly 45005021</t>
        </is>
      </c>
      <c r="C2251" s="2" t="inlineStr">
        <is>
          <t>Services</t>
        </is>
      </c>
      <c r="D2251" s="2" t="inlineStr">
        <is>
          <t>L9.S.26020505</t>
        </is>
      </c>
      <c r="E2251" s="2" t="n">
        <v>2000005220</v>
      </c>
      <c r="G2251" s="2" t="inlineStr">
        <is>
          <t>SI-NZG-26020505 - Te Pukenga Otago Poly 45005021</t>
        </is>
      </c>
      <c r="M2251" s="2" t="inlineStr">
        <is>
          <t>Otago</t>
        </is>
      </c>
      <c r="N2251" s="2" t="inlineStr">
        <is>
          <t>New Zealand</t>
        </is>
      </c>
      <c r="P2251" s="2" t="inlineStr">
        <is>
          <t>Operational Control</t>
        </is>
      </c>
      <c r="Q2251" s="2" t="inlineStr">
        <is>
          <t>Operational Control</t>
        </is>
      </c>
      <c r="R2251" s="2" t="inlineStr">
        <is>
          <t>Social Infra &amp; Citizen Serv (SICS)</t>
        </is>
      </c>
      <c r="S2251" s="2" t="inlineStr">
        <is>
          <t>Downer</t>
        </is>
      </c>
      <c r="T2251" s="2" t="n">
        <v>100</v>
      </c>
      <c r="W2251" s="2" t="inlineStr">
        <is>
          <t>Classification</t>
        </is>
      </c>
    </row>
    <row r="2252">
      <c r="A2252" s="2" t="inlineStr">
        <is>
          <t>Downer</t>
        </is>
      </c>
      <c r="B2252" s="2" t="inlineStr">
        <is>
          <t>Te Pukenga Witt Facilities Main 45005001</t>
        </is>
      </c>
      <c r="C2252" s="2" t="inlineStr">
        <is>
          <t>Other</t>
        </is>
      </c>
      <c r="D2252" s="2" t="inlineStr">
        <is>
          <t>L9.S.26020493</t>
        </is>
      </c>
      <c r="E2252" s="2" t="n">
        <v>2000005214</v>
      </c>
      <c r="M2252" s="2" t="inlineStr">
        <is>
          <t>Manurewa</t>
        </is>
      </c>
      <c r="N2252" s="2" t="inlineStr">
        <is>
          <t>New Zealand</t>
        </is>
      </c>
      <c r="P2252" s="2" t="inlineStr">
        <is>
          <t>Operational Control</t>
        </is>
      </c>
      <c r="Q2252" s="2" t="inlineStr">
        <is>
          <t>Operational Control</t>
        </is>
      </c>
      <c r="R2252" s="2" t="inlineStr">
        <is>
          <t>Social Infra &amp; Citizen Serv (SICS)</t>
        </is>
      </c>
      <c r="S2252" s="2" t="inlineStr">
        <is>
          <t>Downer</t>
        </is>
      </c>
      <c r="T2252" s="2" t="n">
        <v>100</v>
      </c>
      <c r="W2252" s="2" t="inlineStr">
        <is>
          <t>Classification</t>
        </is>
      </c>
    </row>
    <row r="2253">
      <c r="A2253" s="2" t="inlineStr">
        <is>
          <t>Downer</t>
        </is>
      </c>
      <c r="B2253" s="2" t="inlineStr">
        <is>
          <t>TE WHARE TOROA</t>
        </is>
      </c>
      <c r="C2253" s="2" t="inlineStr">
        <is>
          <t>Other</t>
        </is>
      </c>
      <c r="D2253" s="2" t="inlineStr">
        <is>
          <t>L9.DNZ.HW0209</t>
        </is>
      </c>
      <c r="E2253" s="2" t="inlineStr">
        <is>
          <t>JP_HW0209</t>
        </is>
      </c>
      <c r="H2253" s="2" t="inlineStr">
        <is>
          <t>130 Kerrs Road</t>
        </is>
      </c>
      <c r="I2253" s="2" t="inlineStr">
        <is>
          <t>Wiri</t>
        </is>
      </c>
      <c r="J2253" s="2" t="inlineStr">
        <is>
          <t>Auckland</t>
        </is>
      </c>
      <c r="K2253" s="2" t="n">
        <v>2104</v>
      </c>
      <c r="L2253" s="2" t="inlineStr">
        <is>
          <t>New Zealand</t>
        </is>
      </c>
      <c r="M2253" s="2" t="inlineStr">
        <is>
          <t>Manurewa</t>
        </is>
      </c>
      <c r="N2253" s="2" t="inlineStr">
        <is>
          <t>New Zealand</t>
        </is>
      </c>
      <c r="P2253" s="2" t="inlineStr">
        <is>
          <t>Operational Control</t>
        </is>
      </c>
      <c r="Q2253" s="2" t="inlineStr">
        <is>
          <t>Operational Control</t>
        </is>
      </c>
      <c r="R2253" s="2" t="inlineStr">
        <is>
          <t>Transport &amp; Infrastructure (T&amp;I)</t>
        </is>
      </c>
      <c r="S2253" s="2" t="inlineStr">
        <is>
          <t>Downer</t>
        </is>
      </c>
      <c r="T2253" s="2" t="n">
        <v>100</v>
      </c>
      <c r="W2253" s="2" t="inlineStr">
        <is>
          <t>Classification</t>
        </is>
      </c>
      <c r="X2253" s="2" t="n">
        <v>-37.0083</v>
      </c>
      <c r="Y2253" s="2" t="n">
        <v>174.8705</v>
      </c>
    </row>
    <row r="2254">
      <c r="A2254" s="2" t="inlineStr">
        <is>
          <t>Downer</t>
        </is>
      </c>
      <c r="B2254" s="2" t="inlineStr">
        <is>
          <t>Teamtalk Build EU Subcontractors</t>
        </is>
      </c>
      <c r="C2254" s="2" t="inlineStr">
        <is>
          <t>Other</t>
        </is>
      </c>
      <c r="D2254" s="2" t="inlineStr">
        <is>
          <t>L9.DNZ.810.20205</t>
        </is>
      </c>
      <c r="E2254" s="2" t="inlineStr">
        <is>
          <t>L9.DNZ.810.20205</t>
        </is>
      </c>
      <c r="F2254" s="2" t="inlineStr">
        <is>
          <t>L9.DNZ.810.20205</t>
        </is>
      </c>
      <c r="M2254" s="2" t="inlineStr">
        <is>
          <t>North Ryde</t>
        </is>
      </c>
      <c r="N2254" s="2" t="inlineStr">
        <is>
          <t>Australia</t>
        </is>
      </c>
      <c r="P2254" s="2" t="inlineStr">
        <is>
          <t>Operational Control</t>
        </is>
      </c>
      <c r="Q2254" s="2" t="inlineStr">
        <is>
          <t>Operational Control</t>
        </is>
      </c>
      <c r="R2254" s="2" t="inlineStr">
        <is>
          <t>Energy and Utilities (EU)</t>
        </is>
      </c>
      <c r="S2254" s="2" t="inlineStr">
        <is>
          <t>Downer</t>
        </is>
      </c>
      <c r="T2254" s="2" t="n">
        <v>100</v>
      </c>
      <c r="W2254" s="2" t="inlineStr">
        <is>
          <t>Classification</t>
        </is>
      </c>
    </row>
    <row r="2255">
      <c r="A2255" s="2" t="inlineStr">
        <is>
          <t>Downer</t>
        </is>
      </c>
      <c r="B2255" s="2" t="inlineStr">
        <is>
          <t>Tech Cap &amp; Supply Chain</t>
        </is>
      </c>
      <c r="C2255" s="2" t="inlineStr">
        <is>
          <t>Other</t>
        </is>
      </c>
      <c r="D2255" s="2" t="inlineStr">
        <is>
          <t>L9.DNZJ.63980</t>
        </is>
      </c>
      <c r="E2255" s="2" t="n">
        <v>63980</v>
      </c>
      <c r="M2255" s="2" t="inlineStr">
        <is>
          <t>Manurewa</t>
        </is>
      </c>
      <c r="N2255" s="2" t="inlineStr">
        <is>
          <t>New Zealand</t>
        </is>
      </c>
      <c r="P2255" s="2" t="inlineStr">
        <is>
          <t>Operational Control</t>
        </is>
      </c>
      <c r="Q2255" s="2" t="inlineStr">
        <is>
          <t>Operational Control</t>
        </is>
      </c>
      <c r="R2255" s="2" t="inlineStr">
        <is>
          <t>Energy and Utilities (EU)</t>
        </is>
      </c>
      <c r="S2255" s="2" t="inlineStr">
        <is>
          <t>Downer</t>
        </is>
      </c>
      <c r="T2255" s="2" t="n">
        <v>100</v>
      </c>
      <c r="W2255" s="2" t="inlineStr">
        <is>
          <t>Classification</t>
        </is>
      </c>
    </row>
    <row r="2256">
      <c r="A2256" s="2" t="inlineStr">
        <is>
          <t>Downer</t>
        </is>
      </c>
      <c r="B2256" s="2" t="inlineStr">
        <is>
          <t>Technical Dept</t>
        </is>
      </c>
      <c r="C2256" s="2" t="inlineStr">
        <is>
          <t>Other</t>
        </is>
      </c>
      <c r="D2256" s="2" t="inlineStr">
        <is>
          <t>L9.DNZJ.3005</t>
        </is>
      </c>
      <c r="E2256" s="2" t="n">
        <v>3005</v>
      </c>
      <c r="H2256" s="2" t="inlineStr">
        <is>
          <t>130 Kerrs Road</t>
        </is>
      </c>
      <c r="I2256" s="2" t="inlineStr">
        <is>
          <t>Wiri</t>
        </is>
      </c>
      <c r="J2256" s="2" t="inlineStr">
        <is>
          <t>Auckland</t>
        </is>
      </c>
      <c r="K2256" s="2" t="n">
        <v>2104</v>
      </c>
      <c r="L2256" s="2" t="inlineStr">
        <is>
          <t>New Zealand</t>
        </is>
      </c>
      <c r="M2256" s="2" t="inlineStr">
        <is>
          <t>Manurewa</t>
        </is>
      </c>
      <c r="N2256" s="2" t="inlineStr">
        <is>
          <t>New Zealand</t>
        </is>
      </c>
      <c r="P2256" s="2" t="inlineStr">
        <is>
          <t>Operational Control</t>
        </is>
      </c>
      <c r="Q2256" s="2" t="inlineStr">
        <is>
          <t>Operational Control</t>
        </is>
      </c>
      <c r="R2256" s="2" t="inlineStr">
        <is>
          <t>Transport &amp; Infrastructure (T&amp;I)</t>
        </is>
      </c>
      <c r="S2256" s="2" t="inlineStr">
        <is>
          <t>Downer</t>
        </is>
      </c>
      <c r="T2256" s="2" t="n">
        <v>100</v>
      </c>
      <c r="W2256" s="2" t="inlineStr">
        <is>
          <t>Classification</t>
        </is>
      </c>
      <c r="X2256" s="2" t="n">
        <v>-37.0083</v>
      </c>
      <c r="Y2256" s="2" t="n">
        <v>174.8705</v>
      </c>
    </row>
    <row r="2257">
      <c r="A2257" s="2" t="inlineStr">
        <is>
          <t>Downer</t>
        </is>
      </c>
      <c r="B2257" s="2" t="inlineStr">
        <is>
          <t>Technology</t>
        </is>
      </c>
      <c r="C2257" s="2" t="inlineStr">
        <is>
          <t>Other</t>
        </is>
      </c>
      <c r="D2257" s="2" t="inlineStr">
        <is>
          <t>L9.DNZJ.3007</t>
        </is>
      </c>
      <c r="E2257" s="2" t="n">
        <v>3007</v>
      </c>
      <c r="M2257" s="2" t="inlineStr">
        <is>
          <t>Manurewa</t>
        </is>
      </c>
      <c r="N2257" s="2" t="inlineStr">
        <is>
          <t>New Zealand</t>
        </is>
      </c>
      <c r="P2257" s="2" t="inlineStr">
        <is>
          <t>Operational Control</t>
        </is>
      </c>
      <c r="Q2257" s="2" t="inlineStr">
        <is>
          <t>Operational Control</t>
        </is>
      </c>
      <c r="R2257" s="2" t="inlineStr">
        <is>
          <t>Transport &amp; Infrastructure (T&amp;I)</t>
        </is>
      </c>
      <c r="S2257" s="2" t="inlineStr">
        <is>
          <t>Downer</t>
        </is>
      </c>
      <c r="T2257" s="2" t="n">
        <v>100</v>
      </c>
      <c r="W2257" s="2" t="inlineStr">
        <is>
          <t>Classification</t>
        </is>
      </c>
    </row>
    <row r="2258">
      <c r="A2258" s="2" t="inlineStr">
        <is>
          <t>Downer</t>
        </is>
      </c>
      <c r="B2258" s="2" t="inlineStr">
        <is>
          <t>Telco - Recharge</t>
        </is>
      </c>
      <c r="C2258" s="2" t="inlineStr">
        <is>
          <t>Other</t>
        </is>
      </c>
      <c r="D2258" s="2" t="inlineStr">
        <is>
          <t>L9.DNZJ.1992</t>
        </is>
      </c>
      <c r="E2258" s="2" t="n">
        <v>1992</v>
      </c>
      <c r="H2258" s="2" t="inlineStr">
        <is>
          <t>130 Kerrs Road</t>
        </is>
      </c>
      <c r="I2258" s="2" t="inlineStr">
        <is>
          <t>Wiri</t>
        </is>
      </c>
      <c r="J2258" s="2" t="inlineStr">
        <is>
          <t>Auckland</t>
        </is>
      </c>
      <c r="K2258" s="2" t="n">
        <v>2104</v>
      </c>
      <c r="L2258" s="2" t="inlineStr">
        <is>
          <t>New Zealand</t>
        </is>
      </c>
      <c r="M2258" s="2" t="inlineStr">
        <is>
          <t>Manurewa</t>
        </is>
      </c>
      <c r="N2258" s="2" t="inlineStr">
        <is>
          <t>New Zealand</t>
        </is>
      </c>
      <c r="P2258" s="2" t="inlineStr">
        <is>
          <t>Operational Control</t>
        </is>
      </c>
      <c r="Q2258" s="2" t="inlineStr">
        <is>
          <t>Operational Control</t>
        </is>
      </c>
      <c r="R2258" s="2" t="inlineStr">
        <is>
          <t>Energy and Utilities (EU)</t>
        </is>
      </c>
      <c r="S2258" s="2" t="inlineStr">
        <is>
          <t>Downer</t>
        </is>
      </c>
      <c r="T2258" s="2" t="n">
        <v>100</v>
      </c>
      <c r="W2258" s="2" t="inlineStr">
        <is>
          <t>Classification</t>
        </is>
      </c>
      <c r="X2258" s="2" t="n">
        <v>-37.0083</v>
      </c>
      <c r="Y2258" s="2" t="n">
        <v>174.8705</v>
      </c>
    </row>
    <row r="2259">
      <c r="A2259" s="2" t="inlineStr">
        <is>
          <t>Downer</t>
        </is>
      </c>
      <c r="B2259" s="2" t="inlineStr">
        <is>
          <t>Telco Co-Ordinators</t>
        </is>
      </c>
      <c r="C2259" s="2" t="inlineStr">
        <is>
          <t>Other</t>
        </is>
      </c>
      <c r="D2259" s="2" t="inlineStr">
        <is>
          <t>L9.DNZ.810.10.200</t>
        </is>
      </c>
      <c r="E2259" s="2" t="n">
        <v>10200</v>
      </c>
      <c r="G2259" s="2" t="n">
        <v>10.2</v>
      </c>
      <c r="H2259" s="2" t="inlineStr">
        <is>
          <t>130 Kerrs Road</t>
        </is>
      </c>
      <c r="I2259" s="2" t="inlineStr">
        <is>
          <t>Wiri</t>
        </is>
      </c>
      <c r="J2259" s="2" t="inlineStr">
        <is>
          <t>Auckland</t>
        </is>
      </c>
      <c r="K2259" s="2" t="n">
        <v>2104</v>
      </c>
      <c r="L2259" s="2" t="inlineStr">
        <is>
          <t>New Zealand</t>
        </is>
      </c>
      <c r="M2259" s="2" t="inlineStr">
        <is>
          <t>Manurewa</t>
        </is>
      </c>
      <c r="N2259" s="2" t="inlineStr">
        <is>
          <t>New Zealand</t>
        </is>
      </c>
      <c r="P2259" s="2" t="inlineStr">
        <is>
          <t>Operational Control</t>
        </is>
      </c>
      <c r="Q2259" s="2" t="inlineStr">
        <is>
          <t>Operational Control</t>
        </is>
      </c>
      <c r="R2259" s="2" t="inlineStr">
        <is>
          <t>Energy and Utilities (EU)</t>
        </is>
      </c>
      <c r="S2259" s="2" t="inlineStr">
        <is>
          <t>Downer</t>
        </is>
      </c>
      <c r="T2259" s="2" t="n">
        <v>100</v>
      </c>
      <c r="W2259" s="2" t="inlineStr">
        <is>
          <t>Classification</t>
        </is>
      </c>
      <c r="X2259" s="2" t="n">
        <v>-37.0083</v>
      </c>
      <c r="Y2259" s="2" t="n">
        <v>174.8705</v>
      </c>
    </row>
    <row r="2260">
      <c r="A2260" s="2" t="inlineStr">
        <is>
          <t>Downer</t>
        </is>
      </c>
      <c r="B2260" s="2" t="inlineStr">
        <is>
          <t>Telco Leadership</t>
        </is>
      </c>
      <c r="C2260" s="2" t="inlineStr">
        <is>
          <t>Other</t>
        </is>
      </c>
      <c r="D2260" s="2" t="inlineStr">
        <is>
          <t>L9.DNZ.810.10.030</t>
        </is>
      </c>
      <c r="E2260" s="2" t="n">
        <v>10030</v>
      </c>
      <c r="G2260" s="2" t="inlineStr">
        <is>
          <t>June 23 - Aug 24 data previously assigned to this location. No longer available on EDW dashboard (checked in Oct 24). Checked asset codes - 140530 &amp; 144416. Close this Envizi location.</t>
        </is>
      </c>
      <c r="M2260" s="2" t="inlineStr">
        <is>
          <t>Manurewa</t>
        </is>
      </c>
      <c r="N2260" s="2" t="inlineStr">
        <is>
          <t>New Zealand</t>
        </is>
      </c>
      <c r="P2260" s="2" t="inlineStr">
        <is>
          <t>Operational Control</t>
        </is>
      </c>
      <c r="Q2260" s="2" t="inlineStr">
        <is>
          <t>Operational Control</t>
        </is>
      </c>
      <c r="R2260" s="2" t="inlineStr">
        <is>
          <t>Energy and Utilities (EU)</t>
        </is>
      </c>
      <c r="S2260" s="2" t="inlineStr">
        <is>
          <t>Downer</t>
        </is>
      </c>
      <c r="T2260" s="2" t="n">
        <v>100</v>
      </c>
      <c r="W2260" s="2" t="inlineStr">
        <is>
          <t>Classification</t>
        </is>
      </c>
      <c r="AB2260" s="11" t="n">
        <v>45565</v>
      </c>
    </row>
    <row r="2261">
      <c r="A2261" s="2" t="inlineStr">
        <is>
          <t>Downer</t>
        </is>
      </c>
      <c r="B2261" s="2" t="inlineStr">
        <is>
          <t>TELOPS DESIGN - NORTH EU Subcontractors</t>
        </is>
      </c>
      <c r="C2261" s="2" t="inlineStr">
        <is>
          <t>Other</t>
        </is>
      </c>
      <c r="D2261" s="2" t="inlineStr">
        <is>
          <t>L9.DNZ.810.21045</t>
        </is>
      </c>
      <c r="E2261" s="2" t="inlineStr">
        <is>
          <t>L9.DNZ.810.21045</t>
        </is>
      </c>
      <c r="F2261" s="2" t="inlineStr">
        <is>
          <t>L9.DNZ.810.21045</t>
        </is>
      </c>
      <c r="M2261" s="2" t="inlineStr">
        <is>
          <t>Auckland</t>
        </is>
      </c>
      <c r="N2261" s="2" t="inlineStr">
        <is>
          <t>New Zealand</t>
        </is>
      </c>
      <c r="P2261" s="2" t="inlineStr">
        <is>
          <t>Operational Control</t>
        </is>
      </c>
      <c r="Q2261" s="2" t="inlineStr">
        <is>
          <t>Operational Control</t>
        </is>
      </c>
      <c r="R2261" s="2" t="inlineStr">
        <is>
          <t>Energy and Utilities (EU)</t>
        </is>
      </c>
      <c r="S2261" s="2" t="inlineStr">
        <is>
          <t>Downer</t>
        </is>
      </c>
      <c r="T2261" s="2" t="n">
        <v>100</v>
      </c>
      <c r="W2261" s="2" t="inlineStr">
        <is>
          <t>Classification</t>
        </is>
      </c>
    </row>
    <row r="2262">
      <c r="A2262" s="2" t="inlineStr">
        <is>
          <t>Downer</t>
        </is>
      </c>
      <c r="B2262" s="2" t="inlineStr">
        <is>
          <t>Telstra Blackspot EU Subcontractors</t>
        </is>
      </c>
      <c r="C2262" s="2" t="inlineStr">
        <is>
          <t>Other</t>
        </is>
      </c>
      <c r="D2262" s="2" t="inlineStr">
        <is>
          <t>L9.J.23440150</t>
        </is>
      </c>
      <c r="E2262" s="2" t="inlineStr">
        <is>
          <t>L9.J.23440150</t>
        </is>
      </c>
      <c r="F2262" s="2" t="inlineStr">
        <is>
          <t>L9.J.23440150</t>
        </is>
      </c>
      <c r="M2262" s="2" t="inlineStr">
        <is>
          <t>Auckland</t>
        </is>
      </c>
      <c r="N2262" s="2" t="inlineStr">
        <is>
          <t>New Zealand</t>
        </is>
      </c>
      <c r="P2262" s="2" t="inlineStr">
        <is>
          <t>Operational Control</t>
        </is>
      </c>
      <c r="Q2262" s="2" t="inlineStr">
        <is>
          <t>Operational Control</t>
        </is>
      </c>
      <c r="R2262" s="2" t="inlineStr">
        <is>
          <t>Energy and Utilities (EU)</t>
        </is>
      </c>
      <c r="S2262" s="2" t="inlineStr">
        <is>
          <t>Downer</t>
        </is>
      </c>
      <c r="T2262" s="2" t="n">
        <v>100</v>
      </c>
      <c r="W2262" s="2" t="inlineStr">
        <is>
          <t>Classification</t>
        </is>
      </c>
    </row>
    <row r="2263">
      <c r="A2263" s="2" t="inlineStr">
        <is>
          <t>Downer</t>
        </is>
      </c>
      <c r="B2263" s="2" t="inlineStr">
        <is>
          <t>Telstra Clear &amp; LBI EU Subcontractors</t>
        </is>
      </c>
      <c r="C2263" s="2" t="inlineStr">
        <is>
          <t>Other</t>
        </is>
      </c>
      <c r="D2263" s="2" t="inlineStr">
        <is>
          <t>L9.DNZ.810.20710</t>
        </is>
      </c>
      <c r="E2263" s="2" t="inlineStr">
        <is>
          <t>L9.DNZ.810.20710</t>
        </is>
      </c>
      <c r="M2263" s="2" t="inlineStr">
        <is>
          <t>Auckland City</t>
        </is>
      </c>
      <c r="N2263" s="2" t="inlineStr">
        <is>
          <t>New Zealand</t>
        </is>
      </c>
      <c r="P2263" s="2" t="inlineStr">
        <is>
          <t>Operational Control</t>
        </is>
      </c>
      <c r="Q2263" s="2" t="inlineStr">
        <is>
          <t>Operational Control</t>
        </is>
      </c>
      <c r="R2263" s="2" t="inlineStr">
        <is>
          <t>Energy and Utilities (EU)</t>
        </is>
      </c>
      <c r="S2263" s="2" t="inlineStr">
        <is>
          <t>Downer</t>
        </is>
      </c>
      <c r="T2263" s="2" t="n">
        <v>100</v>
      </c>
      <c r="W2263" s="2" t="inlineStr">
        <is>
          <t>Classification</t>
        </is>
      </c>
    </row>
    <row r="2264">
      <c r="A2264" s="2" t="inlineStr">
        <is>
          <t>Downer</t>
        </is>
      </c>
      <c r="B2264" s="2" t="inlineStr">
        <is>
          <t>Telstra Fixed Connections EU Subcontractors</t>
        </is>
      </c>
      <c r="C2264" s="2" t="inlineStr">
        <is>
          <t>Other</t>
        </is>
      </c>
      <c r="D2264" s="2" t="inlineStr">
        <is>
          <t>L9.J.234876</t>
        </is>
      </c>
      <c r="E2264" s="2" t="inlineStr">
        <is>
          <t>L9.J.234876</t>
        </is>
      </c>
      <c r="M2264" s="2" t="inlineStr">
        <is>
          <t>North Ryde</t>
        </is>
      </c>
      <c r="N2264" s="2" t="inlineStr">
        <is>
          <t>Australia</t>
        </is>
      </c>
      <c r="P2264" s="2" t="inlineStr">
        <is>
          <t>Operational Control</t>
        </is>
      </c>
      <c r="Q2264" s="2" t="inlineStr">
        <is>
          <t>Operational Control</t>
        </is>
      </c>
      <c r="R2264" s="2" t="inlineStr">
        <is>
          <t>Energy and Utilities (EU)</t>
        </is>
      </c>
      <c r="S2264" s="2" t="inlineStr">
        <is>
          <t>Downer</t>
        </is>
      </c>
      <c r="T2264" s="2" t="n">
        <v>100</v>
      </c>
      <c r="W2264" s="2" t="inlineStr">
        <is>
          <t>Classification</t>
        </is>
      </c>
    </row>
    <row r="2265">
      <c r="A2265" s="2" t="inlineStr">
        <is>
          <t>Downer</t>
        </is>
      </c>
      <c r="B2265" s="2" t="inlineStr">
        <is>
          <t>Telstra RW EU Subcontractors</t>
        </is>
      </c>
      <c r="C2265" s="2" t="inlineStr">
        <is>
          <t>Other</t>
        </is>
      </c>
      <c r="D2265" s="2" t="inlineStr">
        <is>
          <t>L9.J.23420004</t>
        </is>
      </c>
      <c r="E2265" s="2" t="inlineStr">
        <is>
          <t>L9.J.23420004</t>
        </is>
      </c>
      <c r="F2265" s="2" t="inlineStr">
        <is>
          <t>L9.J.23420004</t>
        </is>
      </c>
      <c r="M2265" s="2" t="inlineStr">
        <is>
          <t>North Ryde</t>
        </is>
      </c>
      <c r="N2265" s="2" t="inlineStr">
        <is>
          <t>Australia</t>
        </is>
      </c>
      <c r="P2265" s="2" t="inlineStr">
        <is>
          <t>Operational Control</t>
        </is>
      </c>
      <c r="Q2265" s="2" t="inlineStr">
        <is>
          <t>Operational Control</t>
        </is>
      </c>
      <c r="R2265" s="2" t="inlineStr">
        <is>
          <t>Energy and Utilities (EU)</t>
        </is>
      </c>
      <c r="S2265" s="2" t="inlineStr">
        <is>
          <t>Downer</t>
        </is>
      </c>
      <c r="T2265" s="2" t="n">
        <v>100</v>
      </c>
      <c r="W2265" s="2" t="inlineStr">
        <is>
          <t>Classification</t>
        </is>
      </c>
    </row>
    <row r="2266">
      <c r="A2266" s="2" t="inlineStr">
        <is>
          <t>Downer</t>
        </is>
      </c>
      <c r="B2266" s="2" t="inlineStr">
        <is>
          <t>Tendering (Nth Island)</t>
        </is>
      </c>
      <c r="C2266" s="2" t="inlineStr">
        <is>
          <t>Other</t>
        </is>
      </c>
      <c r="D2266" s="2" t="inlineStr">
        <is>
          <t>L9.DNZJ.8802</t>
        </is>
      </c>
      <c r="E2266" s="2" t="n">
        <v>8802</v>
      </c>
      <c r="H2266" s="2" t="inlineStr">
        <is>
          <t>16 Willis Street</t>
        </is>
      </c>
      <c r="I2266" s="2" t="inlineStr">
        <is>
          <t>Wellington Central</t>
        </is>
      </c>
      <c r="J2266" s="2" t="inlineStr">
        <is>
          <t>Wellington</t>
        </is>
      </c>
      <c r="K2266" s="2" t="n">
        <v>6011</v>
      </c>
      <c r="L2266" s="2" t="inlineStr">
        <is>
          <t>New Zealand</t>
        </is>
      </c>
      <c r="M2266" s="2" t="inlineStr">
        <is>
          <t>Kelburn</t>
        </is>
      </c>
      <c r="N2266" s="2" t="inlineStr">
        <is>
          <t>New Zealand</t>
        </is>
      </c>
      <c r="P2266" s="2" t="inlineStr">
        <is>
          <t>Operational Control</t>
        </is>
      </c>
      <c r="Q2266" s="2" t="inlineStr">
        <is>
          <t>Operational Control</t>
        </is>
      </c>
      <c r="R2266" s="2" t="inlineStr">
        <is>
          <t>Transport &amp; Infrastructure (T&amp;I)</t>
        </is>
      </c>
      <c r="S2266" s="2" t="inlineStr">
        <is>
          <t>Downer</t>
        </is>
      </c>
      <c r="T2266" s="2" t="n">
        <v>100</v>
      </c>
      <c r="W2266" s="2" t="inlineStr">
        <is>
          <t>Classification</t>
        </is>
      </c>
      <c r="X2266" s="2" t="n">
        <v>-41.2867</v>
      </c>
      <c r="Y2266" s="2" t="n">
        <v>174.7759</v>
      </c>
    </row>
    <row r="2267">
      <c r="A2267" s="2" t="inlineStr">
        <is>
          <t>Downer</t>
        </is>
      </c>
      <c r="B2267" s="2" t="inlineStr">
        <is>
          <t>Teneriffe - Brisbane (QLD)</t>
        </is>
      </c>
      <c r="C2267" s="2" t="inlineStr">
        <is>
          <t>Office</t>
        </is>
      </c>
      <c r="D2267" s="2" t="inlineStr">
        <is>
          <t>L9.J.10920048</t>
        </is>
      </c>
      <c r="E2267" s="2" t="n">
        <v>1020</v>
      </c>
      <c r="G2267" s="2" t="inlineStr">
        <is>
          <t>Opened 05/04/2019</t>
        </is>
      </c>
      <c r="H2267" s="2" t="inlineStr">
        <is>
          <t>49 Doggett Street</t>
        </is>
      </c>
      <c r="I2267" s="2" t="inlineStr">
        <is>
          <t>Teneriffe</t>
        </is>
      </c>
      <c r="J2267" s="2" t="inlineStr">
        <is>
          <t>QLD</t>
        </is>
      </c>
      <c r="K2267" s="2" t="n">
        <v>4005</v>
      </c>
      <c r="L2267" s="2" t="inlineStr">
        <is>
          <t>Australia</t>
        </is>
      </c>
      <c r="M2267" s="2" t="inlineStr">
        <is>
          <t>Fortitude Valley</t>
        </is>
      </c>
      <c r="N2267" s="2" t="inlineStr">
        <is>
          <t>Australia</t>
        </is>
      </c>
      <c r="P2267" s="2" t="inlineStr">
        <is>
          <t>Operational Control</t>
        </is>
      </c>
      <c r="Q2267" s="2" t="inlineStr">
        <is>
          <t>Operational Control</t>
        </is>
      </c>
      <c r="R2267" s="2" t="inlineStr">
        <is>
          <t>Corporate</t>
        </is>
      </c>
      <c r="S2267" s="2" t="inlineStr">
        <is>
          <t>Downer</t>
        </is>
      </c>
      <c r="T2267" s="2" t="n">
        <v>100</v>
      </c>
      <c r="W2267" s="2" t="inlineStr">
        <is>
          <t>Classification</t>
        </is>
      </c>
      <c r="Z2267" s="2" t="n">
        <v>729</v>
      </c>
    </row>
    <row r="2268">
      <c r="A2268" s="2" t="inlineStr">
        <is>
          <t>Downer</t>
        </is>
      </c>
      <c r="B2268" s="2" t="inlineStr">
        <is>
          <t>Tenix Alliance New Zealand Ltd EU Subcontractors</t>
        </is>
      </c>
      <c r="C2268" s="2" t="inlineStr">
        <is>
          <t>Other</t>
        </is>
      </c>
      <c r="D2268" s="2" t="inlineStr">
        <is>
          <t>L9.DUN.160</t>
        </is>
      </c>
      <c r="E2268" s="2" t="inlineStr">
        <is>
          <t>L9.DUN.160</t>
        </is>
      </c>
      <c r="M2268" s="2" t="inlineStr">
        <is>
          <t>Auckland City</t>
        </is>
      </c>
      <c r="N2268" s="2" t="inlineStr">
        <is>
          <t>New Zealand</t>
        </is>
      </c>
      <c r="P2268" s="2" t="inlineStr">
        <is>
          <t>Operational Control</t>
        </is>
      </c>
      <c r="Q2268" s="2" t="inlineStr">
        <is>
          <t>Operational Control</t>
        </is>
      </c>
      <c r="R2268" s="2" t="inlineStr">
        <is>
          <t>Energy and Utilities (EU)</t>
        </is>
      </c>
      <c r="S2268" s="2" t="inlineStr">
        <is>
          <t>Downer</t>
        </is>
      </c>
      <c r="T2268" s="2" t="n">
        <v>100</v>
      </c>
      <c r="W2268" s="2" t="inlineStr">
        <is>
          <t>Classification</t>
        </is>
      </c>
    </row>
    <row r="2269">
      <c r="A2269" s="2" t="inlineStr">
        <is>
          <t>Downer</t>
        </is>
      </c>
      <c r="B2269" s="2" t="inlineStr">
        <is>
          <t>Tennant Creek</t>
        </is>
      </c>
      <c r="C2269" s="2" t="inlineStr">
        <is>
          <t>Depot</t>
        </is>
      </c>
      <c r="D2269" s="2" t="inlineStr">
        <is>
          <t>L9.J.170528</t>
        </is>
      </c>
      <c r="E2269" s="2" t="n">
        <v>289</v>
      </c>
      <c r="H2269" s="2" t="inlineStr">
        <is>
          <t>44 Maloney Street</t>
        </is>
      </c>
      <c r="I2269" s="2" t="inlineStr">
        <is>
          <t>Tennant Creek</t>
        </is>
      </c>
      <c r="J2269" s="2" t="inlineStr">
        <is>
          <t>NT</t>
        </is>
      </c>
      <c r="K2269" s="2" t="n">
        <v>861</v>
      </c>
      <c r="L2269" s="2" t="inlineStr">
        <is>
          <t>Australia</t>
        </is>
      </c>
      <c r="M2269" s="2" t="inlineStr">
        <is>
          <t>Tennant Creek</t>
        </is>
      </c>
      <c r="N2269" s="2" t="inlineStr">
        <is>
          <t>Australia</t>
        </is>
      </c>
      <c r="P2269" s="2" t="inlineStr">
        <is>
          <t>Operational Control</t>
        </is>
      </c>
      <c r="Q2269" s="2" t="inlineStr">
        <is>
          <t>Operational Control</t>
        </is>
      </c>
      <c r="R2269" s="2" t="inlineStr">
        <is>
          <t>Transport &amp; Infrastructure (T&amp;I)</t>
        </is>
      </c>
      <c r="S2269" s="2" t="inlineStr">
        <is>
          <t>Downer</t>
        </is>
      </c>
      <c r="T2269" s="2" t="n">
        <v>100</v>
      </c>
      <c r="W2269" s="2" t="inlineStr">
        <is>
          <t>Classification</t>
        </is>
      </c>
      <c r="X2269" s="2" t="n">
        <v>-19.648</v>
      </c>
      <c r="Y2269" s="2" t="n">
        <v>134.184</v>
      </c>
      <c r="Z2269" s="2" t="n">
        <v>310</v>
      </c>
    </row>
    <row r="2270">
      <c r="A2270" s="2" t="inlineStr">
        <is>
          <t>Downer</t>
        </is>
      </c>
      <c r="B2270" s="2" t="inlineStr">
        <is>
          <t>Teralba - P&amp;E</t>
        </is>
      </c>
      <c r="C2270" s="2" t="inlineStr">
        <is>
          <t>Plant</t>
        </is>
      </c>
      <c r="D2270" s="2" t="inlineStr">
        <is>
          <t>L9.J.170146</t>
        </is>
      </c>
      <c r="E2270" s="2" t="inlineStr">
        <is>
          <t>TERP&amp;E</t>
        </is>
      </c>
      <c r="M2270" s="2" t="inlineStr">
        <is>
          <t>New South Wales</t>
        </is>
      </c>
      <c r="N2270" s="2" t="inlineStr">
        <is>
          <t>Australia</t>
        </is>
      </c>
      <c r="P2270" s="2" t="inlineStr">
        <is>
          <t>Operational Control</t>
        </is>
      </c>
      <c r="Q2270" s="2" t="inlineStr">
        <is>
          <t>Operational Control</t>
        </is>
      </c>
      <c r="R2270" s="2" t="inlineStr">
        <is>
          <t>Transport &amp; Infrastructure (T&amp;I)</t>
        </is>
      </c>
      <c r="S2270" s="2" t="inlineStr">
        <is>
          <t>Downer</t>
        </is>
      </c>
      <c r="T2270" s="2" t="n">
        <v>100</v>
      </c>
      <c r="W2270" s="2" t="inlineStr">
        <is>
          <t>Classification</t>
        </is>
      </c>
    </row>
    <row r="2271">
      <c r="A2271" s="2" t="inlineStr">
        <is>
          <t>Downer</t>
        </is>
      </c>
      <c r="B2271" s="2" t="inlineStr">
        <is>
          <t>Test New Zealand</t>
        </is>
      </c>
      <c r="C2271" s="2" t="inlineStr">
        <is>
          <t>Other</t>
        </is>
      </c>
      <c r="M2271" s="2" t="inlineStr">
        <is>
          <t>Hamilton</t>
        </is>
      </c>
      <c r="N2271" s="2" t="inlineStr">
        <is>
          <t>New Zealand</t>
        </is>
      </c>
      <c r="P2271" s="2" t="inlineStr">
        <is>
          <t>Operational Control</t>
        </is>
      </c>
      <c r="Q2271" s="2" t="inlineStr">
        <is>
          <t>Operational Control</t>
        </is>
      </c>
      <c r="R2271" s="2" t="inlineStr">
        <is>
          <t>Corporate</t>
        </is>
      </c>
      <c r="S2271" s="2" t="inlineStr">
        <is>
          <t>Downer</t>
        </is>
      </c>
      <c r="T2271" s="2" t="n">
        <v>100</v>
      </c>
      <c r="W2271" s="2" t="inlineStr">
        <is>
          <t>Classification</t>
        </is>
      </c>
    </row>
    <row r="2272">
      <c r="A2272" s="2" t="inlineStr">
        <is>
          <t>Downer</t>
        </is>
      </c>
      <c r="B2272" s="2" t="inlineStr">
        <is>
          <t>TFO Facilities D&amp;C - Spotless EU Subcontractors</t>
        </is>
      </c>
      <c r="C2272" s="2" t="inlineStr">
        <is>
          <t>Other</t>
        </is>
      </c>
      <c r="D2272" s="2" t="inlineStr">
        <is>
          <t>L9.J.23440287</t>
        </is>
      </c>
      <c r="E2272" s="2" t="inlineStr">
        <is>
          <t>L9.J.23440287</t>
        </is>
      </c>
      <c r="F2272" s="2" t="inlineStr">
        <is>
          <t>L9.J.23440287</t>
        </is>
      </c>
      <c r="M2272" s="2" t="inlineStr">
        <is>
          <t>North Ryde</t>
        </is>
      </c>
      <c r="N2272" s="2" t="inlineStr">
        <is>
          <t>Australia</t>
        </is>
      </c>
      <c r="P2272" s="2" t="inlineStr">
        <is>
          <t>Operational Control</t>
        </is>
      </c>
      <c r="Q2272" s="2" t="inlineStr">
        <is>
          <t>Operational Control</t>
        </is>
      </c>
      <c r="R2272" s="2" t="inlineStr">
        <is>
          <t>Energy and Utilities (EU)</t>
        </is>
      </c>
      <c r="S2272" s="2" t="inlineStr">
        <is>
          <t>Downer</t>
        </is>
      </c>
      <c r="T2272" s="2" t="n">
        <v>100</v>
      </c>
      <c r="W2272" s="2" t="inlineStr">
        <is>
          <t>Classification</t>
        </is>
      </c>
    </row>
    <row r="2273">
      <c r="A2273" s="2" t="inlineStr">
        <is>
          <t>Downer</t>
        </is>
      </c>
      <c r="B2273" s="2" t="inlineStr">
        <is>
          <t>TFO Recoverable Works EU Subcontractors</t>
        </is>
      </c>
      <c r="C2273" s="2" t="inlineStr">
        <is>
          <t>Other</t>
        </is>
      </c>
      <c r="D2273" s="2" t="inlineStr">
        <is>
          <t>L9.J.23440263</t>
        </is>
      </c>
      <c r="E2273" s="2" t="inlineStr">
        <is>
          <t>L9.J.23440263</t>
        </is>
      </c>
      <c r="M2273" s="2" t="inlineStr">
        <is>
          <t>North Ryde</t>
        </is>
      </c>
      <c r="N2273" s="2" t="inlineStr">
        <is>
          <t>Australia</t>
        </is>
      </c>
      <c r="P2273" s="2" t="inlineStr">
        <is>
          <t>Operational Control</t>
        </is>
      </c>
      <c r="Q2273" s="2" t="inlineStr">
        <is>
          <t>Operational Control</t>
        </is>
      </c>
      <c r="R2273" s="2" t="inlineStr">
        <is>
          <t>Energy and Utilities (EU)</t>
        </is>
      </c>
      <c r="S2273" s="2" t="inlineStr">
        <is>
          <t>Downer</t>
        </is>
      </c>
      <c r="T2273" s="2" t="n">
        <v>100</v>
      </c>
      <c r="W2273" s="2" t="inlineStr">
        <is>
          <t>Classification</t>
        </is>
      </c>
    </row>
    <row r="2274">
      <c r="A2274" s="2" t="inlineStr">
        <is>
          <t>Downer</t>
        </is>
      </c>
      <c r="B2274" s="2" t="inlineStr">
        <is>
          <t>TFO Wideband EU Subcontractors</t>
        </is>
      </c>
      <c r="C2274" s="2" t="inlineStr">
        <is>
          <t>Other</t>
        </is>
      </c>
      <c r="D2274" s="2" t="inlineStr">
        <is>
          <t>L9.J.23440248</t>
        </is>
      </c>
      <c r="E2274" s="2" t="inlineStr">
        <is>
          <t>L9.J.23440248</t>
        </is>
      </c>
      <c r="M2274" s="2" t="inlineStr">
        <is>
          <t>North Ryde</t>
        </is>
      </c>
      <c r="N2274" s="2" t="inlineStr">
        <is>
          <t>Australia</t>
        </is>
      </c>
      <c r="P2274" s="2" t="inlineStr">
        <is>
          <t>Operational Control</t>
        </is>
      </c>
      <c r="Q2274" s="2" t="inlineStr">
        <is>
          <t>Operational Control</t>
        </is>
      </c>
      <c r="R2274" s="2" t="inlineStr">
        <is>
          <t>Energy and Utilities (EU)</t>
        </is>
      </c>
      <c r="S2274" s="2" t="inlineStr">
        <is>
          <t>Downer</t>
        </is>
      </c>
      <c r="T2274" s="2" t="n">
        <v>100</v>
      </c>
      <c r="W2274" s="2" t="inlineStr">
        <is>
          <t>Classification</t>
        </is>
      </c>
    </row>
    <row r="2275">
      <c r="A2275" s="2" t="inlineStr">
        <is>
          <t>Downer</t>
        </is>
      </c>
      <c r="B2275" s="2" t="inlineStr">
        <is>
          <t>Thames/Coromandel Telco Ops</t>
        </is>
      </c>
      <c r="C2275" s="2" t="inlineStr">
        <is>
          <t>Other</t>
        </is>
      </c>
      <c r="D2275" s="2" t="inlineStr">
        <is>
          <t>L9.DNZ.810.10.174</t>
        </is>
      </c>
      <c r="E2275" s="2" t="n">
        <v>10174</v>
      </c>
      <c r="G2275" s="2" t="n">
        <v>10.174</v>
      </c>
      <c r="H2275" s="2" t="inlineStr">
        <is>
          <t>130 Kerrs Road</t>
        </is>
      </c>
      <c r="I2275" s="2" t="inlineStr">
        <is>
          <t>Wiri</t>
        </is>
      </c>
      <c r="J2275" s="2" t="inlineStr">
        <is>
          <t>Auckland</t>
        </is>
      </c>
      <c r="K2275" s="2" t="n">
        <v>2104</v>
      </c>
      <c r="L2275" s="2" t="inlineStr">
        <is>
          <t>New Zealand</t>
        </is>
      </c>
      <c r="M2275" s="2" t="inlineStr">
        <is>
          <t>Manurewa</t>
        </is>
      </c>
      <c r="N2275" s="2" t="inlineStr">
        <is>
          <t>New Zealand</t>
        </is>
      </c>
      <c r="P2275" s="2" t="inlineStr">
        <is>
          <t>Operational Control</t>
        </is>
      </c>
      <c r="Q2275" s="2" t="inlineStr">
        <is>
          <t>Operational Control</t>
        </is>
      </c>
      <c r="R2275" s="2" t="inlineStr">
        <is>
          <t>Energy and Utilities (EU)</t>
        </is>
      </c>
      <c r="S2275" s="2" t="inlineStr">
        <is>
          <t>Downer</t>
        </is>
      </c>
      <c r="T2275" s="2" t="n">
        <v>100</v>
      </c>
      <c r="W2275" s="2" t="inlineStr">
        <is>
          <t>Classification</t>
        </is>
      </c>
      <c r="X2275" s="2" t="n">
        <v>-37.0083</v>
      </c>
      <c r="Y2275" s="2" t="n">
        <v>174.8705</v>
      </c>
    </row>
    <row r="2276">
      <c r="A2276" s="2" t="inlineStr">
        <is>
          <t>Downer</t>
        </is>
      </c>
      <c r="B2276" s="2" t="inlineStr">
        <is>
          <t>THE PROJECT (MAIN WORKS)</t>
        </is>
      </c>
      <c r="C2276" s="2" t="inlineStr">
        <is>
          <t>Other</t>
        </is>
      </c>
      <c r="D2276" s="2" t="inlineStr">
        <is>
          <t>L9.DNZ.HA0405</t>
        </is>
      </c>
      <c r="E2276" s="2" t="inlineStr">
        <is>
          <t>JP_HA0411</t>
        </is>
      </c>
      <c r="M2276" s="2" t="inlineStr">
        <is>
          <t>Manurewa</t>
        </is>
      </c>
      <c r="N2276" s="2" t="inlineStr">
        <is>
          <t>New Zealand</t>
        </is>
      </c>
      <c r="P2276" s="2" t="inlineStr">
        <is>
          <t>Operational Control</t>
        </is>
      </c>
      <c r="Q2276" s="2" t="inlineStr">
        <is>
          <t>Operational Control</t>
        </is>
      </c>
      <c r="R2276" s="2" t="inlineStr">
        <is>
          <t>Transport &amp; Infrastructure (T&amp;I)</t>
        </is>
      </c>
      <c r="S2276" s="2" t="inlineStr">
        <is>
          <t>Downer</t>
        </is>
      </c>
      <c r="T2276" s="2" t="n">
        <v>100</v>
      </c>
      <c r="W2276" s="2" t="inlineStr">
        <is>
          <t>Classification</t>
        </is>
      </c>
    </row>
    <row r="2277">
      <c r="A2277" s="2" t="inlineStr">
        <is>
          <t>Downer</t>
        </is>
      </c>
      <c r="B2277" s="2" t="inlineStr">
        <is>
          <t>The Roading Company</t>
        </is>
      </c>
      <c r="C2277" s="2" t="inlineStr">
        <is>
          <t>Other</t>
        </is>
      </c>
      <c r="D2277" s="2" t="inlineStr">
        <is>
          <t>L9.DNZJ.1935</t>
        </is>
      </c>
      <c r="E2277" s="2" t="n">
        <v>1935</v>
      </c>
      <c r="H2277" s="2" t="inlineStr">
        <is>
          <t>130 Kerrs Road</t>
        </is>
      </c>
      <c r="I2277" s="2" t="inlineStr">
        <is>
          <t>Wiri</t>
        </is>
      </c>
      <c r="J2277" s="2" t="inlineStr">
        <is>
          <t>Auckland</t>
        </is>
      </c>
      <c r="K2277" s="2" t="n">
        <v>2104</v>
      </c>
      <c r="L2277" s="2" t="inlineStr">
        <is>
          <t>New Zealand</t>
        </is>
      </c>
      <c r="M2277" s="2" t="inlineStr">
        <is>
          <t>Manurewa</t>
        </is>
      </c>
      <c r="N2277" s="2" t="inlineStr">
        <is>
          <t>New Zealand</t>
        </is>
      </c>
      <c r="P2277" s="2" t="inlineStr">
        <is>
          <t>Operational Control</t>
        </is>
      </c>
      <c r="Q2277" s="2" t="inlineStr">
        <is>
          <t>Operational Control</t>
        </is>
      </c>
      <c r="R2277" s="2" t="inlineStr">
        <is>
          <t>Transport &amp; Infrastructure (T&amp;I)</t>
        </is>
      </c>
      <c r="S2277" s="2" t="inlineStr">
        <is>
          <t>Downer</t>
        </is>
      </c>
      <c r="T2277" s="2" t="n">
        <v>100</v>
      </c>
      <c r="W2277" s="2" t="inlineStr">
        <is>
          <t>Classification</t>
        </is>
      </c>
      <c r="X2277" s="2" t="n">
        <v>-37.0083</v>
      </c>
      <c r="Y2277" s="2" t="n">
        <v>174.8705</v>
      </c>
    </row>
    <row r="2278">
      <c r="A2278" s="2" t="inlineStr">
        <is>
          <t>Downer</t>
        </is>
      </c>
      <c r="B2278" s="2" t="inlineStr">
        <is>
          <t>TI-187 - Asphalt &amp; Products 02</t>
        </is>
      </c>
      <c r="C2278" s="2" t="inlineStr">
        <is>
          <t>Fleet Fuel</t>
        </is>
      </c>
      <c r="D2278" s="2" t="inlineStr">
        <is>
          <t>L9.J.170168</t>
        </is>
      </c>
      <c r="E2278" s="2" t="inlineStr">
        <is>
          <t>L9.J.170168</t>
        </is>
      </c>
      <c r="G2278" s="2" t="inlineStr">
        <is>
          <t>Previously named: Fuel Cards - TI-175 - Maint &amp; Pave AU</t>
        </is>
      </c>
      <c r="M2278" s="2" t="inlineStr">
        <is>
          <t>North Ryde</t>
        </is>
      </c>
      <c r="N2278" s="2" t="inlineStr">
        <is>
          <t>Australia</t>
        </is>
      </c>
      <c r="P2278" s="2" t="inlineStr">
        <is>
          <t>Operational Control</t>
        </is>
      </c>
      <c r="Q2278" s="2" t="inlineStr">
        <is>
          <t>Operational Control</t>
        </is>
      </c>
      <c r="R2278" s="2" t="inlineStr">
        <is>
          <t>Transport &amp; Infrastructure (T&amp;I)</t>
        </is>
      </c>
      <c r="S2278" s="2" t="inlineStr">
        <is>
          <t>Downer</t>
        </is>
      </c>
      <c r="T2278" s="2" t="n">
        <v>100</v>
      </c>
      <c r="W2278" s="2" t="inlineStr">
        <is>
          <t>Classification</t>
        </is>
      </c>
    </row>
    <row r="2279">
      <c r="A2279" s="2" t="inlineStr">
        <is>
          <t>Downer</t>
        </is>
      </c>
      <c r="B2279" s="2" t="inlineStr">
        <is>
          <t>Timaru (100 Pages Road)</t>
        </is>
      </c>
      <c r="C2279" s="2" t="inlineStr">
        <is>
          <t>Other</t>
        </is>
      </c>
      <c r="D2279" s="2" t="inlineStr">
        <is>
          <t>L9.DNZJ.91287</t>
        </is>
      </c>
      <c r="E2279" s="2" t="n">
        <v>91287</v>
      </c>
      <c r="H2279" s="2" t="inlineStr">
        <is>
          <t>100 Pages Road</t>
        </is>
      </c>
      <c r="I2279" s="2" t="inlineStr">
        <is>
          <t>Marchwiel</t>
        </is>
      </c>
      <c r="J2279" s="2" t="inlineStr">
        <is>
          <t>Timaru</t>
        </is>
      </c>
      <c r="K2279" s="2" t="n">
        <v>7910</v>
      </c>
      <c r="L2279" s="2" t="inlineStr">
        <is>
          <t>New Zealand</t>
        </is>
      </c>
      <c r="M2279" s="2" t="inlineStr">
        <is>
          <t>Timaru</t>
        </is>
      </c>
      <c r="N2279" s="2" t="inlineStr">
        <is>
          <t>New Zealand</t>
        </is>
      </c>
      <c r="P2279" s="2" t="inlineStr">
        <is>
          <t>Operational Control</t>
        </is>
      </c>
      <c r="Q2279" s="2" t="inlineStr">
        <is>
          <t>Operational Control</t>
        </is>
      </c>
      <c r="R2279" s="2" t="inlineStr">
        <is>
          <t>Corporate</t>
        </is>
      </c>
      <c r="S2279" s="2" t="inlineStr">
        <is>
          <t>Downer</t>
        </is>
      </c>
      <c r="T2279" s="2" t="n">
        <v>100</v>
      </c>
      <c r="W2279" s="2" t="inlineStr">
        <is>
          <t>Classification</t>
        </is>
      </c>
      <c r="X2279" s="2" t="n">
        <v>-44.3773</v>
      </c>
      <c r="Y2279" s="2" t="n">
        <v>171.2183</v>
      </c>
    </row>
    <row r="2280">
      <c r="A2280" s="2" t="inlineStr">
        <is>
          <t>Downer</t>
        </is>
      </c>
      <c r="B2280" s="2" t="inlineStr">
        <is>
          <t>Timaru (40 Barnes Street)</t>
        </is>
      </c>
      <c r="C2280" s="2" t="inlineStr">
        <is>
          <t>Residential</t>
        </is>
      </c>
      <c r="D2280" s="2" t="inlineStr">
        <is>
          <t>L9.DNZJ.55368</t>
        </is>
      </c>
      <c r="E2280" s="2" t="n">
        <v>55368</v>
      </c>
      <c r="G2280" s="2" t="inlineStr">
        <is>
          <t>T&amp;I residential - NZ property listing
Not on INX temporarily</t>
        </is>
      </c>
      <c r="M2280" s="2" t="inlineStr">
        <is>
          <t>Timaru</t>
        </is>
      </c>
      <c r="N2280" s="2" t="inlineStr">
        <is>
          <t>New Zealand</t>
        </is>
      </c>
      <c r="P2280" s="2" t="inlineStr">
        <is>
          <t>Operational Control</t>
        </is>
      </c>
      <c r="Q2280" s="2" t="inlineStr">
        <is>
          <t>Operational Control</t>
        </is>
      </c>
      <c r="R2280" s="2" t="inlineStr">
        <is>
          <t>Transport &amp; Infrastructure (T&amp;I)</t>
        </is>
      </c>
      <c r="S2280" s="2" t="inlineStr">
        <is>
          <t>Downer</t>
        </is>
      </c>
      <c r="T2280" s="2" t="n">
        <v>100</v>
      </c>
      <c r="W2280" s="2" t="inlineStr">
        <is>
          <t>Classification</t>
        </is>
      </c>
    </row>
    <row r="2281">
      <c r="A2281" s="2" t="inlineStr">
        <is>
          <t>Downer</t>
        </is>
      </c>
      <c r="B2281" s="2" t="inlineStr">
        <is>
          <t>Timaru Depot</t>
        </is>
      </c>
      <c r="C2281" s="2" t="inlineStr">
        <is>
          <t>Other</t>
        </is>
      </c>
      <c r="D2281" s="2" t="inlineStr">
        <is>
          <t>L9.DNZJ.55652</t>
        </is>
      </c>
      <c r="E2281" s="2" t="n">
        <v>55652</v>
      </c>
      <c r="H2281" s="2" t="inlineStr">
        <is>
          <t>86 Meadows Road</t>
        </is>
      </c>
      <c r="I2281" s="2" t="inlineStr">
        <is>
          <t>Washdyke</t>
        </is>
      </c>
      <c r="J2281" s="2" t="inlineStr">
        <is>
          <t>Timaru</t>
        </is>
      </c>
      <c r="K2281" s="2" t="n">
        <v>7910</v>
      </c>
      <c r="L2281" s="2" t="inlineStr">
        <is>
          <t>New Zealand</t>
        </is>
      </c>
      <c r="M2281" s="2" t="inlineStr">
        <is>
          <t>Timaru</t>
        </is>
      </c>
      <c r="N2281" s="2" t="inlineStr">
        <is>
          <t>New Zealand</t>
        </is>
      </c>
      <c r="P2281" s="2" t="inlineStr">
        <is>
          <t>Operational Control</t>
        </is>
      </c>
      <c r="Q2281" s="2" t="inlineStr">
        <is>
          <t>Operational Control</t>
        </is>
      </c>
      <c r="R2281" s="2" t="inlineStr">
        <is>
          <t>Transport &amp; Infrastructure (T&amp;I)</t>
        </is>
      </c>
      <c r="S2281" s="2" t="inlineStr">
        <is>
          <t>Downer</t>
        </is>
      </c>
      <c r="T2281" s="2" t="n">
        <v>100</v>
      </c>
      <c r="W2281" s="2" t="inlineStr">
        <is>
          <t>Classification</t>
        </is>
      </c>
      <c r="X2281" s="2" t="n">
        <v>-44.3544</v>
      </c>
      <c r="Y2281" s="2" t="n">
        <v>171.2482</v>
      </c>
    </row>
    <row r="2282">
      <c r="A2282" s="2" t="inlineStr">
        <is>
          <t>Downer</t>
        </is>
      </c>
      <c r="B2282" s="2" t="inlineStr">
        <is>
          <t>Tirau Depot</t>
        </is>
      </c>
      <c r="C2282" s="2" t="inlineStr">
        <is>
          <t>Other</t>
        </is>
      </c>
      <c r="D2282" s="2" t="inlineStr">
        <is>
          <t>L9.DNZJ.55568</t>
        </is>
      </c>
      <c r="E2282" s="2" t="n">
        <v>55568</v>
      </c>
      <c r="H2282" s="2" t="inlineStr">
        <is>
          <t>25 Patetere Street</t>
        </is>
      </c>
      <c r="I2282" s="2" t="inlineStr">
        <is>
          <t>Tirau</t>
        </is>
      </c>
      <c r="J2282" s="2" t="inlineStr">
        <is>
          <t>Tirau</t>
        </is>
      </c>
      <c r="K2282" s="2" t="n">
        <v>3410</v>
      </c>
      <c r="L2282" s="2" t="inlineStr">
        <is>
          <t>New Zealand</t>
        </is>
      </c>
      <c r="M2282" s="2" t="inlineStr">
        <is>
          <t>Tirau</t>
        </is>
      </c>
      <c r="N2282" s="2" t="inlineStr">
        <is>
          <t>New Zealand</t>
        </is>
      </c>
      <c r="P2282" s="2" t="inlineStr">
        <is>
          <t>Operational Control</t>
        </is>
      </c>
      <c r="Q2282" s="2" t="inlineStr">
        <is>
          <t>Operational Control</t>
        </is>
      </c>
      <c r="R2282" s="2" t="inlineStr">
        <is>
          <t>Transport &amp; Infrastructure (T&amp;I)</t>
        </is>
      </c>
      <c r="S2282" s="2" t="inlineStr">
        <is>
          <t>Downer</t>
        </is>
      </c>
      <c r="T2282" s="2" t="n">
        <v>100</v>
      </c>
      <c r="W2282" s="2" t="inlineStr">
        <is>
          <t>Classification</t>
        </is>
      </c>
      <c r="X2282" s="2" t="n">
        <v>-37.9742</v>
      </c>
      <c r="Y2282" s="2" t="n">
        <v>175.7588</v>
      </c>
    </row>
    <row r="2283">
      <c r="A2283" s="2" t="inlineStr">
        <is>
          <t>Downer</t>
        </is>
      </c>
      <c r="B2283" s="2" t="inlineStr">
        <is>
          <t>TM Training</t>
        </is>
      </c>
      <c r="C2283" s="2" t="inlineStr">
        <is>
          <t>Other</t>
        </is>
      </c>
      <c r="D2283" s="2" t="inlineStr">
        <is>
          <t>L9.DNZJ.556241</t>
        </is>
      </c>
      <c r="E2283" s="2" t="n">
        <v>556241</v>
      </c>
      <c r="F2283" s="2" t="n">
        <v>556241</v>
      </c>
      <c r="M2283" s="2" t="inlineStr">
        <is>
          <t>Otago</t>
        </is>
      </c>
      <c r="N2283" s="2" t="inlineStr">
        <is>
          <t>New Zealand</t>
        </is>
      </c>
      <c r="P2283" s="2" t="inlineStr">
        <is>
          <t>Operational Control</t>
        </is>
      </c>
      <c r="Q2283" s="2" t="inlineStr">
        <is>
          <t>Operational Control</t>
        </is>
      </c>
      <c r="R2283" s="2" t="inlineStr">
        <is>
          <t>Transport &amp; Infrastructure (T&amp;I)</t>
        </is>
      </c>
      <c r="S2283" s="2" t="inlineStr">
        <is>
          <t>Downer</t>
        </is>
      </c>
      <c r="T2283" s="2" t="n">
        <v>100</v>
      </c>
      <c r="W2283" s="2" t="inlineStr">
        <is>
          <t>Classification</t>
        </is>
      </c>
    </row>
    <row r="2284">
      <c r="A2284" s="2" t="inlineStr">
        <is>
          <t>Downer</t>
        </is>
      </c>
      <c r="B2284" s="2" t="inlineStr">
        <is>
          <t>TMP/Reinstatement Direct OH</t>
        </is>
      </c>
      <c r="C2284" s="2" t="inlineStr">
        <is>
          <t>Other</t>
        </is>
      </c>
      <c r="D2284" s="2" t="inlineStr">
        <is>
          <t>L9.DUN.50311</t>
        </is>
      </c>
      <c r="E2284" s="2" t="inlineStr">
        <is>
          <t>PG50311</t>
        </is>
      </c>
      <c r="G2284" s="2" t="inlineStr">
        <is>
          <t>Region TBC</t>
        </is>
      </c>
      <c r="M2284" s="2" t="inlineStr">
        <is>
          <t>Auckland</t>
        </is>
      </c>
      <c r="N2284" s="2" t="inlineStr">
        <is>
          <t>New Zealand</t>
        </is>
      </c>
      <c r="P2284" s="2" t="inlineStr">
        <is>
          <t>Operational Control</t>
        </is>
      </c>
      <c r="Q2284" s="2" t="inlineStr">
        <is>
          <t>Operational Control</t>
        </is>
      </c>
      <c r="R2284" s="2" t="inlineStr">
        <is>
          <t>Energy and Utilities (EU)</t>
        </is>
      </c>
      <c r="S2284" s="2" t="inlineStr">
        <is>
          <t>Downer</t>
        </is>
      </c>
      <c r="T2284" s="2" t="n">
        <v>100</v>
      </c>
      <c r="W2284" s="2" t="inlineStr">
        <is>
          <t>Classification</t>
        </is>
      </c>
    </row>
    <row r="2285">
      <c r="A2285" s="2" t="inlineStr">
        <is>
          <t>Downer</t>
        </is>
      </c>
      <c r="B2285" s="2" t="inlineStr">
        <is>
          <t>TOTARA HAUMARU (WDHB)</t>
        </is>
      </c>
      <c r="C2285" s="2" t="inlineStr">
        <is>
          <t>Other</t>
        </is>
      </c>
      <c r="D2285" s="2" t="inlineStr">
        <is>
          <t>L9.DNZ.HA0395</t>
        </is>
      </c>
      <c r="E2285" s="2" t="inlineStr">
        <is>
          <t>JP_HA0395</t>
        </is>
      </c>
      <c r="H2285" s="2" t="inlineStr">
        <is>
          <t>130 Kerrs Road</t>
        </is>
      </c>
      <c r="I2285" s="2" t="inlineStr">
        <is>
          <t>Wiri</t>
        </is>
      </c>
      <c r="J2285" s="2" t="inlineStr">
        <is>
          <t>Auckland</t>
        </is>
      </c>
      <c r="K2285" s="2" t="n">
        <v>2104</v>
      </c>
      <c r="L2285" s="2" t="inlineStr">
        <is>
          <t>New Zealand</t>
        </is>
      </c>
      <c r="M2285" s="2" t="inlineStr">
        <is>
          <t>Manurewa</t>
        </is>
      </c>
      <c r="N2285" s="2" t="inlineStr">
        <is>
          <t>New Zealand</t>
        </is>
      </c>
      <c r="P2285" s="2" t="inlineStr">
        <is>
          <t>Operational Control</t>
        </is>
      </c>
      <c r="Q2285" s="2" t="inlineStr">
        <is>
          <t>Operational Control</t>
        </is>
      </c>
      <c r="R2285" s="2" t="inlineStr">
        <is>
          <t>Transport &amp; Infrastructure (T&amp;I)</t>
        </is>
      </c>
      <c r="S2285" s="2" t="inlineStr">
        <is>
          <t>Downer</t>
        </is>
      </c>
      <c r="T2285" s="2" t="n">
        <v>100</v>
      </c>
      <c r="W2285" s="2" t="inlineStr">
        <is>
          <t>Classification</t>
        </is>
      </c>
      <c r="X2285" s="2" t="n">
        <v>-37.0083</v>
      </c>
      <c r="Y2285" s="2" t="n">
        <v>174.8705</v>
      </c>
    </row>
    <row r="2286">
      <c r="A2286" s="2" t="inlineStr">
        <is>
          <t>Downer</t>
        </is>
      </c>
      <c r="B2286" s="2" t="inlineStr">
        <is>
          <t>Traffic Control - Canterbury</t>
        </is>
      </c>
      <c r="C2286" s="2" t="inlineStr">
        <is>
          <t>Other</t>
        </is>
      </c>
      <c r="D2286" s="2" t="inlineStr">
        <is>
          <t>L9.DNZJ.55366</t>
        </is>
      </c>
      <c r="E2286" s="2" t="n">
        <v>55366</v>
      </c>
      <c r="M2286" s="2" t="inlineStr">
        <is>
          <t>Manurewa</t>
        </is>
      </c>
      <c r="N2286" s="2" t="inlineStr">
        <is>
          <t>New Zealand</t>
        </is>
      </c>
      <c r="P2286" s="2" t="inlineStr">
        <is>
          <t>Operational Control</t>
        </is>
      </c>
      <c r="Q2286" s="2" t="inlineStr">
        <is>
          <t>Operational Control</t>
        </is>
      </c>
      <c r="R2286" s="2" t="inlineStr">
        <is>
          <t>Transport &amp; Infrastructure (T&amp;I)</t>
        </is>
      </c>
      <c r="S2286" s="2" t="inlineStr">
        <is>
          <t>Downer</t>
        </is>
      </c>
      <c r="T2286" s="2" t="n">
        <v>100</v>
      </c>
      <c r="W2286" s="2" t="inlineStr">
        <is>
          <t>Classification</t>
        </is>
      </c>
    </row>
    <row r="2287">
      <c r="A2287" s="2" t="inlineStr">
        <is>
          <t>Downer</t>
        </is>
      </c>
      <c r="B2287" s="2" t="inlineStr">
        <is>
          <t>Traffic Control - Hawkes Bay</t>
        </is>
      </c>
      <c r="C2287" s="2" t="inlineStr">
        <is>
          <t>Other</t>
        </is>
      </c>
      <c r="D2287" s="2" t="inlineStr">
        <is>
          <t>L9.DNZJ.55209</t>
        </is>
      </c>
      <c r="E2287" s="2" t="n">
        <v>55209</v>
      </c>
      <c r="M2287" s="2" t="inlineStr">
        <is>
          <t>Auckland</t>
        </is>
      </c>
      <c r="N2287" s="2" t="inlineStr">
        <is>
          <t>New Zealand</t>
        </is>
      </c>
      <c r="P2287" s="2" t="inlineStr">
        <is>
          <t>Operational Control</t>
        </is>
      </c>
      <c r="Q2287" s="2" t="inlineStr">
        <is>
          <t>Operational Control</t>
        </is>
      </c>
      <c r="R2287" s="2" t="inlineStr">
        <is>
          <t>Transport &amp; Infrastructure (T&amp;I)</t>
        </is>
      </c>
      <c r="S2287" s="2" t="inlineStr">
        <is>
          <t>Downer</t>
        </is>
      </c>
      <c r="T2287" s="2" t="n">
        <v>100</v>
      </c>
      <c r="W2287" s="2" t="inlineStr">
        <is>
          <t>Classification</t>
        </is>
      </c>
    </row>
    <row r="2288">
      <c r="A2288" s="2" t="inlineStr">
        <is>
          <t>Downer</t>
        </is>
      </c>
      <c r="B2288" s="2" t="inlineStr">
        <is>
          <t>Training Initiatives</t>
        </is>
      </c>
      <c r="C2288" s="2" t="inlineStr">
        <is>
          <t>Other</t>
        </is>
      </c>
      <c r="D2288" s="2" t="inlineStr">
        <is>
          <t>L9.DNZJ.55942</t>
        </is>
      </c>
      <c r="E2288" s="2" t="n">
        <v>55942</v>
      </c>
      <c r="M2288" s="2" t="inlineStr">
        <is>
          <t>Manurewa</t>
        </is>
      </c>
      <c r="N2288" s="2" t="inlineStr">
        <is>
          <t>New Zealand</t>
        </is>
      </c>
      <c r="P2288" s="2" t="inlineStr">
        <is>
          <t>Operational Control</t>
        </is>
      </c>
      <c r="Q2288" s="2" t="inlineStr">
        <is>
          <t>Operational Control</t>
        </is>
      </c>
      <c r="R2288" s="2" t="inlineStr">
        <is>
          <t>Transport &amp; Infrastructure (T&amp;I)</t>
        </is>
      </c>
      <c r="S2288" s="2" t="inlineStr">
        <is>
          <t>Downer</t>
        </is>
      </c>
      <c r="T2288" s="2" t="n">
        <v>100</v>
      </c>
      <c r="W2288" s="2" t="inlineStr">
        <is>
          <t>Classification</t>
        </is>
      </c>
    </row>
    <row r="2289">
      <c r="A2289" s="2" t="inlineStr">
        <is>
          <t>Downer</t>
        </is>
      </c>
      <c r="B2289" s="2" t="inlineStr">
        <is>
          <t>Transformation Bus Resources</t>
        </is>
      </c>
      <c r="C2289" s="2" t="inlineStr">
        <is>
          <t>Other</t>
        </is>
      </c>
      <c r="D2289" s="2" t="inlineStr">
        <is>
          <t>L9.DNZJ.63994</t>
        </is>
      </c>
      <c r="E2289" s="2" t="n">
        <v>63994</v>
      </c>
      <c r="F2289" s="2" t="n">
        <v>63994</v>
      </c>
      <c r="M2289" s="2" t="inlineStr">
        <is>
          <t>Wellington</t>
        </is>
      </c>
      <c r="N2289" s="2" t="inlineStr">
        <is>
          <t>New Zealand</t>
        </is>
      </c>
      <c r="P2289" s="2" t="inlineStr">
        <is>
          <t>Operational Control</t>
        </is>
      </c>
      <c r="Q2289" s="2" t="inlineStr">
        <is>
          <t>Operational Control</t>
        </is>
      </c>
      <c r="R2289" s="2" t="inlineStr">
        <is>
          <t>Energy and Utilities (EU)</t>
        </is>
      </c>
      <c r="S2289" s="2" t="inlineStr">
        <is>
          <t>Downer</t>
        </is>
      </c>
      <c r="T2289" s="2" t="n">
        <v>100</v>
      </c>
      <c r="W2289" s="2" t="inlineStr">
        <is>
          <t>Classification</t>
        </is>
      </c>
    </row>
    <row r="2290">
      <c r="A2290" s="2" t="inlineStr">
        <is>
          <t>Downer</t>
        </is>
      </c>
      <c r="B2290" s="2" t="inlineStr">
        <is>
          <t>Transgrid EU Subcontractors</t>
        </is>
      </c>
      <c r="C2290" s="2" t="inlineStr">
        <is>
          <t>Other</t>
        </is>
      </c>
      <c r="D2290" s="2" t="inlineStr">
        <is>
          <t>L9.J.37740021</t>
        </is>
      </c>
      <c r="E2290" s="2" t="inlineStr">
        <is>
          <t>L9.J.37740021</t>
        </is>
      </c>
      <c r="M2290" s="2" t="inlineStr">
        <is>
          <t>North Ryde</t>
        </is>
      </c>
      <c r="N2290" s="2" t="inlineStr">
        <is>
          <t>Australia</t>
        </is>
      </c>
      <c r="P2290" s="2" t="inlineStr">
        <is>
          <t>Operational Control</t>
        </is>
      </c>
      <c r="Q2290" s="2" t="inlineStr">
        <is>
          <t>Operational Control</t>
        </is>
      </c>
      <c r="R2290" s="2" t="inlineStr">
        <is>
          <t>Energy and Utilities (EU)</t>
        </is>
      </c>
      <c r="S2290" s="2" t="inlineStr">
        <is>
          <t>Downer</t>
        </is>
      </c>
      <c r="T2290" s="2" t="n">
        <v>100</v>
      </c>
      <c r="W2290" s="2" t="inlineStr">
        <is>
          <t>Classification</t>
        </is>
      </c>
    </row>
    <row r="2291">
      <c r="A2291" s="2" t="inlineStr">
        <is>
          <t>Downer</t>
        </is>
      </c>
      <c r="B2291" s="2" t="inlineStr">
        <is>
          <t>Transmission Grid Services Mgr</t>
        </is>
      </c>
      <c r="C2291" s="2" t="inlineStr">
        <is>
          <t>Other</t>
        </is>
      </c>
      <c r="D2291" s="2" t="inlineStr">
        <is>
          <t>L9.DUN.80010</t>
        </is>
      </c>
      <c r="E2291" s="2" t="inlineStr">
        <is>
          <t>PG80010</t>
        </is>
      </c>
      <c r="M2291" s="2" t="inlineStr">
        <is>
          <t>Manurewa</t>
        </is>
      </c>
      <c r="N2291" s="2" t="inlineStr">
        <is>
          <t>New Zealand</t>
        </is>
      </c>
      <c r="P2291" s="2" t="inlineStr">
        <is>
          <t>Operational Control</t>
        </is>
      </c>
      <c r="Q2291" s="2" t="inlineStr">
        <is>
          <t>Operational Control</t>
        </is>
      </c>
      <c r="R2291" s="2" t="inlineStr">
        <is>
          <t>Energy and Utilities (EU)</t>
        </is>
      </c>
      <c r="S2291" s="2" t="inlineStr">
        <is>
          <t>Downer</t>
        </is>
      </c>
      <c r="T2291" s="2" t="n">
        <v>100</v>
      </c>
      <c r="W2291" s="2" t="inlineStr">
        <is>
          <t>Classification</t>
        </is>
      </c>
    </row>
    <row r="2292">
      <c r="A2292" s="2" t="inlineStr">
        <is>
          <t>Downer</t>
        </is>
      </c>
      <c r="B2292" s="2" t="inlineStr">
        <is>
          <t>Transmission Lines EU Subcontractors</t>
        </is>
      </c>
      <c r="C2292" s="2" t="inlineStr">
        <is>
          <t>Other</t>
        </is>
      </c>
      <c r="D2292" s="2" t="inlineStr">
        <is>
          <t>L9.J.37740096</t>
        </is>
      </c>
      <c r="E2292" s="2" t="inlineStr">
        <is>
          <t>L9.J.37740096</t>
        </is>
      </c>
      <c r="M2292" s="2" t="inlineStr">
        <is>
          <t>North Ryde</t>
        </is>
      </c>
      <c r="N2292" s="2" t="inlineStr">
        <is>
          <t>Australia</t>
        </is>
      </c>
      <c r="P2292" s="2" t="inlineStr">
        <is>
          <t>Operational Control</t>
        </is>
      </c>
      <c r="Q2292" s="2" t="inlineStr">
        <is>
          <t>Operational Control</t>
        </is>
      </c>
      <c r="R2292" s="2" t="inlineStr">
        <is>
          <t>Energy and Utilities (EU)</t>
        </is>
      </c>
      <c r="S2292" s="2" t="inlineStr">
        <is>
          <t>Downer</t>
        </is>
      </c>
      <c r="T2292" s="2" t="n">
        <v>100</v>
      </c>
      <c r="W2292" s="2" t="inlineStr">
        <is>
          <t>Classification</t>
        </is>
      </c>
    </row>
    <row r="2293">
      <c r="A2293" s="2" t="inlineStr">
        <is>
          <t>Downer</t>
        </is>
      </c>
      <c r="B2293" s="2" t="inlineStr">
        <is>
          <t>Transport LT</t>
        </is>
      </c>
      <c r="C2293" s="2" t="inlineStr">
        <is>
          <t>Other</t>
        </is>
      </c>
      <c r="D2293" s="2" t="inlineStr">
        <is>
          <t>L9.DNZJ.55927</t>
        </is>
      </c>
      <c r="E2293" s="2" t="n">
        <v>55927</v>
      </c>
      <c r="H2293" s="2" t="inlineStr">
        <is>
          <t>130 Kerrs Road</t>
        </is>
      </c>
      <c r="I2293" s="2" t="inlineStr">
        <is>
          <t>Wiri</t>
        </is>
      </c>
      <c r="J2293" s="2" t="inlineStr">
        <is>
          <t>Auckland</t>
        </is>
      </c>
      <c r="K2293" s="2" t="n">
        <v>2104</v>
      </c>
      <c r="L2293" s="2" t="inlineStr">
        <is>
          <t>New Zealand</t>
        </is>
      </c>
      <c r="M2293" s="2" t="inlineStr">
        <is>
          <t>Manurewa</t>
        </is>
      </c>
      <c r="N2293" s="2" t="inlineStr">
        <is>
          <t>New Zealand</t>
        </is>
      </c>
      <c r="P2293" s="2" t="inlineStr">
        <is>
          <t>Operational Control</t>
        </is>
      </c>
      <c r="Q2293" s="2" t="inlineStr">
        <is>
          <t>Operational Control</t>
        </is>
      </c>
      <c r="R2293" s="2" t="inlineStr">
        <is>
          <t>Transport &amp; Infrastructure (T&amp;I)</t>
        </is>
      </c>
      <c r="S2293" s="2" t="inlineStr">
        <is>
          <t>Downer</t>
        </is>
      </c>
      <c r="T2293" s="2" t="n">
        <v>100</v>
      </c>
      <c r="W2293" s="2" t="inlineStr">
        <is>
          <t>Classification</t>
        </is>
      </c>
      <c r="X2293" s="2" t="n">
        <v>-37.0083</v>
      </c>
      <c r="Y2293" s="2" t="n">
        <v>174.8705</v>
      </c>
    </row>
    <row r="2294">
      <c r="A2294" s="2" t="inlineStr">
        <is>
          <t>Downer</t>
        </is>
      </c>
      <c r="B2294" s="2" t="inlineStr">
        <is>
          <t>Transport Projects Plant</t>
        </is>
      </c>
      <c r="C2294" s="2" t="inlineStr">
        <is>
          <t>Other</t>
        </is>
      </c>
      <c r="D2294" s="2" t="inlineStr">
        <is>
          <t>L9.DNZJ.8819</t>
        </is>
      </c>
      <c r="E2294" s="2" t="n">
        <v>8819</v>
      </c>
      <c r="M2294" s="2" t="inlineStr">
        <is>
          <t>Manurewa</t>
        </is>
      </c>
      <c r="N2294" s="2" t="inlineStr">
        <is>
          <t>New Zealand</t>
        </is>
      </c>
      <c r="P2294" s="2" t="inlineStr">
        <is>
          <t>Operational Control</t>
        </is>
      </c>
      <c r="Q2294" s="2" t="inlineStr">
        <is>
          <t>Operational Control</t>
        </is>
      </c>
      <c r="R2294" s="2" t="inlineStr">
        <is>
          <t>Transport &amp; Infrastructure (T&amp;I)</t>
        </is>
      </c>
      <c r="S2294" s="2" t="inlineStr">
        <is>
          <t>Downer</t>
        </is>
      </c>
      <c r="T2294" s="2" t="n">
        <v>100</v>
      </c>
      <c r="W2294" s="2" t="inlineStr">
        <is>
          <t>Classification</t>
        </is>
      </c>
    </row>
    <row r="2295">
      <c r="A2295" s="2" t="inlineStr">
        <is>
          <t>Downer</t>
        </is>
      </c>
      <c r="B2295" s="2" t="inlineStr">
        <is>
          <t>Transportation Dept</t>
        </is>
      </c>
      <c r="C2295" s="2" t="inlineStr">
        <is>
          <t>Other</t>
        </is>
      </c>
      <c r="D2295" s="2" t="inlineStr">
        <is>
          <t>L9.DNZJ.3010</t>
        </is>
      </c>
      <c r="E2295" s="2" t="n">
        <v>3010</v>
      </c>
      <c r="M2295" s="2" t="inlineStr">
        <is>
          <t>Manurewa</t>
        </is>
      </c>
      <c r="N2295" s="2" t="inlineStr">
        <is>
          <t>New Zealand</t>
        </is>
      </c>
      <c r="P2295" s="2" t="inlineStr">
        <is>
          <t>Operational Control</t>
        </is>
      </c>
      <c r="Q2295" s="2" t="inlineStr">
        <is>
          <t>Operational Control</t>
        </is>
      </c>
      <c r="R2295" s="2" t="inlineStr">
        <is>
          <t>Transport &amp; Infrastructure (T&amp;I)</t>
        </is>
      </c>
      <c r="S2295" s="2" t="inlineStr">
        <is>
          <t>Downer</t>
        </is>
      </c>
      <c r="T2295" s="2" t="n">
        <v>100</v>
      </c>
      <c r="W2295" s="2" t="inlineStr">
        <is>
          <t>Classification</t>
        </is>
      </c>
    </row>
    <row r="2296">
      <c r="A2296" s="2" t="inlineStr">
        <is>
          <t>Downer</t>
        </is>
      </c>
      <c r="B2296" s="2" t="inlineStr">
        <is>
          <t>Transpower FM LNI</t>
        </is>
      </c>
      <c r="C2296" s="2" t="inlineStr">
        <is>
          <t>Other</t>
        </is>
      </c>
      <c r="D2296" s="2" t="inlineStr">
        <is>
          <t>L9.DNZJ.7510</t>
        </is>
      </c>
      <c r="E2296" s="2" t="n">
        <v>7510</v>
      </c>
      <c r="H2296" s="2" t="inlineStr">
        <is>
          <t>130 Kerrs Road</t>
        </is>
      </c>
      <c r="I2296" s="2" t="inlineStr">
        <is>
          <t>Wiri</t>
        </is>
      </c>
      <c r="J2296" s="2" t="inlineStr">
        <is>
          <t>Auckland</t>
        </is>
      </c>
      <c r="K2296" s="2" t="n">
        <v>2104</v>
      </c>
      <c r="L2296" s="2" t="inlineStr">
        <is>
          <t>New Zealand</t>
        </is>
      </c>
      <c r="M2296" s="2" t="inlineStr">
        <is>
          <t>Manurewa</t>
        </is>
      </c>
      <c r="N2296" s="2" t="inlineStr">
        <is>
          <t>New Zealand</t>
        </is>
      </c>
      <c r="P2296" s="2" t="inlineStr">
        <is>
          <t>Operational Control</t>
        </is>
      </c>
      <c r="Q2296" s="2" t="inlineStr">
        <is>
          <t>Operational Control</t>
        </is>
      </c>
      <c r="R2296" s="2" t="inlineStr">
        <is>
          <t>Energy and Utilities (EU)</t>
        </is>
      </c>
      <c r="S2296" s="2" t="inlineStr">
        <is>
          <t>Downer</t>
        </is>
      </c>
      <c r="T2296" s="2" t="n">
        <v>100</v>
      </c>
      <c r="W2296" s="2" t="inlineStr">
        <is>
          <t>Classification</t>
        </is>
      </c>
      <c r="X2296" s="2" t="n">
        <v>-37.0083</v>
      </c>
      <c r="Y2296" s="2" t="n">
        <v>174.8705</v>
      </c>
    </row>
    <row r="2297">
      <c r="A2297" s="2" t="inlineStr">
        <is>
          <t>Downer</t>
        </is>
      </c>
      <c r="B2297" s="2" t="inlineStr">
        <is>
          <t>Transpower FM Overheads</t>
        </is>
      </c>
      <c r="C2297" s="2" t="inlineStr">
        <is>
          <t>Other</t>
        </is>
      </c>
      <c r="D2297" s="2" t="inlineStr">
        <is>
          <t>L9.DNZJ.7501</t>
        </is>
      </c>
      <c r="E2297" s="2" t="n">
        <v>7501</v>
      </c>
      <c r="H2297" s="2" t="inlineStr">
        <is>
          <t>130 Kerrs Road</t>
        </is>
      </c>
      <c r="I2297" s="2" t="inlineStr">
        <is>
          <t>Wiri</t>
        </is>
      </c>
      <c r="J2297" s="2" t="inlineStr">
        <is>
          <t>Auckland</t>
        </is>
      </c>
      <c r="K2297" s="2" t="n">
        <v>2104</v>
      </c>
      <c r="L2297" s="2" t="inlineStr">
        <is>
          <t>New Zealand</t>
        </is>
      </c>
      <c r="M2297" s="2" t="inlineStr">
        <is>
          <t>Manurewa</t>
        </is>
      </c>
      <c r="N2297" s="2" t="inlineStr">
        <is>
          <t>New Zealand</t>
        </is>
      </c>
      <c r="P2297" s="2" t="inlineStr">
        <is>
          <t>Operational Control</t>
        </is>
      </c>
      <c r="Q2297" s="2" t="inlineStr">
        <is>
          <t>Operational Control</t>
        </is>
      </c>
      <c r="R2297" s="2" t="inlineStr">
        <is>
          <t>Energy and Utilities (EU)</t>
        </is>
      </c>
      <c r="S2297" s="2" t="inlineStr">
        <is>
          <t>Downer</t>
        </is>
      </c>
      <c r="T2297" s="2" t="n">
        <v>100</v>
      </c>
      <c r="W2297" s="2" t="inlineStr">
        <is>
          <t>Classification</t>
        </is>
      </c>
      <c r="X2297" s="2" t="n">
        <v>-37.0083</v>
      </c>
      <c r="Y2297" s="2" t="n">
        <v>174.8705</v>
      </c>
    </row>
    <row r="2298">
      <c r="A2298" s="2" t="inlineStr">
        <is>
          <t>Downer</t>
        </is>
      </c>
      <c r="B2298" s="2" t="inlineStr">
        <is>
          <t>Transpower FM SI</t>
        </is>
      </c>
      <c r="C2298" s="2" t="inlineStr">
        <is>
          <t>Other</t>
        </is>
      </c>
      <c r="D2298" s="2" t="inlineStr">
        <is>
          <t>L9.DNZJ.7511</t>
        </is>
      </c>
      <c r="E2298" s="2" t="n">
        <v>7511</v>
      </c>
      <c r="H2298" s="2" t="inlineStr">
        <is>
          <t>130 Kerrs Road</t>
        </is>
      </c>
      <c r="I2298" s="2" t="inlineStr">
        <is>
          <t>Wiri</t>
        </is>
      </c>
      <c r="J2298" s="2" t="inlineStr">
        <is>
          <t>Auckland</t>
        </is>
      </c>
      <c r="K2298" s="2" t="n">
        <v>2104</v>
      </c>
      <c r="L2298" s="2" t="inlineStr">
        <is>
          <t>New Zealand</t>
        </is>
      </c>
      <c r="M2298" s="2" t="inlineStr">
        <is>
          <t>Manurewa</t>
        </is>
      </c>
      <c r="N2298" s="2" t="inlineStr">
        <is>
          <t>New Zealand</t>
        </is>
      </c>
      <c r="P2298" s="2" t="inlineStr">
        <is>
          <t>Operational Control</t>
        </is>
      </c>
      <c r="Q2298" s="2" t="inlineStr">
        <is>
          <t>Operational Control</t>
        </is>
      </c>
      <c r="R2298" s="2" t="inlineStr">
        <is>
          <t>Energy and Utilities (EU)</t>
        </is>
      </c>
      <c r="S2298" s="2" t="inlineStr">
        <is>
          <t>Downer</t>
        </is>
      </c>
      <c r="T2298" s="2" t="n">
        <v>100</v>
      </c>
      <c r="W2298" s="2" t="inlineStr">
        <is>
          <t>Classification</t>
        </is>
      </c>
      <c r="X2298" s="2" t="n">
        <v>-37.0083</v>
      </c>
      <c r="Y2298" s="2" t="n">
        <v>174.8705</v>
      </c>
    </row>
    <row r="2299">
      <c r="A2299" s="2" t="inlineStr">
        <is>
          <t>Downer</t>
        </is>
      </c>
      <c r="B2299" s="2" t="inlineStr">
        <is>
          <t>Transpower Ltd</t>
        </is>
      </c>
      <c r="C2299" s="2" t="inlineStr">
        <is>
          <t>Other</t>
        </is>
      </c>
      <c r="D2299" s="2" t="inlineStr">
        <is>
          <t>L9.DNZJ.10207</t>
        </is>
      </c>
      <c r="E2299" s="2" t="n">
        <v>10207</v>
      </c>
      <c r="G2299" s="2" t="inlineStr">
        <is>
          <t>EU-NZU-10207 - Transpower Ltd</t>
        </is>
      </c>
      <c r="M2299" s="2" t="inlineStr">
        <is>
          <t>Auckland City</t>
        </is>
      </c>
      <c r="N2299" s="2" t="inlineStr">
        <is>
          <t>New Zealand</t>
        </is>
      </c>
      <c r="P2299" s="2" t="inlineStr">
        <is>
          <t>Operational Control</t>
        </is>
      </c>
      <c r="Q2299" s="2" t="inlineStr">
        <is>
          <t>Operational Control</t>
        </is>
      </c>
      <c r="R2299" s="2" t="inlineStr">
        <is>
          <t>Energy and Utilities (EU)</t>
        </is>
      </c>
      <c r="S2299" s="2" t="inlineStr">
        <is>
          <t>Downer</t>
        </is>
      </c>
      <c r="T2299" s="2" t="n">
        <v>100</v>
      </c>
      <c r="W2299" s="2" t="inlineStr">
        <is>
          <t>Classification</t>
        </is>
      </c>
    </row>
    <row r="2300">
      <c r="A2300" s="2" t="inlineStr">
        <is>
          <t>Downer</t>
        </is>
      </c>
      <c r="B2300" s="2" t="inlineStr">
        <is>
          <t>Transpower Projects</t>
        </is>
      </c>
      <c r="C2300" s="2" t="inlineStr">
        <is>
          <t>Other</t>
        </is>
      </c>
      <c r="D2300" s="2" t="inlineStr">
        <is>
          <t>L9.DNZJ.7520</t>
        </is>
      </c>
      <c r="E2300" s="2" t="n">
        <v>7520</v>
      </c>
      <c r="H2300" s="2" t="inlineStr">
        <is>
          <t>130 Kerrs Road</t>
        </is>
      </c>
      <c r="I2300" s="2" t="inlineStr">
        <is>
          <t>Wiri</t>
        </is>
      </c>
      <c r="J2300" s="2" t="inlineStr">
        <is>
          <t>Auckland</t>
        </is>
      </c>
      <c r="K2300" s="2" t="n">
        <v>2104</v>
      </c>
      <c r="L2300" s="2" t="inlineStr">
        <is>
          <t>New Zealand</t>
        </is>
      </c>
      <c r="M2300" s="2" t="inlineStr">
        <is>
          <t>Manurewa</t>
        </is>
      </c>
      <c r="N2300" s="2" t="inlineStr">
        <is>
          <t>New Zealand</t>
        </is>
      </c>
      <c r="P2300" s="2" t="inlineStr">
        <is>
          <t>Operational Control</t>
        </is>
      </c>
      <c r="Q2300" s="2" t="inlineStr">
        <is>
          <t>Operational Control</t>
        </is>
      </c>
      <c r="R2300" s="2" t="inlineStr">
        <is>
          <t>Energy and Utilities (EU)</t>
        </is>
      </c>
      <c r="S2300" s="2" t="inlineStr">
        <is>
          <t>Downer</t>
        </is>
      </c>
      <c r="T2300" s="2" t="n">
        <v>100</v>
      </c>
      <c r="W2300" s="2" t="inlineStr">
        <is>
          <t>Classification</t>
        </is>
      </c>
      <c r="X2300" s="2" t="n">
        <v>-37.0083</v>
      </c>
      <c r="Y2300" s="2" t="n">
        <v>174.8705</v>
      </c>
    </row>
    <row r="2301">
      <c r="A2301" s="2" t="inlineStr">
        <is>
          <t>Downer</t>
        </is>
      </c>
      <c r="B2301" s="2" t="inlineStr">
        <is>
          <t>TRC - Admin</t>
        </is>
      </c>
      <c r="C2301" s="2" t="inlineStr">
        <is>
          <t>Other</t>
        </is>
      </c>
      <c r="D2301" s="2" t="inlineStr">
        <is>
          <t>L9.DNZJ.3101</t>
        </is>
      </c>
      <c r="E2301" s="2" t="n">
        <v>3101</v>
      </c>
      <c r="H2301" s="2" t="inlineStr">
        <is>
          <t>18 Gordon Road</t>
        </is>
      </c>
      <c r="I2301" s="2" t="inlineStr">
        <is>
          <t>Wanaka</t>
        </is>
      </c>
      <c r="J2301" s="2" t="inlineStr">
        <is>
          <t>Wānaka</t>
        </is>
      </c>
      <c r="K2301" s="2" t="n">
        <v>9305</v>
      </c>
      <c r="L2301" s="2" t="inlineStr">
        <is>
          <t>New Zealand</t>
        </is>
      </c>
      <c r="M2301" s="2" t="inlineStr">
        <is>
          <t>Wanaka</t>
        </is>
      </c>
      <c r="N2301" s="2" t="inlineStr">
        <is>
          <t>New Zealand</t>
        </is>
      </c>
      <c r="P2301" s="2" t="inlineStr">
        <is>
          <t>Operational Control</t>
        </is>
      </c>
      <c r="Q2301" s="2" t="inlineStr">
        <is>
          <t>Operational Control</t>
        </is>
      </c>
      <c r="R2301" s="2" t="inlineStr">
        <is>
          <t>Transport &amp; Infrastructure (T&amp;I)</t>
        </is>
      </c>
      <c r="S2301" s="2" t="inlineStr">
        <is>
          <t>Downer</t>
        </is>
      </c>
      <c r="T2301" s="2" t="n">
        <v>100</v>
      </c>
      <c r="W2301" s="2" t="inlineStr">
        <is>
          <t>Classification</t>
        </is>
      </c>
      <c r="X2301" s="2" t="n">
        <v>-44.7038</v>
      </c>
      <c r="Y2301" s="2" t="n">
        <v>169.1442</v>
      </c>
    </row>
    <row r="2302">
      <c r="A2302" s="2" t="inlineStr">
        <is>
          <t>Downer</t>
        </is>
      </c>
      <c r="B2302" s="2" t="inlineStr">
        <is>
          <t>TS UFB</t>
        </is>
      </c>
      <c r="C2302" s="2" t="inlineStr">
        <is>
          <t>Other</t>
        </is>
      </c>
      <c r="D2302" s="2" t="inlineStr">
        <is>
          <t>L9.DNZJ.1924</t>
        </is>
      </c>
      <c r="E2302" s="2" t="n">
        <v>1924</v>
      </c>
      <c r="M2302" s="2" t="inlineStr">
        <is>
          <t>Manurewa</t>
        </is>
      </c>
      <c r="N2302" s="2" t="inlineStr">
        <is>
          <t>New Zealand</t>
        </is>
      </c>
      <c r="P2302" s="2" t="inlineStr">
        <is>
          <t>Operational Control</t>
        </is>
      </c>
      <c r="Q2302" s="2" t="inlineStr">
        <is>
          <t>Operational Control</t>
        </is>
      </c>
      <c r="R2302" s="2" t="inlineStr">
        <is>
          <t>Transport &amp; Infrastructure (T&amp;I)</t>
        </is>
      </c>
      <c r="S2302" s="2" t="inlineStr">
        <is>
          <t>Downer</t>
        </is>
      </c>
      <c r="T2302" s="2" t="n">
        <v>100</v>
      </c>
      <c r="W2302" s="2" t="inlineStr">
        <is>
          <t>Classification</t>
        </is>
      </c>
    </row>
    <row r="2303">
      <c r="A2303" s="2" t="inlineStr">
        <is>
          <t>Downer</t>
        </is>
      </c>
      <c r="B2303" s="2" t="inlineStr">
        <is>
          <t>TSP FM EU Subcontractors</t>
        </is>
      </c>
      <c r="C2303" s="2" t="inlineStr">
        <is>
          <t>Other</t>
        </is>
      </c>
      <c r="D2303" s="2" t="inlineStr">
        <is>
          <t>L9.DUN.89330</t>
        </is>
      </c>
      <c r="E2303" s="2" t="inlineStr">
        <is>
          <t>L9.DUN.89330</t>
        </is>
      </c>
      <c r="M2303" s="2" t="inlineStr">
        <is>
          <t>North Ryde</t>
        </is>
      </c>
      <c r="N2303" s="2" t="inlineStr">
        <is>
          <t>Australia</t>
        </is>
      </c>
      <c r="P2303" s="2" t="inlineStr">
        <is>
          <t>Operational Control</t>
        </is>
      </c>
      <c r="Q2303" s="2" t="inlineStr">
        <is>
          <t>Operational Control</t>
        </is>
      </c>
      <c r="R2303" s="2" t="inlineStr">
        <is>
          <t>Energy and Utilities (EU)</t>
        </is>
      </c>
      <c r="S2303" s="2" t="inlineStr">
        <is>
          <t>Downer</t>
        </is>
      </c>
      <c r="T2303" s="2" t="n">
        <v>100</v>
      </c>
      <c r="W2303" s="2" t="inlineStr">
        <is>
          <t>Classification</t>
        </is>
      </c>
    </row>
    <row r="2304">
      <c r="A2304" s="2" t="inlineStr">
        <is>
          <t>Downer</t>
        </is>
      </c>
      <c r="B2304" s="2" t="inlineStr">
        <is>
          <t>TSP FM NI - Direct</t>
        </is>
      </c>
      <c r="C2304" s="2" t="inlineStr">
        <is>
          <t>Other</t>
        </is>
      </c>
      <c r="D2304" s="2" t="inlineStr">
        <is>
          <t>L9.DUN.80311</t>
        </is>
      </c>
      <c r="E2304" s="2" t="inlineStr">
        <is>
          <t>PG80311</t>
        </is>
      </c>
      <c r="M2304" s="2" t="inlineStr">
        <is>
          <t>Auckland</t>
        </is>
      </c>
      <c r="N2304" s="2" t="inlineStr">
        <is>
          <t>New Zealand</t>
        </is>
      </c>
      <c r="P2304" s="2" t="inlineStr">
        <is>
          <t>Operational Control</t>
        </is>
      </c>
      <c r="Q2304" s="2" t="inlineStr">
        <is>
          <t>Operational Control</t>
        </is>
      </c>
      <c r="R2304" s="2" t="inlineStr">
        <is>
          <t>Energy and Utilities (EU)</t>
        </is>
      </c>
      <c r="S2304" s="2" t="inlineStr">
        <is>
          <t>Downer</t>
        </is>
      </c>
      <c r="T2304" s="2" t="n">
        <v>100</v>
      </c>
      <c r="W2304" s="2" t="inlineStr">
        <is>
          <t>Classification</t>
        </is>
      </c>
    </row>
    <row r="2305">
      <c r="A2305" s="2" t="inlineStr">
        <is>
          <t>Downer</t>
        </is>
      </c>
      <c r="B2305" s="2" t="inlineStr">
        <is>
          <t>TSP FM Projects - Indirect</t>
        </is>
      </c>
      <c r="C2305" s="2" t="inlineStr">
        <is>
          <t>Other</t>
        </is>
      </c>
      <c r="D2305" s="2" t="inlineStr">
        <is>
          <t>L9.DUN.80330</t>
        </is>
      </c>
      <c r="E2305" s="2" t="inlineStr">
        <is>
          <t>PG80330</t>
        </is>
      </c>
      <c r="M2305" s="2" t="inlineStr">
        <is>
          <t>Auckland</t>
        </is>
      </c>
      <c r="N2305" s="2" t="inlineStr">
        <is>
          <t>New Zealand</t>
        </is>
      </c>
      <c r="P2305" s="2" t="inlineStr">
        <is>
          <t>Operational Control</t>
        </is>
      </c>
      <c r="Q2305" s="2" t="inlineStr">
        <is>
          <t>Operational Control</t>
        </is>
      </c>
      <c r="R2305" s="2" t="inlineStr">
        <is>
          <t>Energy and Utilities (EU)</t>
        </is>
      </c>
      <c r="S2305" s="2" t="inlineStr">
        <is>
          <t>Downer</t>
        </is>
      </c>
      <c r="T2305" s="2" t="n">
        <v>100</v>
      </c>
      <c r="W2305" s="2" t="inlineStr">
        <is>
          <t>Classification</t>
        </is>
      </c>
    </row>
    <row r="2306">
      <c r="A2306" s="2" t="inlineStr">
        <is>
          <t>Downer</t>
        </is>
      </c>
      <c r="B2306" s="2" t="inlineStr">
        <is>
          <t>TSP FM Service Delivery</t>
        </is>
      </c>
      <c r="C2306" s="2" t="inlineStr">
        <is>
          <t>Other</t>
        </is>
      </c>
      <c r="D2306" s="2" t="inlineStr">
        <is>
          <t>L9.DUN.89320</t>
        </is>
      </c>
      <c r="E2306" s="2" t="inlineStr">
        <is>
          <t>PG80300</t>
        </is>
      </c>
      <c r="G2306" s="2" t="inlineStr">
        <is>
          <t>As per INX:
UT-NZU-89320-TSP FM SI Jobs
L9.DUN.89320
Region TBC</t>
        </is>
      </c>
      <c r="M2306" s="2" t="inlineStr">
        <is>
          <t>Auckland</t>
        </is>
      </c>
      <c r="N2306" s="2" t="inlineStr">
        <is>
          <t>New Zealand</t>
        </is>
      </c>
      <c r="P2306" s="2" t="inlineStr">
        <is>
          <t>Operational Control</t>
        </is>
      </c>
      <c r="Q2306" s="2" t="inlineStr">
        <is>
          <t>Operational Control</t>
        </is>
      </c>
      <c r="R2306" s="2" t="inlineStr">
        <is>
          <t>Energy and Utilities (EU)</t>
        </is>
      </c>
      <c r="S2306" s="2" t="inlineStr">
        <is>
          <t>Downer</t>
        </is>
      </c>
      <c r="T2306" s="2" t="n">
        <v>100</v>
      </c>
      <c r="W2306" s="2" t="inlineStr">
        <is>
          <t>Classification</t>
        </is>
      </c>
    </row>
    <row r="2307">
      <c r="A2307" s="2" t="inlineStr">
        <is>
          <t>Downer</t>
        </is>
      </c>
      <c r="B2307" s="2" t="inlineStr">
        <is>
          <t>TSP FM SI - Direct</t>
        </is>
      </c>
      <c r="C2307" s="2" t="inlineStr">
        <is>
          <t>Other</t>
        </is>
      </c>
      <c r="D2307" s="2" t="inlineStr">
        <is>
          <t>L9.DUN.80321</t>
        </is>
      </c>
      <c r="E2307" s="2" t="inlineStr">
        <is>
          <t>PG80321</t>
        </is>
      </c>
      <c r="M2307" s="2" t="inlineStr">
        <is>
          <t>Auckland</t>
        </is>
      </c>
      <c r="N2307" s="2" t="inlineStr">
        <is>
          <t>New Zealand</t>
        </is>
      </c>
      <c r="P2307" s="2" t="inlineStr">
        <is>
          <t>Operational Control</t>
        </is>
      </c>
      <c r="Q2307" s="2" t="inlineStr">
        <is>
          <t>Operational Control</t>
        </is>
      </c>
      <c r="R2307" s="2" t="inlineStr">
        <is>
          <t>Energy and Utilities (EU)</t>
        </is>
      </c>
      <c r="S2307" s="2" t="inlineStr">
        <is>
          <t>Downer</t>
        </is>
      </c>
      <c r="T2307" s="2" t="n">
        <v>100</v>
      </c>
      <c r="W2307" s="2" t="inlineStr">
        <is>
          <t>Classification</t>
        </is>
      </c>
    </row>
    <row r="2308">
      <c r="A2308" s="2" t="inlineStr">
        <is>
          <t>Downer</t>
        </is>
      </c>
      <c r="B2308" s="2" t="inlineStr">
        <is>
          <t>TSP Lines EU Subcontractors</t>
        </is>
      </c>
      <c r="C2308" s="2" t="inlineStr">
        <is>
          <t>Other</t>
        </is>
      </c>
      <c r="D2308" s="2" t="inlineStr">
        <is>
          <t>L9.DUN.89120</t>
        </is>
      </c>
      <c r="E2308" s="2" t="inlineStr">
        <is>
          <t>L9.DUN.89120</t>
        </is>
      </c>
      <c r="M2308" s="2" t="inlineStr">
        <is>
          <t>North Ryde</t>
        </is>
      </c>
      <c r="N2308" s="2" t="inlineStr">
        <is>
          <t>Australia</t>
        </is>
      </c>
      <c r="P2308" s="2" t="inlineStr">
        <is>
          <t>Operational Control</t>
        </is>
      </c>
      <c r="Q2308" s="2" t="inlineStr">
        <is>
          <t>Operational Control</t>
        </is>
      </c>
      <c r="R2308" s="2" t="inlineStr">
        <is>
          <t>Energy and Utilities (EU)</t>
        </is>
      </c>
      <c r="S2308" s="2" t="inlineStr">
        <is>
          <t>Downer</t>
        </is>
      </c>
      <c r="T2308" s="2" t="n">
        <v>100</v>
      </c>
      <c r="W2308" s="2" t="inlineStr">
        <is>
          <t>Classification</t>
        </is>
      </c>
    </row>
    <row r="2309">
      <c r="A2309" s="2" t="inlineStr">
        <is>
          <t>Downer</t>
        </is>
      </c>
      <c r="B2309" s="2" t="inlineStr">
        <is>
          <t>TSP Subs - Direct</t>
        </is>
      </c>
      <c r="C2309" s="2" t="inlineStr">
        <is>
          <t>Other</t>
        </is>
      </c>
      <c r="D2309" s="2" t="inlineStr">
        <is>
          <t>L9.DUN.80221</t>
        </is>
      </c>
      <c r="E2309" s="2" t="inlineStr">
        <is>
          <t>PG80221</t>
        </is>
      </c>
      <c r="M2309" s="2" t="inlineStr">
        <is>
          <t>Manurewa</t>
        </is>
      </c>
      <c r="N2309" s="2" t="inlineStr">
        <is>
          <t>New Zealand</t>
        </is>
      </c>
      <c r="P2309" s="2" t="inlineStr">
        <is>
          <t>Operational Control</t>
        </is>
      </c>
      <c r="Q2309" s="2" t="inlineStr">
        <is>
          <t>Operational Control</t>
        </is>
      </c>
      <c r="R2309" s="2" t="inlineStr">
        <is>
          <t>Energy and Utilities (EU)</t>
        </is>
      </c>
      <c r="S2309" s="2" t="inlineStr">
        <is>
          <t>Downer</t>
        </is>
      </c>
      <c r="T2309" s="2" t="n">
        <v>100</v>
      </c>
      <c r="W2309" s="2" t="inlineStr">
        <is>
          <t>Classification</t>
        </is>
      </c>
    </row>
    <row r="2310">
      <c r="A2310" s="2" t="inlineStr">
        <is>
          <t>Downer</t>
        </is>
      </c>
      <c r="B2310" s="2" t="inlineStr">
        <is>
          <t>TSP Subs - Indirect</t>
        </is>
      </c>
      <c r="C2310" s="2" t="inlineStr">
        <is>
          <t>Other</t>
        </is>
      </c>
      <c r="D2310" s="2" t="inlineStr">
        <is>
          <t>L9.DUN.80220</t>
        </is>
      </c>
      <c r="E2310" s="2" t="inlineStr">
        <is>
          <t>PG80220</t>
        </is>
      </c>
      <c r="F2310" s="2" t="n">
        <v>80220</v>
      </c>
      <c r="M2310" s="2" t="inlineStr">
        <is>
          <t>Auckland</t>
        </is>
      </c>
      <c r="N2310" s="2" t="inlineStr">
        <is>
          <t>New Zealand</t>
        </is>
      </c>
      <c r="P2310" s="2" t="inlineStr">
        <is>
          <t>Operational Control</t>
        </is>
      </c>
      <c r="Q2310" s="2" t="inlineStr">
        <is>
          <t>Operational Control</t>
        </is>
      </c>
      <c r="R2310" s="2" t="inlineStr">
        <is>
          <t>Energy and Utilities (EU)</t>
        </is>
      </c>
      <c r="S2310" s="2" t="inlineStr">
        <is>
          <t>Downer</t>
        </is>
      </c>
      <c r="T2310" s="2" t="n">
        <v>100</v>
      </c>
      <c r="W2310" s="2" t="inlineStr">
        <is>
          <t>Classification</t>
        </is>
      </c>
    </row>
    <row r="2311">
      <c r="A2311" s="2" t="inlineStr">
        <is>
          <t>Downer</t>
        </is>
      </c>
      <c r="B2311" s="2" t="inlineStr">
        <is>
          <t>TSP Substations EU Subcontractors</t>
        </is>
      </c>
      <c r="C2311" s="2" t="inlineStr">
        <is>
          <t>Other</t>
        </is>
      </c>
      <c r="D2311" s="2" t="inlineStr">
        <is>
          <t>L9.DUN.89210</t>
        </is>
      </c>
      <c r="E2311" s="2" t="inlineStr">
        <is>
          <t>L9.DUN.89210</t>
        </is>
      </c>
      <c r="M2311" s="2" t="inlineStr">
        <is>
          <t>North Ryde</t>
        </is>
      </c>
      <c r="N2311" s="2" t="inlineStr">
        <is>
          <t>Australia</t>
        </is>
      </c>
      <c r="P2311" s="2" t="inlineStr">
        <is>
          <t>Operational Control</t>
        </is>
      </c>
      <c r="Q2311" s="2" t="inlineStr">
        <is>
          <t>Operational Control</t>
        </is>
      </c>
      <c r="R2311" s="2" t="inlineStr">
        <is>
          <t>Energy and Utilities (EU)</t>
        </is>
      </c>
      <c r="S2311" s="2" t="inlineStr">
        <is>
          <t>Downer</t>
        </is>
      </c>
      <c r="T2311" s="2" t="n">
        <v>100</v>
      </c>
      <c r="W2311" s="2" t="inlineStr">
        <is>
          <t>Classification</t>
        </is>
      </c>
    </row>
    <row r="2312">
      <c r="A2312" s="2" t="inlineStr">
        <is>
          <t>Downer</t>
        </is>
      </c>
      <c r="B2312" s="2" t="inlineStr">
        <is>
          <t>Twizel Depot</t>
        </is>
      </c>
      <c r="C2312" s="2" t="inlineStr">
        <is>
          <t>Other</t>
        </is>
      </c>
      <c r="D2312" s="2" t="inlineStr">
        <is>
          <t>L9.DNZJ.55654</t>
        </is>
      </c>
      <c r="E2312" s="2" t="n">
        <v>55654</v>
      </c>
      <c r="H2312" s="2" t="inlineStr">
        <is>
          <t>23 Hooker Crescent</t>
        </is>
      </c>
      <c r="I2312" s="2" t="inlineStr">
        <is>
          <t>Twizel</t>
        </is>
      </c>
      <c r="J2312" s="2" t="inlineStr">
        <is>
          <t>Twizel</t>
        </is>
      </c>
      <c r="K2312" s="2" t="n">
        <v>7901</v>
      </c>
      <c r="L2312" s="2" t="inlineStr">
        <is>
          <t>New Zealand</t>
        </is>
      </c>
      <c r="M2312" s="2" t="inlineStr">
        <is>
          <t>Omarama</t>
        </is>
      </c>
      <c r="N2312" s="2" t="inlineStr">
        <is>
          <t>New Zealand</t>
        </is>
      </c>
      <c r="P2312" s="2" t="inlineStr">
        <is>
          <t>Operational Control</t>
        </is>
      </c>
      <c r="Q2312" s="2" t="inlineStr">
        <is>
          <t>Operational Control</t>
        </is>
      </c>
      <c r="R2312" s="2" t="inlineStr">
        <is>
          <t>Transport &amp; Infrastructure (T&amp;I)</t>
        </is>
      </c>
      <c r="S2312" s="2" t="inlineStr">
        <is>
          <t>Downer</t>
        </is>
      </c>
      <c r="T2312" s="2" t="n">
        <v>100</v>
      </c>
      <c r="W2312" s="2" t="inlineStr">
        <is>
          <t>Classification</t>
        </is>
      </c>
      <c r="X2312" s="2" t="n">
        <v>-44.266</v>
      </c>
      <c r="Y2312" s="2" t="n">
        <v>170.0894</v>
      </c>
    </row>
    <row r="2313">
      <c r="A2313" s="2" t="inlineStr">
        <is>
          <t>Downer</t>
        </is>
      </c>
      <c r="B2313" s="2" t="inlineStr">
        <is>
          <t>TXL - Davies Creek to Bayview Heights</t>
        </is>
      </c>
      <c r="C2313" s="2" t="inlineStr">
        <is>
          <t>Office</t>
        </is>
      </c>
      <c r="D2313" s="2" t="inlineStr">
        <is>
          <t>L9.J.37240022</t>
        </is>
      </c>
      <c r="H2313" s="2" t="inlineStr">
        <is>
          <t>57 GREENBANK RD</t>
        </is>
      </c>
      <c r="I2313" s="2" t="inlineStr">
        <is>
          <t>AEROGLEN</t>
        </is>
      </c>
      <c r="J2313" s="2" t="inlineStr">
        <is>
          <t>QLD</t>
        </is>
      </c>
      <c r="K2313" s="2" t="n">
        <v>4870</v>
      </c>
      <c r="M2313" s="2" t="inlineStr">
        <is>
          <t>Queensland</t>
        </is>
      </c>
      <c r="N2313" s="2" t="inlineStr">
        <is>
          <t>Australia</t>
        </is>
      </c>
      <c r="P2313" s="2" t="inlineStr">
        <is>
          <t>Operational Control</t>
        </is>
      </c>
      <c r="Q2313" s="2" t="inlineStr">
        <is>
          <t>Operational Control</t>
        </is>
      </c>
      <c r="R2313" s="2" t="inlineStr">
        <is>
          <t>Energy and Utilities (EU)</t>
        </is>
      </c>
      <c r="S2313" s="2" t="inlineStr">
        <is>
          <t>Downer</t>
        </is>
      </c>
      <c r="T2313" s="2" t="n">
        <v>100</v>
      </c>
      <c r="W2313" s="2" t="inlineStr">
        <is>
          <t>Classification</t>
        </is>
      </c>
    </row>
    <row r="2314">
      <c r="A2314" s="2" t="inlineStr">
        <is>
          <t>Downer</t>
        </is>
      </c>
      <c r="B2314" s="2" t="inlineStr">
        <is>
          <t>UAM - Bentleigh East</t>
        </is>
      </c>
      <c r="C2314" s="2" t="inlineStr">
        <is>
          <t>Industrial</t>
        </is>
      </c>
      <c r="D2314" s="2" t="inlineStr">
        <is>
          <t>L9.J.23500001</t>
        </is>
      </c>
      <c r="E2314" s="2" t="n">
        <v>9117</v>
      </c>
      <c r="H2314" s="2" t="inlineStr">
        <is>
          <t>2-4 Murra Street</t>
        </is>
      </c>
      <c r="I2314" s="2" t="inlineStr">
        <is>
          <t>Bentleigh East</t>
        </is>
      </c>
      <c r="J2314" s="2" t="inlineStr">
        <is>
          <t>VIC</t>
        </is>
      </c>
      <c r="K2314" s="2" t="n">
        <v>3165</v>
      </c>
      <c r="M2314" s="2" t="inlineStr">
        <is>
          <t>Victoria</t>
        </is>
      </c>
      <c r="N2314" s="2" t="inlineStr">
        <is>
          <t>Australia</t>
        </is>
      </c>
      <c r="P2314" s="2" t="inlineStr">
        <is>
          <t>Operational Control</t>
        </is>
      </c>
      <c r="Q2314" s="2" t="inlineStr">
        <is>
          <t>Operational Control</t>
        </is>
      </c>
      <c r="R2314" s="2" t="inlineStr">
        <is>
          <t>Energy and Utilities (EU)</t>
        </is>
      </c>
      <c r="S2314" s="2" t="inlineStr">
        <is>
          <t>Downer</t>
        </is>
      </c>
      <c r="T2314" s="2" t="n">
        <v>100</v>
      </c>
      <c r="W2314" s="2" t="inlineStr">
        <is>
          <t>Classification</t>
        </is>
      </c>
      <c r="X2314" s="2" t="n">
        <v>-37.907316</v>
      </c>
      <c r="Y2314" s="2" t="n">
        <v>145.063436</v>
      </c>
      <c r="Z2314" s="2" t="n">
        <v>310</v>
      </c>
    </row>
    <row r="2315">
      <c r="A2315" s="2" t="inlineStr">
        <is>
          <t>Downer</t>
        </is>
      </c>
      <c r="B2315" s="2" t="inlineStr">
        <is>
          <t>UAM - Kirrawee</t>
        </is>
      </c>
      <c r="C2315" s="2" t="inlineStr">
        <is>
          <t>Depot</t>
        </is>
      </c>
      <c r="D2315" s="2" t="inlineStr">
        <is>
          <t>L9.J.229150</t>
        </is>
      </c>
      <c r="E2315" s="2" t="n">
        <v>7041</v>
      </c>
      <c r="H2315" s="2" t="inlineStr">
        <is>
          <t>31 Marshall Road</t>
        </is>
      </c>
      <c r="I2315" s="2" t="inlineStr">
        <is>
          <t>Kirrawee</t>
        </is>
      </c>
      <c r="J2315" s="2" t="inlineStr">
        <is>
          <t>NSW</t>
        </is>
      </c>
      <c r="K2315" s="2" t="n">
        <v>2232</v>
      </c>
      <c r="M2315" s="2" t="inlineStr">
        <is>
          <t>New South Wales</t>
        </is>
      </c>
      <c r="N2315" s="2" t="inlineStr">
        <is>
          <t>Australia</t>
        </is>
      </c>
      <c r="P2315" s="2" t="inlineStr">
        <is>
          <t>Operational Control</t>
        </is>
      </c>
      <c r="Q2315" s="2" t="inlineStr">
        <is>
          <t>Operational Control</t>
        </is>
      </c>
      <c r="R2315" s="2" t="inlineStr">
        <is>
          <t>Energy and Utilities (EU)</t>
        </is>
      </c>
      <c r="S2315" s="2" t="inlineStr">
        <is>
          <t>Downer</t>
        </is>
      </c>
      <c r="T2315" s="2" t="n">
        <v>100</v>
      </c>
      <c r="W2315" s="2" t="inlineStr">
        <is>
          <t>Classification</t>
        </is>
      </c>
      <c r="Z2315" s="2" t="n">
        <v>310</v>
      </c>
    </row>
    <row r="2316">
      <c r="A2316" s="2" t="inlineStr">
        <is>
          <t>Downer</t>
        </is>
      </c>
      <c r="B2316" s="2" t="inlineStr">
        <is>
          <t>UAM - Maryborough</t>
        </is>
      </c>
      <c r="C2316" s="2" t="inlineStr">
        <is>
          <t>Infrastructure</t>
        </is>
      </c>
      <c r="D2316" s="2" t="inlineStr">
        <is>
          <t>L9.S.13001212</t>
        </is>
      </c>
      <c r="E2316" s="2" t="n">
        <v>13001212</v>
      </c>
      <c r="G2316" s="2" t="inlineStr">
        <is>
          <t>EU-13001212 - UAM National # Overhead</t>
        </is>
      </c>
      <c r="M2316" s="2" t="inlineStr">
        <is>
          <t>Queensland</t>
        </is>
      </c>
      <c r="N2316" s="2" t="inlineStr">
        <is>
          <t>Australia</t>
        </is>
      </c>
      <c r="P2316" s="2" t="inlineStr">
        <is>
          <t>Operational Control</t>
        </is>
      </c>
      <c r="Q2316" s="2" t="inlineStr">
        <is>
          <t>Operational Control</t>
        </is>
      </c>
      <c r="R2316" s="2" t="inlineStr">
        <is>
          <t>Energy and Utilities (EU)</t>
        </is>
      </c>
      <c r="S2316" s="2" t="inlineStr">
        <is>
          <t>Downer</t>
        </is>
      </c>
      <c r="T2316" s="2" t="n">
        <v>100</v>
      </c>
      <c r="W2316" s="2" t="inlineStr">
        <is>
          <t>Classification</t>
        </is>
      </c>
    </row>
    <row r="2317">
      <c r="A2317" s="2" t="inlineStr">
        <is>
          <t>Downer</t>
        </is>
      </c>
      <c r="B2317" s="2" t="inlineStr">
        <is>
          <t>UAM - Oakleigh</t>
        </is>
      </c>
      <c r="C2317" s="2" t="inlineStr">
        <is>
          <t>Branch Office</t>
        </is>
      </c>
      <c r="D2317" s="2" t="inlineStr">
        <is>
          <t>L9.J.24170130</t>
        </is>
      </c>
      <c r="E2317" s="2" t="n">
        <v>9119</v>
      </c>
      <c r="H2317" s="2" t="inlineStr">
        <is>
          <t>2-16 Edward Street</t>
        </is>
      </c>
      <c r="I2317" s="2" t="inlineStr">
        <is>
          <t>Oakleigh</t>
        </is>
      </c>
      <c r="J2317" s="2" t="inlineStr">
        <is>
          <t>VIC</t>
        </is>
      </c>
      <c r="K2317" s="2" t="n">
        <v>3166</v>
      </c>
      <c r="M2317" s="2" t="inlineStr">
        <is>
          <t>Victoria</t>
        </is>
      </c>
      <c r="N2317" s="2" t="inlineStr">
        <is>
          <t>Australia</t>
        </is>
      </c>
      <c r="P2317" s="2" t="inlineStr">
        <is>
          <t>Operational Control</t>
        </is>
      </c>
      <c r="Q2317" s="2" t="inlineStr">
        <is>
          <t>Operational Control</t>
        </is>
      </c>
      <c r="R2317" s="2" t="inlineStr">
        <is>
          <t>Energy and Utilities (EU)</t>
        </is>
      </c>
      <c r="S2317" s="2" t="inlineStr">
        <is>
          <t>Downer</t>
        </is>
      </c>
      <c r="T2317" s="2" t="n">
        <v>100</v>
      </c>
      <c r="W2317" s="2" t="inlineStr">
        <is>
          <t>Classification</t>
        </is>
      </c>
      <c r="X2317" s="2" t="n">
        <v>-37.905166</v>
      </c>
      <c r="Y2317" s="2" t="n">
        <v>145.096346</v>
      </c>
      <c r="Z2317" s="2" t="n">
        <v>310</v>
      </c>
    </row>
    <row r="2318">
      <c r="A2318" s="2" t="inlineStr">
        <is>
          <t>Downer</t>
        </is>
      </c>
      <c r="B2318" s="2" t="inlineStr">
        <is>
          <t>UASG - Australia EU Subcontractors</t>
        </is>
      </c>
      <c r="C2318" s="2" t="inlineStr">
        <is>
          <t>Other</t>
        </is>
      </c>
      <c r="D2318" s="2" t="inlineStr">
        <is>
          <t>L9.J.24180048</t>
        </is>
      </c>
      <c r="E2318" s="2" t="inlineStr">
        <is>
          <t>L9.J.24180048</t>
        </is>
      </c>
      <c r="M2318" s="2" t="inlineStr">
        <is>
          <t>North Ryde</t>
        </is>
      </c>
      <c r="N2318" s="2" t="inlineStr">
        <is>
          <t>Australia</t>
        </is>
      </c>
      <c r="P2318" s="2" t="inlineStr">
        <is>
          <t>Operational Control</t>
        </is>
      </c>
      <c r="Q2318" s="2" t="inlineStr">
        <is>
          <t>Operational Control</t>
        </is>
      </c>
      <c r="R2318" s="2" t="inlineStr">
        <is>
          <t>Energy and Utilities (EU)</t>
        </is>
      </c>
      <c r="S2318" s="2" t="inlineStr">
        <is>
          <t>Downer</t>
        </is>
      </c>
      <c r="T2318" s="2" t="n">
        <v>100</v>
      </c>
      <c r="W2318" s="2" t="inlineStr">
        <is>
          <t>Classification</t>
        </is>
      </c>
    </row>
    <row r="2319">
      <c r="A2319" s="2" t="inlineStr">
        <is>
          <t>Downer</t>
        </is>
      </c>
      <c r="B2319" s="2" t="inlineStr">
        <is>
          <t>UFB Remediation EU Subcontractors</t>
        </is>
      </c>
      <c r="C2319" s="2" t="inlineStr">
        <is>
          <t>Other</t>
        </is>
      </c>
      <c r="D2319" s="2" t="inlineStr">
        <is>
          <t>L9.DNZ.810.20129</t>
        </is>
      </c>
      <c r="E2319" s="2" t="inlineStr">
        <is>
          <t>L9.DNZ.810.20129</t>
        </is>
      </c>
      <c r="F2319" s="2" t="inlineStr">
        <is>
          <t>L9.DNZ.810.20129</t>
        </is>
      </c>
      <c r="M2319" s="2" t="inlineStr">
        <is>
          <t>North Ryde</t>
        </is>
      </c>
      <c r="N2319" s="2" t="inlineStr">
        <is>
          <t>Australia</t>
        </is>
      </c>
      <c r="P2319" s="2" t="inlineStr">
        <is>
          <t>Operational Control</t>
        </is>
      </c>
      <c r="Q2319" s="2" t="inlineStr">
        <is>
          <t>Operational Control</t>
        </is>
      </c>
      <c r="R2319" s="2" t="inlineStr">
        <is>
          <t>Energy and Utilities (EU)</t>
        </is>
      </c>
      <c r="S2319" s="2" t="inlineStr">
        <is>
          <t>Downer</t>
        </is>
      </c>
      <c r="T2319" s="2" t="n">
        <v>100</v>
      </c>
      <c r="W2319" s="2" t="inlineStr">
        <is>
          <t>Classification</t>
        </is>
      </c>
    </row>
    <row r="2320">
      <c r="A2320" s="2" t="inlineStr">
        <is>
          <t>Downer</t>
        </is>
      </c>
      <c r="B2320" s="2" t="inlineStr">
        <is>
          <t>UFB Services Hub</t>
        </is>
      </c>
      <c r="C2320" s="2" t="inlineStr">
        <is>
          <t>Other</t>
        </is>
      </c>
      <c r="D2320" s="2" t="inlineStr">
        <is>
          <t>L9.DNZ.810.10.032</t>
        </is>
      </c>
      <c r="E2320" s="2" t="n">
        <v>10032</v>
      </c>
      <c r="G2320" s="2" t="n">
        <v>10.032</v>
      </c>
      <c r="H2320" s="2" t="inlineStr">
        <is>
          <t>15 John Seddon Drive</t>
        </is>
      </c>
      <c r="I2320" s="2" t="inlineStr">
        <is>
          <t>Elsdon</t>
        </is>
      </c>
      <c r="J2320" s="2" t="inlineStr">
        <is>
          <t>Porirua</t>
        </is>
      </c>
      <c r="K2320" s="2" t="n">
        <v>5022</v>
      </c>
      <c r="L2320" s="2" t="inlineStr">
        <is>
          <t>New Zealand</t>
        </is>
      </c>
      <c r="M2320" s="2" t="inlineStr">
        <is>
          <t>Porirua</t>
        </is>
      </c>
      <c r="N2320" s="2" t="inlineStr">
        <is>
          <t>New Zealand</t>
        </is>
      </c>
      <c r="P2320" s="2" t="inlineStr">
        <is>
          <t>Operational Control</t>
        </is>
      </c>
      <c r="Q2320" s="2" t="inlineStr">
        <is>
          <t>Operational Control</t>
        </is>
      </c>
      <c r="R2320" s="2" t="inlineStr">
        <is>
          <t>Energy and Utilities (EU)</t>
        </is>
      </c>
      <c r="S2320" s="2" t="inlineStr">
        <is>
          <t>Downer</t>
        </is>
      </c>
      <c r="T2320" s="2" t="n">
        <v>100</v>
      </c>
      <c r="W2320" s="2" t="inlineStr">
        <is>
          <t>Classification</t>
        </is>
      </c>
      <c r="X2320" s="2" t="n">
        <v>-41.1364</v>
      </c>
      <c r="Y2320" s="2" t="n">
        <v>174.8342</v>
      </c>
    </row>
    <row r="2321">
      <c r="A2321" s="2" t="inlineStr">
        <is>
          <t>Downer</t>
        </is>
      </c>
      <c r="B2321" s="2" t="inlineStr">
        <is>
          <t>UFB Wellington Traffic</t>
        </is>
      </c>
      <c r="C2321" s="2" t="inlineStr">
        <is>
          <t>Other</t>
        </is>
      </c>
      <c r="D2321" s="2" t="inlineStr">
        <is>
          <t>L9.DNZ.810.10.218</t>
        </is>
      </c>
      <c r="E2321" s="2" t="n">
        <v>10218</v>
      </c>
      <c r="G2321" s="2" t="n">
        <v>10.218</v>
      </c>
      <c r="H2321" s="2" t="inlineStr">
        <is>
          <t>130 Kerrs Road</t>
        </is>
      </c>
      <c r="I2321" s="2" t="inlineStr">
        <is>
          <t>Wiri</t>
        </is>
      </c>
      <c r="J2321" s="2" t="inlineStr">
        <is>
          <t>Auckland</t>
        </is>
      </c>
      <c r="K2321" s="2" t="n">
        <v>2104</v>
      </c>
      <c r="L2321" s="2" t="inlineStr">
        <is>
          <t>New Zealand</t>
        </is>
      </c>
      <c r="M2321" s="2" t="inlineStr">
        <is>
          <t>Manurewa</t>
        </is>
      </c>
      <c r="N2321" s="2" t="inlineStr">
        <is>
          <t>New Zealand</t>
        </is>
      </c>
      <c r="P2321" s="2" t="inlineStr">
        <is>
          <t>Operational Control</t>
        </is>
      </c>
      <c r="Q2321" s="2" t="inlineStr">
        <is>
          <t>Operational Control</t>
        </is>
      </c>
      <c r="R2321" s="2" t="inlineStr">
        <is>
          <t>Energy and Utilities (EU)</t>
        </is>
      </c>
      <c r="S2321" s="2" t="inlineStr">
        <is>
          <t>Downer</t>
        </is>
      </c>
      <c r="T2321" s="2" t="n">
        <v>100</v>
      </c>
      <c r="W2321" s="2" t="inlineStr">
        <is>
          <t>Classification</t>
        </is>
      </c>
      <c r="X2321" s="2" t="n">
        <v>-37.0083</v>
      </c>
      <c r="Y2321" s="2" t="n">
        <v>174.8705</v>
      </c>
    </row>
    <row r="2322">
      <c r="A2322" s="2" t="inlineStr">
        <is>
          <t>Downer</t>
        </is>
      </c>
      <c r="B2322" s="2" t="inlineStr">
        <is>
          <t>UFB-C Leadership</t>
        </is>
      </c>
      <c r="C2322" s="2" t="inlineStr">
        <is>
          <t>Other</t>
        </is>
      </c>
      <c r="D2322" s="2" t="inlineStr">
        <is>
          <t>L9.DNZ.810.10.080</t>
        </is>
      </c>
      <c r="E2322" s="2" t="n">
        <v>10080</v>
      </c>
      <c r="G2322" s="2" t="n">
        <v>10.08</v>
      </c>
      <c r="H2322" s="2" t="inlineStr">
        <is>
          <t>130 Kerrs Road</t>
        </is>
      </c>
      <c r="I2322" s="2" t="inlineStr">
        <is>
          <t>Wiri</t>
        </is>
      </c>
      <c r="J2322" s="2" t="inlineStr">
        <is>
          <t>Auckland</t>
        </is>
      </c>
      <c r="K2322" s="2" t="n">
        <v>2104</v>
      </c>
      <c r="L2322" s="2" t="inlineStr">
        <is>
          <t>New Zealand</t>
        </is>
      </c>
      <c r="M2322" s="2" t="inlineStr">
        <is>
          <t>Manurewa</t>
        </is>
      </c>
      <c r="N2322" s="2" t="inlineStr">
        <is>
          <t>New Zealand</t>
        </is>
      </c>
      <c r="P2322" s="2" t="inlineStr">
        <is>
          <t>Operational Control</t>
        </is>
      </c>
      <c r="Q2322" s="2" t="inlineStr">
        <is>
          <t>Operational Control</t>
        </is>
      </c>
      <c r="R2322" s="2" t="inlineStr">
        <is>
          <t>Energy and Utilities (EU)</t>
        </is>
      </c>
      <c r="S2322" s="2" t="inlineStr">
        <is>
          <t>Downer</t>
        </is>
      </c>
      <c r="T2322" s="2" t="n">
        <v>100</v>
      </c>
      <c r="W2322" s="2" t="inlineStr">
        <is>
          <t>Classification</t>
        </is>
      </c>
      <c r="X2322" s="2" t="n">
        <v>-37.0083</v>
      </c>
      <c r="Y2322" s="2" t="n">
        <v>174.8705</v>
      </c>
    </row>
    <row r="2323">
      <c r="A2323" s="2" t="inlineStr">
        <is>
          <t>Downer</t>
        </is>
      </c>
      <c r="B2323" s="2" t="inlineStr">
        <is>
          <t>Ultimate Load</t>
        </is>
      </c>
      <c r="C2323" s="2" t="inlineStr">
        <is>
          <t>Site</t>
        </is>
      </c>
      <c r="D2323" s="2" t="inlineStr">
        <is>
          <t>L9.J.24135003</t>
        </is>
      </c>
      <c r="E2323" s="2" t="n">
        <v>24135003</v>
      </c>
      <c r="M2323" s="2" t="inlineStr">
        <is>
          <t>Altona North</t>
        </is>
      </c>
      <c r="N2323" s="2" t="inlineStr">
        <is>
          <t>Australia</t>
        </is>
      </c>
      <c r="P2323" s="2" t="inlineStr">
        <is>
          <t>Operational Control</t>
        </is>
      </c>
      <c r="Q2323" s="2" t="inlineStr">
        <is>
          <t>Operational Control</t>
        </is>
      </c>
      <c r="R2323" s="2" t="inlineStr">
        <is>
          <t>Energy and Utilities (EU)</t>
        </is>
      </c>
      <c r="S2323" s="2" t="inlineStr">
        <is>
          <t>Downer</t>
        </is>
      </c>
      <c r="T2323" s="2" t="n">
        <v>100</v>
      </c>
      <c r="U2323" s="11" t="n">
        <v>45474</v>
      </c>
      <c r="W2323" s="2" t="inlineStr">
        <is>
          <t>Classification</t>
        </is>
      </c>
    </row>
    <row r="2324">
      <c r="A2324" s="2" t="inlineStr">
        <is>
          <t>Downer</t>
        </is>
      </c>
      <c r="B2324" s="2" t="inlineStr">
        <is>
          <t>Unallocated Accounts</t>
        </is>
      </c>
      <c r="C2324" s="2" t="inlineStr">
        <is>
          <t>Other</t>
        </is>
      </c>
      <c r="D2324" s="2" t="inlineStr">
        <is>
          <t>Unallocated Accounts</t>
        </is>
      </c>
      <c r="E2324" s="2" t="inlineStr">
        <is>
          <t>Unallocated Accounts</t>
        </is>
      </c>
      <c r="M2324" s="2" t="inlineStr">
        <is>
          <t>New South Wales</t>
        </is>
      </c>
      <c r="N2324" s="2" t="inlineStr">
        <is>
          <t>Australia</t>
        </is>
      </c>
      <c r="P2324" s="2" t="inlineStr">
        <is>
          <t>Operational Control</t>
        </is>
      </c>
      <c r="Q2324" s="2" t="inlineStr">
        <is>
          <t>Operational Control</t>
        </is>
      </c>
      <c r="R2324" s="2" t="inlineStr">
        <is>
          <t>Energy and Utilities (EU)</t>
        </is>
      </c>
      <c r="S2324" s="2" t="inlineStr">
        <is>
          <t>Downer</t>
        </is>
      </c>
      <c r="T2324" s="2" t="n">
        <v>100</v>
      </c>
      <c r="W2324" s="2" t="inlineStr">
        <is>
          <t>Classification</t>
        </is>
      </c>
    </row>
    <row r="2325">
      <c r="A2325" s="2" t="inlineStr">
        <is>
          <t>Downer</t>
        </is>
      </c>
      <c r="B2325" s="2" t="inlineStr">
        <is>
          <t>Unallocated Cleanaway</t>
        </is>
      </c>
      <c r="C2325" s="2" t="inlineStr">
        <is>
          <t>Other</t>
        </is>
      </c>
      <c r="M2325" s="2" t="inlineStr">
        <is>
          <t>New South Wales</t>
        </is>
      </c>
      <c r="N2325" s="2" t="inlineStr">
        <is>
          <t>Australia</t>
        </is>
      </c>
      <c r="P2325" s="2" t="inlineStr">
        <is>
          <t>Operational Control</t>
        </is>
      </c>
      <c r="Q2325" s="2" t="inlineStr">
        <is>
          <t>Operational Control</t>
        </is>
      </c>
      <c r="R2325" s="2" t="inlineStr">
        <is>
          <t>Corporate</t>
        </is>
      </c>
      <c r="S2325" s="2" t="inlineStr">
        <is>
          <t>Downer</t>
        </is>
      </c>
      <c r="T2325" s="2" t="n">
        <v>100</v>
      </c>
      <c r="W2325" s="2" t="inlineStr">
        <is>
          <t>Classification</t>
        </is>
      </c>
    </row>
    <row r="2326">
      <c r="A2326" s="2" t="inlineStr">
        <is>
          <t>Downer</t>
        </is>
      </c>
      <c r="B2326" s="2" t="inlineStr">
        <is>
          <t>Unallocated Plant OSM</t>
        </is>
      </c>
      <c r="C2326" s="2" t="inlineStr">
        <is>
          <t>Other</t>
        </is>
      </c>
      <c r="D2326" s="2" t="inlineStr">
        <is>
          <t>L9.DNZJ.66210</t>
        </is>
      </c>
      <c r="E2326" s="2" t="n">
        <v>66210</v>
      </c>
      <c r="H2326" s="2" t="inlineStr">
        <is>
          <t>130 Kerrs Road</t>
        </is>
      </c>
      <c r="I2326" s="2" t="inlineStr">
        <is>
          <t>Wiri</t>
        </is>
      </c>
      <c r="J2326" s="2" t="inlineStr">
        <is>
          <t>Auckland</t>
        </is>
      </c>
      <c r="K2326" s="2" t="n">
        <v>2104</v>
      </c>
      <c r="L2326" s="2" t="inlineStr">
        <is>
          <t>New Zealand</t>
        </is>
      </c>
      <c r="M2326" s="2" t="inlineStr">
        <is>
          <t>Manurewa</t>
        </is>
      </c>
      <c r="N2326" s="2" t="inlineStr">
        <is>
          <t>New Zealand</t>
        </is>
      </c>
      <c r="P2326" s="2" t="inlineStr">
        <is>
          <t>Operational Control</t>
        </is>
      </c>
      <c r="Q2326" s="2" t="inlineStr">
        <is>
          <t>Operational Control</t>
        </is>
      </c>
      <c r="R2326" s="2" t="inlineStr">
        <is>
          <t>Transport &amp; Infrastructure (T&amp;I)</t>
        </is>
      </c>
      <c r="S2326" s="2" t="inlineStr">
        <is>
          <t>Downer</t>
        </is>
      </c>
      <c r="T2326" s="2" t="n">
        <v>100</v>
      </c>
      <c r="W2326" s="2" t="inlineStr">
        <is>
          <t>Classification</t>
        </is>
      </c>
      <c r="X2326" s="2" t="n">
        <v>-37.0083</v>
      </c>
      <c r="Y2326" s="2" t="n">
        <v>174.8705</v>
      </c>
    </row>
    <row r="2327">
      <c r="A2327" s="2" t="inlineStr">
        <is>
          <t>Downer</t>
        </is>
      </c>
      <c r="B2327" s="2" t="inlineStr">
        <is>
          <t>Unanderra</t>
        </is>
      </c>
      <c r="C2327" s="2" t="inlineStr">
        <is>
          <t>Branch Office</t>
        </is>
      </c>
      <c r="D2327" s="2" t="inlineStr">
        <is>
          <t>L9.ENG.360.14899</t>
        </is>
      </c>
      <c r="E2327" s="2" t="inlineStr">
        <is>
          <t>COR-10920015</t>
        </is>
      </c>
      <c r="H2327" s="2" t="inlineStr">
        <is>
          <t>Unit 3A, 3 Investigator Drive</t>
        </is>
      </c>
      <c r="I2327" s="2" t="inlineStr">
        <is>
          <t>Unanderra</t>
        </is>
      </c>
      <c r="J2327" s="2" t="inlineStr">
        <is>
          <t>NSW</t>
        </is>
      </c>
      <c r="K2327" s="2" t="n">
        <v>2526</v>
      </c>
      <c r="L2327" s="2" t="inlineStr">
        <is>
          <t>Australia</t>
        </is>
      </c>
      <c r="M2327" s="2" t="inlineStr">
        <is>
          <t>New South Wales</t>
        </is>
      </c>
      <c r="N2327" s="2" t="inlineStr">
        <is>
          <t>Australia</t>
        </is>
      </c>
      <c r="P2327" s="2" t="inlineStr">
        <is>
          <t>Operational Control</t>
        </is>
      </c>
      <c r="Q2327" s="2" t="inlineStr">
        <is>
          <t>Operational Control</t>
        </is>
      </c>
      <c r="R2327" s="2" t="inlineStr">
        <is>
          <t>Energy and Utilities (EU)</t>
        </is>
      </c>
      <c r="S2327" s="2" t="inlineStr">
        <is>
          <t>Downer</t>
        </is>
      </c>
      <c r="T2327" s="2" t="n">
        <v>100</v>
      </c>
      <c r="W2327" s="2" t="inlineStr">
        <is>
          <t>Classification</t>
        </is>
      </c>
      <c r="X2327" s="2" t="n">
        <v>-34.458</v>
      </c>
      <c r="Y2327" s="2" t="n">
        <v>150.848</v>
      </c>
      <c r="Z2327" s="2" t="n">
        <v>310</v>
      </c>
      <c r="AA2327" s="11" t="n">
        <v>42917</v>
      </c>
    </row>
    <row r="2328">
      <c r="A2328" s="2" t="inlineStr">
        <is>
          <t>Downer</t>
        </is>
      </c>
      <c r="B2328" s="2" t="inlineStr">
        <is>
          <t>Underdale</t>
        </is>
      </c>
      <c r="C2328" s="2" t="inlineStr">
        <is>
          <t>Depot</t>
        </is>
      </c>
      <c r="D2328" s="2" t="inlineStr">
        <is>
          <t>L9.J.17051326</t>
        </is>
      </c>
      <c r="E2328" s="2" t="n">
        <v>17051326</v>
      </c>
      <c r="H2328" s="2" t="inlineStr">
        <is>
          <t>115 Sherriff Street</t>
        </is>
      </c>
      <c r="I2328" s="2" t="inlineStr">
        <is>
          <t>Underdale</t>
        </is>
      </c>
      <c r="J2328" s="2" t="inlineStr">
        <is>
          <t>SA</t>
        </is>
      </c>
      <c r="K2328" s="2" t="n">
        <v>5032</v>
      </c>
      <c r="L2328" s="2" t="inlineStr">
        <is>
          <t>Australia</t>
        </is>
      </c>
      <c r="M2328" s="2" t="inlineStr">
        <is>
          <t>South Australia</t>
        </is>
      </c>
      <c r="N2328" s="2" t="inlineStr">
        <is>
          <t>Australia</t>
        </is>
      </c>
      <c r="P2328" s="2" t="inlineStr">
        <is>
          <t>Operational Control</t>
        </is>
      </c>
      <c r="Q2328" s="2" t="inlineStr">
        <is>
          <t>Operational Control</t>
        </is>
      </c>
      <c r="R2328" s="2" t="inlineStr">
        <is>
          <t>Transport &amp; Infrastructure (T&amp;I)</t>
        </is>
      </c>
      <c r="S2328" s="2" t="inlineStr">
        <is>
          <t>Downer</t>
        </is>
      </c>
      <c r="T2328" s="2" t="n">
        <v>100</v>
      </c>
      <c r="W2328" s="2" t="inlineStr">
        <is>
          <t>Classification</t>
        </is>
      </c>
      <c r="X2328" s="2" t="n">
        <v>-34.916</v>
      </c>
      <c r="Y2328" s="2" t="n">
        <v>138.551</v>
      </c>
      <c r="Z2328" s="2" t="n">
        <v>170</v>
      </c>
    </row>
    <row r="2329">
      <c r="A2329" s="2" t="inlineStr">
        <is>
          <t>Downer</t>
        </is>
      </c>
      <c r="B2329" s="2" t="inlineStr">
        <is>
          <t>Underdale - Adelaide (SA)</t>
        </is>
      </c>
      <c r="C2329" s="2" t="inlineStr">
        <is>
          <t>Head Office</t>
        </is>
      </c>
      <c r="D2329" s="2" t="inlineStr">
        <is>
          <t>L9.J.10920029</t>
        </is>
      </c>
      <c r="E2329" s="2" t="n">
        <v>1021</v>
      </c>
      <c r="G2329" s="2" t="inlineStr">
        <is>
          <t>Head office SA.  Spotless and Downer.</t>
        </is>
      </c>
      <c r="H2329" s="2" t="inlineStr">
        <is>
          <t>Underdale</t>
        </is>
      </c>
      <c r="I2329" s="2" t="inlineStr">
        <is>
          <t>Adelaide</t>
        </is>
      </c>
      <c r="J2329" s="2" t="inlineStr">
        <is>
          <t>SA</t>
        </is>
      </c>
      <c r="K2329" s="2" t="n">
        <v>5032</v>
      </c>
      <c r="M2329" s="2" t="inlineStr">
        <is>
          <t>Adelaide</t>
        </is>
      </c>
      <c r="N2329" s="2" t="inlineStr">
        <is>
          <t>Australia</t>
        </is>
      </c>
      <c r="P2329" s="2" t="inlineStr">
        <is>
          <t>Operational Control</t>
        </is>
      </c>
      <c r="Q2329" s="2" t="inlineStr">
        <is>
          <t>Operational Control</t>
        </is>
      </c>
      <c r="R2329" s="2" t="inlineStr">
        <is>
          <t>Corporate</t>
        </is>
      </c>
      <c r="S2329" s="2" t="inlineStr">
        <is>
          <t>Downer</t>
        </is>
      </c>
      <c r="T2329" s="2" t="n">
        <v>100</v>
      </c>
      <c r="W2329" s="2" t="inlineStr">
        <is>
          <t>Classification</t>
        </is>
      </c>
      <c r="Z2329" s="2" t="n">
        <v>729</v>
      </c>
    </row>
    <row r="2330">
      <c r="A2330" s="2" t="inlineStr">
        <is>
          <t>Downer</t>
        </is>
      </c>
      <c r="B2330" s="2" t="inlineStr">
        <is>
          <t>Underground Locators</t>
        </is>
      </c>
      <c r="C2330" s="2" t="inlineStr">
        <is>
          <t>Services</t>
        </is>
      </c>
      <c r="D2330" s="2" t="inlineStr">
        <is>
          <t>L9.DNZJ.80102</t>
        </is>
      </c>
      <c r="E2330" s="2" t="n">
        <v>80102</v>
      </c>
      <c r="G2330" s="2" t="inlineStr">
        <is>
          <t>EU-NZU-80102-Underground Locators</t>
        </is>
      </c>
      <c r="M2330" s="2" t="inlineStr">
        <is>
          <t>Lower Hutt</t>
        </is>
      </c>
      <c r="N2330" s="2" t="inlineStr">
        <is>
          <t>New Zealand</t>
        </is>
      </c>
      <c r="P2330" s="2" t="inlineStr">
        <is>
          <t>Operational Control</t>
        </is>
      </c>
      <c r="Q2330" s="2" t="inlineStr">
        <is>
          <t>Operational Control</t>
        </is>
      </c>
      <c r="R2330" s="2" t="inlineStr">
        <is>
          <t>Energy and Utilities (EU)</t>
        </is>
      </c>
      <c r="S2330" s="2" t="inlineStr">
        <is>
          <t>Downer</t>
        </is>
      </c>
      <c r="T2330" s="2" t="n">
        <v>100</v>
      </c>
      <c r="W2330" s="2" t="inlineStr">
        <is>
          <t>Classification</t>
        </is>
      </c>
    </row>
    <row r="2331">
      <c r="A2331" s="2" t="inlineStr">
        <is>
          <t>Downer</t>
        </is>
      </c>
      <c r="B2331" s="2" t="inlineStr">
        <is>
          <t>Unitywater - Brendale STP Clarifiers 2 &amp; 3</t>
        </is>
      </c>
      <c r="C2331" s="2" t="inlineStr">
        <is>
          <t>Construction Site</t>
        </is>
      </c>
      <c r="D2331" s="2" t="inlineStr">
        <is>
          <t>L9.J.24160445</t>
        </is>
      </c>
      <c r="E2331" s="2" t="inlineStr">
        <is>
          <t>L9.J.24160445</t>
        </is>
      </c>
      <c r="M2331" s="2" t="inlineStr">
        <is>
          <t>Queensland</t>
        </is>
      </c>
      <c r="N2331" s="2" t="inlineStr">
        <is>
          <t>Australia</t>
        </is>
      </c>
      <c r="P2331" s="2" t="inlineStr">
        <is>
          <t>Operational Control</t>
        </is>
      </c>
      <c r="Q2331" s="2" t="inlineStr">
        <is>
          <t>Operational Control</t>
        </is>
      </c>
      <c r="R2331" s="2" t="inlineStr">
        <is>
          <t>Energy and Utilities (EU)</t>
        </is>
      </c>
      <c r="S2331" s="2" t="inlineStr">
        <is>
          <t>Downer</t>
        </is>
      </c>
      <c r="T2331" s="2" t="n">
        <v>100</v>
      </c>
      <c r="U2331" s="11" t="n">
        <v>45748</v>
      </c>
      <c r="W2331" s="2" t="inlineStr">
        <is>
          <t>Classification</t>
        </is>
      </c>
    </row>
    <row r="2332">
      <c r="A2332" s="2" t="inlineStr">
        <is>
          <t>Downer</t>
        </is>
      </c>
      <c r="B2332" s="2" t="inlineStr">
        <is>
          <t>Unitywater - Caboolture West SGM</t>
        </is>
      </c>
      <c r="C2332" s="2" t="inlineStr">
        <is>
          <t>Construction Site</t>
        </is>
      </c>
      <c r="D2332" s="2" t="inlineStr">
        <is>
          <t>L9.J.24160478</t>
        </is>
      </c>
      <c r="E2332" s="2" t="inlineStr">
        <is>
          <t>L9.J.24160478</t>
        </is>
      </c>
      <c r="M2332" s="2" t="inlineStr">
        <is>
          <t>Queensland</t>
        </is>
      </c>
      <c r="N2332" s="2" t="inlineStr">
        <is>
          <t>Australia</t>
        </is>
      </c>
      <c r="P2332" s="2" t="inlineStr">
        <is>
          <t>Operational Control</t>
        </is>
      </c>
      <c r="Q2332" s="2" t="inlineStr">
        <is>
          <t>Operational Control</t>
        </is>
      </c>
      <c r="R2332" s="2" t="inlineStr">
        <is>
          <t>Energy and Utilities (EU)</t>
        </is>
      </c>
      <c r="S2332" s="2" t="inlineStr">
        <is>
          <t>Downer</t>
        </is>
      </c>
      <c r="T2332" s="2" t="n">
        <v>100</v>
      </c>
      <c r="U2332" s="11" t="n">
        <v>45717</v>
      </c>
      <c r="W2332" s="2" t="inlineStr">
        <is>
          <t>Classification</t>
        </is>
      </c>
    </row>
    <row r="2333">
      <c r="A2333" s="2" t="inlineStr">
        <is>
          <t>Downer</t>
        </is>
      </c>
      <c r="B2333" s="2" t="inlineStr">
        <is>
          <t>Unitywater - CCF</t>
        </is>
      </c>
      <c r="C2333" s="2" t="inlineStr">
        <is>
          <t>Construction Site</t>
        </is>
      </c>
      <c r="D2333" s="2" t="inlineStr">
        <is>
          <t>L9.J.24160405</t>
        </is>
      </c>
      <c r="E2333" s="2" t="inlineStr">
        <is>
          <t>L9.J.24160405</t>
        </is>
      </c>
      <c r="M2333" s="2" t="inlineStr">
        <is>
          <t>Queensland</t>
        </is>
      </c>
      <c r="N2333" s="2" t="inlineStr">
        <is>
          <t>Australia</t>
        </is>
      </c>
      <c r="P2333" s="2" t="inlineStr">
        <is>
          <t>Operational Control</t>
        </is>
      </c>
      <c r="Q2333" s="2" t="inlineStr">
        <is>
          <t>Operational Control</t>
        </is>
      </c>
      <c r="R2333" s="2" t="inlineStr">
        <is>
          <t>Energy and Utilities (EU)</t>
        </is>
      </c>
      <c r="S2333" s="2" t="inlineStr">
        <is>
          <t>Downer</t>
        </is>
      </c>
      <c r="T2333" s="2" t="n">
        <v>100</v>
      </c>
      <c r="U2333" s="11" t="n">
        <v>45748</v>
      </c>
      <c r="W2333" s="2" t="inlineStr">
        <is>
          <t>Classification</t>
        </is>
      </c>
    </row>
    <row r="2334">
      <c r="A2334" s="2" t="inlineStr">
        <is>
          <t>Downer</t>
        </is>
      </c>
      <c r="B2334" s="2" t="inlineStr">
        <is>
          <t>Unitywater - Coach and Grogan</t>
        </is>
      </c>
      <c r="C2334" s="2" t="inlineStr">
        <is>
          <t>Construction Site</t>
        </is>
      </c>
      <c r="D2334" s="2" t="inlineStr">
        <is>
          <t>L9.J.24160443</t>
        </is>
      </c>
      <c r="E2334" s="2" t="inlineStr">
        <is>
          <t>L9.J.24160443</t>
        </is>
      </c>
      <c r="M2334" s="2" t="inlineStr">
        <is>
          <t>Queensland</t>
        </is>
      </c>
      <c r="N2334" s="2" t="inlineStr">
        <is>
          <t>Australia</t>
        </is>
      </c>
      <c r="P2334" s="2" t="inlineStr">
        <is>
          <t>Operational Control</t>
        </is>
      </c>
      <c r="Q2334" s="2" t="inlineStr">
        <is>
          <t>Operational Control</t>
        </is>
      </c>
      <c r="R2334" s="2" t="inlineStr">
        <is>
          <t>Energy and Utilities (EU)</t>
        </is>
      </c>
      <c r="S2334" s="2" t="inlineStr">
        <is>
          <t>Downer</t>
        </is>
      </c>
      <c r="T2334" s="2" t="n">
        <v>100</v>
      </c>
      <c r="U2334" s="11" t="n">
        <v>45717</v>
      </c>
      <c r="W2334" s="2" t="inlineStr">
        <is>
          <t>Classification</t>
        </is>
      </c>
    </row>
    <row r="2335">
      <c r="A2335" s="2" t="inlineStr">
        <is>
          <t>Downer</t>
        </is>
      </c>
      <c r="B2335" s="2" t="inlineStr">
        <is>
          <t>Unitywater - Kawana Pig Launch and Retrieval</t>
        </is>
      </c>
      <c r="C2335" s="2" t="inlineStr">
        <is>
          <t>Construction Site</t>
        </is>
      </c>
      <c r="D2335" s="2" t="inlineStr">
        <is>
          <t>L9.J.24160522</t>
        </is>
      </c>
      <c r="E2335" s="2" t="inlineStr">
        <is>
          <t>L9.J.24160522</t>
        </is>
      </c>
      <c r="M2335" s="2" t="inlineStr">
        <is>
          <t>Queensland</t>
        </is>
      </c>
      <c r="N2335" s="2" t="inlineStr">
        <is>
          <t>Australia</t>
        </is>
      </c>
      <c r="P2335" s="2" t="inlineStr">
        <is>
          <t>Operational Control</t>
        </is>
      </c>
      <c r="Q2335" s="2" t="inlineStr">
        <is>
          <t>Operational Control</t>
        </is>
      </c>
      <c r="R2335" s="2" t="inlineStr">
        <is>
          <t>Energy and Utilities (EU)</t>
        </is>
      </c>
      <c r="S2335" s="2" t="inlineStr">
        <is>
          <t>Downer</t>
        </is>
      </c>
      <c r="T2335" s="2" t="n">
        <v>100</v>
      </c>
      <c r="U2335" s="11" t="n">
        <v>45748</v>
      </c>
      <c r="W2335" s="2" t="inlineStr">
        <is>
          <t>Classification</t>
        </is>
      </c>
    </row>
    <row r="2336">
      <c r="A2336" s="2" t="inlineStr">
        <is>
          <t>Downer</t>
        </is>
      </c>
      <c r="B2336" s="2" t="inlineStr">
        <is>
          <t>Unitywater - Landsborough STP</t>
        </is>
      </c>
      <c r="C2336" s="2" t="inlineStr">
        <is>
          <t>Construction Site</t>
        </is>
      </c>
      <c r="D2336" s="2" t="inlineStr">
        <is>
          <t>L9.J.24160444</t>
        </is>
      </c>
      <c r="E2336" s="2" t="inlineStr">
        <is>
          <t>L9.J.24160444</t>
        </is>
      </c>
      <c r="M2336" s="2" t="inlineStr">
        <is>
          <t>Queensland</t>
        </is>
      </c>
      <c r="N2336" s="2" t="inlineStr">
        <is>
          <t>Australia</t>
        </is>
      </c>
      <c r="P2336" s="2" t="inlineStr">
        <is>
          <t>Operational Control</t>
        </is>
      </c>
      <c r="Q2336" s="2" t="inlineStr">
        <is>
          <t>Operational Control</t>
        </is>
      </c>
      <c r="R2336" s="2" t="inlineStr">
        <is>
          <t>Energy and Utilities (EU)</t>
        </is>
      </c>
      <c r="S2336" s="2" t="inlineStr">
        <is>
          <t>Downer</t>
        </is>
      </c>
      <c r="T2336" s="2" t="n">
        <v>100</v>
      </c>
      <c r="U2336" s="11" t="n">
        <v>45717</v>
      </c>
      <c r="W2336" s="2" t="inlineStr">
        <is>
          <t>Classification</t>
        </is>
      </c>
    </row>
    <row r="2337">
      <c r="A2337" s="2" t="inlineStr">
        <is>
          <t>Downer</t>
        </is>
      </c>
      <c r="B2337" s="2" t="inlineStr">
        <is>
          <t>Unitywater - Maleny STP Membrane Replacement</t>
        </is>
      </c>
      <c r="C2337" s="2" t="inlineStr">
        <is>
          <t>Construction Site</t>
        </is>
      </c>
      <c r="D2337" s="2" t="inlineStr">
        <is>
          <t>L9.J.24160446</t>
        </is>
      </c>
      <c r="E2337" s="2" t="inlineStr">
        <is>
          <t>L9.J.24160446</t>
        </is>
      </c>
      <c r="M2337" s="2" t="inlineStr">
        <is>
          <t>Queensland</t>
        </is>
      </c>
      <c r="N2337" s="2" t="inlineStr">
        <is>
          <t>Australia</t>
        </is>
      </c>
      <c r="P2337" s="2" t="inlineStr">
        <is>
          <t>Operational Control</t>
        </is>
      </c>
      <c r="Q2337" s="2" t="inlineStr">
        <is>
          <t>Operational Control</t>
        </is>
      </c>
      <c r="R2337" s="2" t="inlineStr">
        <is>
          <t>Energy and Utilities (EU)</t>
        </is>
      </c>
      <c r="S2337" s="2" t="inlineStr">
        <is>
          <t>Downer</t>
        </is>
      </c>
      <c r="T2337" s="2" t="n">
        <v>100</v>
      </c>
      <c r="U2337" s="11" t="n">
        <v>45748</v>
      </c>
      <c r="W2337" s="2" t="inlineStr">
        <is>
          <t>Classification</t>
        </is>
      </c>
    </row>
    <row r="2338">
      <c r="A2338" s="2" t="inlineStr">
        <is>
          <t>Downer</t>
        </is>
      </c>
      <c r="B2338" s="2" t="inlineStr">
        <is>
          <t>Unitywater - Network South Construct Only (Bribie, Beaufort, Rickman, North Quay)</t>
        </is>
      </c>
      <c r="C2338" s="2" t="inlineStr">
        <is>
          <t>Construction Site</t>
        </is>
      </c>
      <c r="D2338" s="2" t="inlineStr">
        <is>
          <t>L9.J.24160480</t>
        </is>
      </c>
      <c r="E2338" s="2" t="inlineStr">
        <is>
          <t>L9.J.24160480</t>
        </is>
      </c>
      <c r="M2338" s="2" t="inlineStr">
        <is>
          <t>Queensland</t>
        </is>
      </c>
      <c r="N2338" s="2" t="inlineStr">
        <is>
          <t>Australia</t>
        </is>
      </c>
      <c r="P2338" s="2" t="inlineStr">
        <is>
          <t>Operational Control</t>
        </is>
      </c>
      <c r="Q2338" s="2" t="inlineStr">
        <is>
          <t>Operational Control</t>
        </is>
      </c>
      <c r="R2338" s="2" t="inlineStr">
        <is>
          <t>Energy and Utilities (EU)</t>
        </is>
      </c>
      <c r="S2338" s="2" t="inlineStr">
        <is>
          <t>Downer</t>
        </is>
      </c>
      <c r="T2338" s="2" t="n">
        <v>100</v>
      </c>
      <c r="U2338" s="11" t="n">
        <v>45748</v>
      </c>
      <c r="W2338" s="2" t="inlineStr">
        <is>
          <t>Classification</t>
        </is>
      </c>
    </row>
    <row r="2339">
      <c r="A2339" s="2" t="inlineStr">
        <is>
          <t>Downer</t>
        </is>
      </c>
      <c r="B2339" s="2" t="inlineStr">
        <is>
          <t>Unitywater - Noosa STP BR</t>
        </is>
      </c>
      <c r="C2339" s="2" t="inlineStr">
        <is>
          <t>Construction Site</t>
        </is>
      </c>
      <c r="D2339" s="2" t="inlineStr">
        <is>
          <t>L9.J.24160411</t>
        </is>
      </c>
      <c r="E2339" s="2" t="inlineStr">
        <is>
          <t>L9.J.24160411</t>
        </is>
      </c>
      <c r="M2339" s="2" t="inlineStr">
        <is>
          <t>Queensland</t>
        </is>
      </c>
      <c r="N2339" s="2" t="inlineStr">
        <is>
          <t>Australia</t>
        </is>
      </c>
      <c r="P2339" s="2" t="inlineStr">
        <is>
          <t>Operational Control</t>
        </is>
      </c>
      <c r="Q2339" s="2" t="inlineStr">
        <is>
          <t>Operational Control</t>
        </is>
      </c>
      <c r="R2339" s="2" t="inlineStr">
        <is>
          <t>Energy and Utilities (EU)</t>
        </is>
      </c>
      <c r="S2339" s="2" t="inlineStr">
        <is>
          <t>Downer</t>
        </is>
      </c>
      <c r="T2339" s="2" t="n">
        <v>100</v>
      </c>
      <c r="U2339" s="11" t="n">
        <v>45748</v>
      </c>
      <c r="W2339" s="2" t="inlineStr">
        <is>
          <t>Classification</t>
        </is>
      </c>
    </row>
    <row r="2340">
      <c r="A2340" s="2" t="inlineStr">
        <is>
          <t>Downer</t>
        </is>
      </c>
      <c r="B2340" s="2" t="inlineStr">
        <is>
          <t>Unitywater - Pine Valley WSP</t>
        </is>
      </c>
      <c r="C2340" s="2" t="inlineStr">
        <is>
          <t>Construction Site</t>
        </is>
      </c>
      <c r="D2340" s="2" t="inlineStr">
        <is>
          <t>L9.J.24160404</t>
        </is>
      </c>
      <c r="E2340" s="2" t="inlineStr">
        <is>
          <t>L9.J.24160404</t>
        </is>
      </c>
      <c r="M2340" s="2" t="inlineStr">
        <is>
          <t>Queensland</t>
        </is>
      </c>
      <c r="N2340" s="2" t="inlineStr">
        <is>
          <t>Australia</t>
        </is>
      </c>
      <c r="P2340" s="2" t="inlineStr">
        <is>
          <t>Operational Control</t>
        </is>
      </c>
      <c r="Q2340" s="2" t="inlineStr">
        <is>
          <t>Operational Control</t>
        </is>
      </c>
      <c r="R2340" s="2" t="inlineStr">
        <is>
          <t>Energy and Utilities (EU)</t>
        </is>
      </c>
      <c r="S2340" s="2" t="inlineStr">
        <is>
          <t>Downer</t>
        </is>
      </c>
      <c r="T2340" s="2" t="n">
        <v>100</v>
      </c>
      <c r="U2340" s="11" t="n">
        <v>45717</v>
      </c>
      <c r="W2340" s="2" t="inlineStr">
        <is>
          <t>Classification</t>
        </is>
      </c>
    </row>
    <row r="2341">
      <c r="A2341" s="2" t="inlineStr">
        <is>
          <t>Downer</t>
        </is>
      </c>
      <c r="B2341" s="2" t="inlineStr">
        <is>
          <t>Unmapped AU Fuel Cards</t>
        </is>
      </c>
      <c r="C2341" s="2" t="inlineStr">
        <is>
          <t>Fleet Fuel</t>
        </is>
      </c>
      <c r="D2341" s="2" t="inlineStr">
        <is>
          <t>L9.J.109102</t>
        </is>
      </c>
      <c r="E2341" s="2" t="inlineStr">
        <is>
          <t>L9.J.109102</t>
        </is>
      </c>
      <c r="M2341" s="2" t="inlineStr">
        <is>
          <t>North Ryde</t>
        </is>
      </c>
      <c r="N2341" s="2" t="inlineStr">
        <is>
          <t>Australia</t>
        </is>
      </c>
      <c r="P2341" s="2" t="inlineStr">
        <is>
          <t>Operational Control</t>
        </is>
      </c>
      <c r="Q2341" s="2" t="inlineStr">
        <is>
          <t>Operational Control</t>
        </is>
      </c>
      <c r="R2341" s="2" t="inlineStr">
        <is>
          <t>Corporate</t>
        </is>
      </c>
      <c r="S2341" s="2" t="inlineStr">
        <is>
          <t>Downer</t>
        </is>
      </c>
      <c r="T2341" s="2" t="n">
        <v>100</v>
      </c>
      <c r="W2341" s="2" t="inlineStr">
        <is>
          <t>Classification</t>
        </is>
      </c>
    </row>
    <row r="2342">
      <c r="A2342" s="2" t="inlineStr">
        <is>
          <t>Downer</t>
        </is>
      </c>
      <c r="B2342" s="2" t="inlineStr">
        <is>
          <t>Unmapped EU Subcontractors Q1FY26</t>
        </is>
      </c>
      <c r="C2342" s="2" t="inlineStr">
        <is>
          <t>Administration</t>
        </is>
      </c>
      <c r="D2342" s="2" t="inlineStr">
        <is>
          <t>L9.S.16014560</t>
        </is>
      </c>
      <c r="E2342" s="2" t="inlineStr">
        <is>
          <t>L9.S.16014560</t>
        </is>
      </c>
      <c r="M2342" s="2" t="inlineStr">
        <is>
          <t>North Ryde</t>
        </is>
      </c>
      <c r="N2342" s="2" t="inlineStr">
        <is>
          <t>Australia</t>
        </is>
      </c>
      <c r="P2342" s="2" t="inlineStr">
        <is>
          <t>Operational Control</t>
        </is>
      </c>
      <c r="Q2342" s="2" t="inlineStr">
        <is>
          <t>Operational Control</t>
        </is>
      </c>
      <c r="R2342" s="2" t="inlineStr">
        <is>
          <t>Energy and Utilities (EU)</t>
        </is>
      </c>
      <c r="S2342" s="2" t="inlineStr">
        <is>
          <t>Downer</t>
        </is>
      </c>
      <c r="T2342" s="2" t="n">
        <v>100</v>
      </c>
      <c r="W2342" s="2" t="inlineStr">
        <is>
          <t>Classification</t>
        </is>
      </c>
    </row>
    <row r="2343">
      <c r="A2343" s="2" t="inlineStr">
        <is>
          <t>Downer</t>
        </is>
      </c>
      <c r="B2343" s="2" t="inlineStr">
        <is>
          <t>Unmapped JobPac</t>
        </is>
      </c>
      <c r="C2343" s="2" t="inlineStr">
        <is>
          <t>Other</t>
        </is>
      </c>
      <c r="D2343" s="2" t="inlineStr">
        <is>
          <t>L9.COR.120.20.810</t>
        </is>
      </c>
      <c r="E2343" s="2" t="inlineStr">
        <is>
          <t>L9.COR.120.20.810</t>
        </is>
      </c>
      <c r="G2343" s="2" t="inlineStr">
        <is>
          <t>FY24</t>
        </is>
      </c>
      <c r="M2343" s="2" t="inlineStr">
        <is>
          <t>Auckland</t>
        </is>
      </c>
      <c r="N2343" s="2" t="inlineStr">
        <is>
          <t>New Zealand</t>
        </is>
      </c>
      <c r="P2343" s="2" t="inlineStr">
        <is>
          <t>Operational Control</t>
        </is>
      </c>
      <c r="Q2343" s="2" t="inlineStr">
        <is>
          <t>Operational Control</t>
        </is>
      </c>
      <c r="R2343" s="2" t="inlineStr">
        <is>
          <t>Transport &amp; Infrastructure (T&amp;I)</t>
        </is>
      </c>
      <c r="S2343" s="2" t="inlineStr">
        <is>
          <t>Downer</t>
        </is>
      </c>
      <c r="T2343" s="2" t="n">
        <v>100</v>
      </c>
      <c r="W2343" s="2" t="inlineStr">
        <is>
          <t>Classification</t>
        </is>
      </c>
    </row>
    <row r="2344">
      <c r="A2344" s="2" t="inlineStr">
        <is>
          <t>Downer</t>
        </is>
      </c>
      <c r="B2344" s="2" t="inlineStr">
        <is>
          <t>Unmapped NZ Corporate</t>
        </is>
      </c>
      <c r="C2344" s="2" t="inlineStr">
        <is>
          <t>Other</t>
        </is>
      </c>
      <c r="E2344" s="2" t="inlineStr">
        <is>
          <t>Unmapped NZ Corporate</t>
        </is>
      </c>
      <c r="M2344" s="2" t="inlineStr">
        <is>
          <t>Auckland</t>
        </is>
      </c>
      <c r="N2344" s="2" t="inlineStr">
        <is>
          <t>New Zealand</t>
        </is>
      </c>
      <c r="P2344" s="2" t="inlineStr">
        <is>
          <t>Operational Control</t>
        </is>
      </c>
      <c r="Q2344" s="2" t="inlineStr">
        <is>
          <t>Operational Control</t>
        </is>
      </c>
      <c r="R2344" s="2" t="inlineStr">
        <is>
          <t>Energy and Utilities (EU)</t>
        </is>
      </c>
      <c r="S2344" s="2" t="inlineStr">
        <is>
          <t>Downer</t>
        </is>
      </c>
      <c r="T2344" s="2" t="n">
        <v>100</v>
      </c>
      <c r="W2344" s="2" t="inlineStr">
        <is>
          <t>Classification</t>
        </is>
      </c>
    </row>
    <row r="2345">
      <c r="A2345" s="2" t="inlineStr">
        <is>
          <t>Downer</t>
        </is>
      </c>
      <c r="B2345" s="2" t="inlineStr">
        <is>
          <t>Unmapped Roads Subcontractor Data</t>
        </is>
      </c>
      <c r="C2345" s="2" t="inlineStr">
        <is>
          <t>Other</t>
        </is>
      </c>
      <c r="D2345" s="2" t="inlineStr">
        <is>
          <t>L9.J.17012559</t>
        </is>
      </c>
      <c r="E2345" s="2" t="inlineStr">
        <is>
          <t>not found</t>
        </is>
      </c>
      <c r="M2345" s="2" t="inlineStr">
        <is>
          <t>North Ryde</t>
        </is>
      </c>
      <c r="N2345" s="2" t="inlineStr">
        <is>
          <t>Australia</t>
        </is>
      </c>
      <c r="P2345" s="2" t="inlineStr">
        <is>
          <t>Operational Control</t>
        </is>
      </c>
      <c r="Q2345" s="2" t="inlineStr">
        <is>
          <t>Operational Control</t>
        </is>
      </c>
      <c r="R2345" s="2" t="inlineStr">
        <is>
          <t>Transport &amp; Infrastructure (T&amp;I)</t>
        </is>
      </c>
      <c r="S2345" s="2" t="inlineStr">
        <is>
          <t>Downer</t>
        </is>
      </c>
      <c r="T2345" s="2" t="n">
        <v>100</v>
      </c>
      <c r="W2345" s="2" t="inlineStr">
        <is>
          <t>Classification</t>
        </is>
      </c>
    </row>
    <row r="2346">
      <c r="A2346" s="2" t="inlineStr">
        <is>
          <t>Downer</t>
        </is>
      </c>
      <c r="B2346" s="2" t="inlineStr">
        <is>
          <t>Unmapped_Bulk</t>
        </is>
      </c>
      <c r="C2346" s="2" t="inlineStr">
        <is>
          <t>Other</t>
        </is>
      </c>
      <c r="D2346" s="2" t="inlineStr">
        <is>
          <t>L9.DNZJ.9001</t>
        </is>
      </c>
      <c r="E2346" s="2" t="inlineStr">
        <is>
          <t>Unmapped_Bulk</t>
        </is>
      </c>
      <c r="H2346" s="2" t="inlineStr">
        <is>
          <t>130 Kerrs Road</t>
        </is>
      </c>
      <c r="I2346" s="2" t="inlineStr">
        <is>
          <t>Wiri</t>
        </is>
      </c>
      <c r="J2346" s="2" t="inlineStr">
        <is>
          <t>Auckland</t>
        </is>
      </c>
      <c r="K2346" s="2" t="n">
        <v>2104</v>
      </c>
      <c r="L2346" s="2" t="inlineStr">
        <is>
          <t>New Zealand</t>
        </is>
      </c>
      <c r="M2346" s="2" t="inlineStr">
        <is>
          <t>Manurewa</t>
        </is>
      </c>
      <c r="N2346" s="2" t="inlineStr">
        <is>
          <t>New Zealand</t>
        </is>
      </c>
      <c r="P2346" s="2" t="inlineStr">
        <is>
          <t>Operational Control</t>
        </is>
      </c>
      <c r="Q2346" s="2" t="inlineStr">
        <is>
          <t>Operational Control</t>
        </is>
      </c>
      <c r="R2346" s="2" t="inlineStr">
        <is>
          <t>Transport &amp; Infrastructure (T&amp;I)</t>
        </is>
      </c>
      <c r="S2346" s="2" t="inlineStr">
        <is>
          <t>Downer</t>
        </is>
      </c>
      <c r="T2346" s="2" t="n">
        <v>100</v>
      </c>
      <c r="W2346" s="2" t="inlineStr">
        <is>
          <t>Classification</t>
        </is>
      </c>
      <c r="X2346" s="2" t="n">
        <v>-37.0083</v>
      </c>
      <c r="Y2346" s="2" t="n">
        <v>174.8705</v>
      </c>
    </row>
    <row r="2347">
      <c r="A2347" s="2" t="inlineStr">
        <is>
          <t>Downer</t>
        </is>
      </c>
      <c r="B2347" s="2" t="inlineStr">
        <is>
          <t>Unmapped_General</t>
        </is>
      </c>
      <c r="C2347" s="2" t="inlineStr">
        <is>
          <t>Other</t>
        </is>
      </c>
      <c r="D2347" s="2" t="inlineStr">
        <is>
          <t>L9.DNZJ.9001</t>
        </is>
      </c>
      <c r="E2347" s="2" t="inlineStr">
        <is>
          <t>Unmapped_General</t>
        </is>
      </c>
      <c r="H2347" s="2" t="inlineStr">
        <is>
          <t>130 Kerrs Road</t>
        </is>
      </c>
      <c r="I2347" s="2" t="inlineStr">
        <is>
          <t>Wiri</t>
        </is>
      </c>
      <c r="J2347" s="2" t="inlineStr">
        <is>
          <t>Auckland</t>
        </is>
      </c>
      <c r="K2347" s="2" t="n">
        <v>2104</v>
      </c>
      <c r="L2347" s="2" t="inlineStr">
        <is>
          <t>New Zealand</t>
        </is>
      </c>
      <c r="M2347" s="2" t="inlineStr">
        <is>
          <t>Manurewa</t>
        </is>
      </c>
      <c r="N2347" s="2" t="inlineStr">
        <is>
          <t>New Zealand</t>
        </is>
      </c>
      <c r="P2347" s="2" t="inlineStr">
        <is>
          <t>Operational Control</t>
        </is>
      </c>
      <c r="Q2347" s="2" t="inlineStr">
        <is>
          <t>Operational Control</t>
        </is>
      </c>
      <c r="R2347" s="2" t="inlineStr">
        <is>
          <t>Corporate</t>
        </is>
      </c>
      <c r="S2347" s="2" t="inlineStr">
        <is>
          <t>Downer</t>
        </is>
      </c>
      <c r="T2347" s="2" t="n">
        <v>100</v>
      </c>
      <c r="W2347" s="2" t="inlineStr">
        <is>
          <t>Classification</t>
        </is>
      </c>
      <c r="X2347" s="2" t="n">
        <v>-37.0083</v>
      </c>
      <c r="Y2347" s="2" t="n">
        <v>174.8705</v>
      </c>
    </row>
    <row r="2348">
      <c r="A2348" s="2" t="inlineStr">
        <is>
          <t>Downer</t>
        </is>
      </c>
      <c r="B2348" s="2" t="inlineStr">
        <is>
          <t>Unmapped_Minitanker</t>
        </is>
      </c>
      <c r="C2348" s="2" t="inlineStr">
        <is>
          <t>Other</t>
        </is>
      </c>
      <c r="D2348" s="2" t="inlineStr">
        <is>
          <t>L9.DNZJ.9001</t>
        </is>
      </c>
      <c r="E2348" s="2" t="inlineStr">
        <is>
          <t>Unmapped_Minitanker</t>
        </is>
      </c>
      <c r="H2348" s="2" t="inlineStr">
        <is>
          <t>130 Kerrs Road</t>
        </is>
      </c>
      <c r="I2348" s="2" t="inlineStr">
        <is>
          <t>Wiri</t>
        </is>
      </c>
      <c r="J2348" s="2" t="inlineStr">
        <is>
          <t>Auckland</t>
        </is>
      </c>
      <c r="K2348" s="2" t="n">
        <v>2104</v>
      </c>
      <c r="L2348" s="2" t="inlineStr">
        <is>
          <t>New Zealand</t>
        </is>
      </c>
      <c r="M2348" s="2" t="inlineStr">
        <is>
          <t>Manurewa</t>
        </is>
      </c>
      <c r="N2348" s="2" t="inlineStr">
        <is>
          <t>New Zealand</t>
        </is>
      </c>
      <c r="P2348" s="2" t="inlineStr">
        <is>
          <t>Operational Control</t>
        </is>
      </c>
      <c r="Q2348" s="2" t="inlineStr">
        <is>
          <t>Operational Control</t>
        </is>
      </c>
      <c r="R2348" s="2" t="inlineStr">
        <is>
          <t>Transport &amp; Infrastructure (T&amp;I)</t>
        </is>
      </c>
      <c r="S2348" s="2" t="inlineStr">
        <is>
          <t>Downer</t>
        </is>
      </c>
      <c r="T2348" s="2" t="n">
        <v>100</v>
      </c>
      <c r="W2348" s="2" t="inlineStr">
        <is>
          <t>Classification</t>
        </is>
      </c>
      <c r="X2348" s="2" t="n">
        <v>-37.0083</v>
      </c>
      <c r="Y2348" s="2" t="n">
        <v>174.8705</v>
      </c>
    </row>
    <row r="2349">
      <c r="A2349" s="2" t="inlineStr">
        <is>
          <t>Downer</t>
        </is>
      </c>
      <c r="B2349" s="2" t="inlineStr">
        <is>
          <t>UOA RWC B310</t>
        </is>
      </c>
      <c r="C2349" s="2" t="inlineStr">
        <is>
          <t>Other</t>
        </is>
      </c>
      <c r="D2349" s="2" t="inlineStr">
        <is>
          <t>L9.DNZ.HA0392</t>
        </is>
      </c>
      <c r="E2349" s="2" t="inlineStr">
        <is>
          <t>JP_HA0392</t>
        </is>
      </c>
      <c r="H2349" s="2" t="inlineStr">
        <is>
          <t>130 Kerrs Road</t>
        </is>
      </c>
      <c r="I2349" s="2" t="inlineStr">
        <is>
          <t>Wiri</t>
        </is>
      </c>
      <c r="J2349" s="2" t="inlineStr">
        <is>
          <t>Auckland</t>
        </is>
      </c>
      <c r="K2349" s="2" t="n">
        <v>2104</v>
      </c>
      <c r="L2349" s="2" t="inlineStr">
        <is>
          <t>New Zealand</t>
        </is>
      </c>
      <c r="M2349" s="2" t="inlineStr">
        <is>
          <t>Manurewa</t>
        </is>
      </c>
      <c r="N2349" s="2" t="inlineStr">
        <is>
          <t>New Zealand</t>
        </is>
      </c>
      <c r="P2349" s="2" t="inlineStr">
        <is>
          <t>Operational Control</t>
        </is>
      </c>
      <c r="Q2349" s="2" t="inlineStr">
        <is>
          <t>Operational Control</t>
        </is>
      </c>
      <c r="R2349" s="2" t="inlineStr">
        <is>
          <t>Transport &amp; Infrastructure (T&amp;I)</t>
        </is>
      </c>
      <c r="S2349" s="2" t="inlineStr">
        <is>
          <t>Downer</t>
        </is>
      </c>
      <c r="T2349" s="2" t="n">
        <v>100</v>
      </c>
      <c r="W2349" s="2" t="inlineStr">
        <is>
          <t>Classification</t>
        </is>
      </c>
      <c r="X2349" s="2" t="n">
        <v>-37.0083</v>
      </c>
      <c r="Y2349" s="2" t="n">
        <v>174.8705</v>
      </c>
    </row>
    <row r="2350">
      <c r="A2350" s="2" t="inlineStr">
        <is>
          <t>Downer</t>
        </is>
      </c>
      <c r="B2350" s="2" t="inlineStr">
        <is>
          <t>UOW - THE PA</t>
        </is>
      </c>
      <c r="C2350" s="2" t="inlineStr">
        <is>
          <t>Project</t>
        </is>
      </c>
      <c r="D2350" s="2" t="inlineStr">
        <is>
          <t>L9.DNZ.HC0344</t>
        </is>
      </c>
      <c r="E2350" s="2" t="inlineStr">
        <is>
          <t>JP_HC0344</t>
        </is>
      </c>
      <c r="M2350" s="2" t="inlineStr">
        <is>
          <t>Hamilton</t>
        </is>
      </c>
      <c r="N2350" s="2" t="inlineStr">
        <is>
          <t>New Zealand</t>
        </is>
      </c>
      <c r="P2350" s="2" t="inlineStr">
        <is>
          <t>Operational Control</t>
        </is>
      </c>
      <c r="Q2350" s="2" t="inlineStr">
        <is>
          <t>Operational Control</t>
        </is>
      </c>
      <c r="R2350" s="2" t="inlineStr">
        <is>
          <t>Transport &amp; Infrastructure (T&amp;I)</t>
        </is>
      </c>
      <c r="S2350" s="2" t="inlineStr">
        <is>
          <t>Downer</t>
        </is>
      </c>
      <c r="T2350" s="2" t="n">
        <v>100</v>
      </c>
      <c r="W2350" s="2" t="inlineStr">
        <is>
          <t>Classification</t>
        </is>
      </c>
    </row>
    <row r="2351">
      <c r="A2351" s="2" t="inlineStr">
        <is>
          <t>Downer</t>
        </is>
      </c>
      <c r="B2351" s="2" t="inlineStr">
        <is>
          <t>Upper North Design</t>
        </is>
      </c>
      <c r="C2351" s="2" t="inlineStr">
        <is>
          <t>Other</t>
        </is>
      </c>
      <c r="D2351" s="2" t="inlineStr">
        <is>
          <t>L9.DNZ.810.10.085</t>
        </is>
      </c>
      <c r="E2351" s="2" t="n">
        <v>10085</v>
      </c>
      <c r="M2351" s="2" t="inlineStr">
        <is>
          <t>Manurewa</t>
        </is>
      </c>
      <c r="N2351" s="2" t="inlineStr">
        <is>
          <t>New Zealand</t>
        </is>
      </c>
      <c r="P2351" s="2" t="inlineStr">
        <is>
          <t>Operational Control</t>
        </is>
      </c>
      <c r="Q2351" s="2" t="inlineStr">
        <is>
          <t>Operational Control</t>
        </is>
      </c>
      <c r="R2351" s="2" t="inlineStr">
        <is>
          <t>Energy and Utilities (EU)</t>
        </is>
      </c>
      <c r="S2351" s="2" t="inlineStr">
        <is>
          <t>Downer</t>
        </is>
      </c>
      <c r="T2351" s="2" t="n">
        <v>100</v>
      </c>
      <c r="W2351" s="2" t="inlineStr">
        <is>
          <t>Classification</t>
        </is>
      </c>
    </row>
    <row r="2352">
      <c r="A2352" s="2" t="inlineStr">
        <is>
          <t>Downer</t>
        </is>
      </c>
      <c r="B2352" s="2" t="inlineStr">
        <is>
          <t>USL Direct Cost</t>
        </is>
      </c>
      <c r="C2352" s="2" t="inlineStr">
        <is>
          <t>Other</t>
        </is>
      </c>
      <c r="D2352" s="2" t="inlineStr">
        <is>
          <t>L9.DNZ.USL</t>
        </is>
      </c>
      <c r="E2352" s="2" t="inlineStr">
        <is>
          <t>PG90100</t>
        </is>
      </c>
      <c r="M2352" s="2" t="inlineStr">
        <is>
          <t>Manurewa</t>
        </is>
      </c>
      <c r="N2352" s="2" t="inlineStr">
        <is>
          <t>New Zealand</t>
        </is>
      </c>
      <c r="P2352" s="2" t="inlineStr">
        <is>
          <t>Operational Control</t>
        </is>
      </c>
      <c r="Q2352" s="2" t="inlineStr">
        <is>
          <t>Operational Control</t>
        </is>
      </c>
      <c r="R2352" s="2" t="inlineStr">
        <is>
          <t>Energy and Utilities (EU)</t>
        </is>
      </c>
      <c r="S2352" s="2" t="inlineStr">
        <is>
          <t>Downer</t>
        </is>
      </c>
      <c r="T2352" s="2" t="n">
        <v>100</v>
      </c>
      <c r="W2352" s="2" t="inlineStr">
        <is>
          <t>Classification</t>
        </is>
      </c>
    </row>
    <row r="2353">
      <c r="A2353" s="2" t="inlineStr">
        <is>
          <t>Downer</t>
        </is>
      </c>
      <c r="B2353" s="2" t="inlineStr">
        <is>
          <t>USL EU Subcontractors</t>
        </is>
      </c>
      <c r="C2353" s="2" t="inlineStr">
        <is>
          <t>Other</t>
        </is>
      </c>
      <c r="D2353" s="2" t="inlineStr">
        <is>
          <t>L9.DUN.90100</t>
        </is>
      </c>
      <c r="E2353" s="2" t="inlineStr">
        <is>
          <t>L9.DUN.90100</t>
        </is>
      </c>
      <c r="M2353" s="2" t="inlineStr">
        <is>
          <t>North Ryde</t>
        </is>
      </c>
      <c r="N2353" s="2" t="inlineStr">
        <is>
          <t>Australia</t>
        </is>
      </c>
      <c r="P2353" s="2" t="inlineStr">
        <is>
          <t>Operational Control</t>
        </is>
      </c>
      <c r="Q2353" s="2" t="inlineStr">
        <is>
          <t>Operational Control</t>
        </is>
      </c>
      <c r="R2353" s="2" t="inlineStr">
        <is>
          <t>Energy and Utilities (EU)</t>
        </is>
      </c>
      <c r="S2353" s="2" t="inlineStr">
        <is>
          <t>Downer</t>
        </is>
      </c>
      <c r="T2353" s="2" t="n">
        <v>100</v>
      </c>
      <c r="W2353" s="2" t="inlineStr">
        <is>
          <t>Classification</t>
        </is>
      </c>
    </row>
    <row r="2354">
      <c r="A2354" s="2" t="inlineStr">
        <is>
          <t>Downer</t>
        </is>
      </c>
      <c r="B2354" s="2" t="inlineStr">
        <is>
          <t>Util Prj North Ops Team</t>
        </is>
      </c>
      <c r="C2354" s="2" t="inlineStr">
        <is>
          <t>Other</t>
        </is>
      </c>
      <c r="D2354" s="2" t="inlineStr">
        <is>
          <t>L9.DNZJ.64200</t>
        </is>
      </c>
      <c r="E2354" s="2" t="n">
        <v>64200</v>
      </c>
      <c r="M2354" s="2" t="inlineStr">
        <is>
          <t>Manurewa</t>
        </is>
      </c>
      <c r="N2354" s="2" t="inlineStr">
        <is>
          <t>New Zealand</t>
        </is>
      </c>
      <c r="P2354" s="2" t="inlineStr">
        <is>
          <t>Operational Control</t>
        </is>
      </c>
      <c r="Q2354" s="2" t="inlineStr">
        <is>
          <t>Operational Control</t>
        </is>
      </c>
      <c r="R2354" s="2" t="inlineStr">
        <is>
          <t>Energy and Utilities (EU)</t>
        </is>
      </c>
      <c r="S2354" s="2" t="inlineStr">
        <is>
          <t>Downer</t>
        </is>
      </c>
      <c r="T2354" s="2" t="n">
        <v>100</v>
      </c>
      <c r="W2354" s="2" t="inlineStr">
        <is>
          <t>Classification</t>
        </is>
      </c>
    </row>
    <row r="2355">
      <c r="A2355" s="2" t="inlineStr">
        <is>
          <t>Downer</t>
        </is>
      </c>
      <c r="B2355" s="2" t="inlineStr">
        <is>
          <t>Util Prj South Ops Team</t>
        </is>
      </c>
      <c r="C2355" s="2" t="inlineStr">
        <is>
          <t>Other</t>
        </is>
      </c>
      <c r="D2355" s="2" t="inlineStr">
        <is>
          <t>L9.DNZJ.64250</t>
        </is>
      </c>
      <c r="E2355" s="2" t="n">
        <v>64250</v>
      </c>
      <c r="M2355" s="2" t="inlineStr">
        <is>
          <t>Manurewa</t>
        </is>
      </c>
      <c r="N2355" s="2" t="inlineStr">
        <is>
          <t>New Zealand</t>
        </is>
      </c>
      <c r="P2355" s="2" t="inlineStr">
        <is>
          <t>Operational Control</t>
        </is>
      </c>
      <c r="Q2355" s="2" t="inlineStr">
        <is>
          <t>Operational Control</t>
        </is>
      </c>
      <c r="R2355" s="2" t="inlineStr">
        <is>
          <t>Energy and Utilities (EU)</t>
        </is>
      </c>
      <c r="S2355" s="2" t="inlineStr">
        <is>
          <t>Downer</t>
        </is>
      </c>
      <c r="T2355" s="2" t="n">
        <v>100</v>
      </c>
      <c r="W2355" s="2" t="inlineStr">
        <is>
          <t>Classification</t>
        </is>
      </c>
    </row>
    <row r="2356">
      <c r="A2356" s="2" t="inlineStr">
        <is>
          <t>Downer</t>
        </is>
      </c>
      <c r="B2356" s="2" t="inlineStr">
        <is>
          <t>Utilities - Milton (NBN Office)</t>
        </is>
      </c>
      <c r="C2356" s="2" t="inlineStr">
        <is>
          <t>Office</t>
        </is>
      </c>
      <c r="D2356" s="2" t="inlineStr">
        <is>
          <t>L9.DUA.30161304</t>
        </is>
      </c>
      <c r="M2356" s="2" t="inlineStr">
        <is>
          <t>Queensland</t>
        </is>
      </c>
      <c r="N2356" s="2" t="inlineStr">
        <is>
          <t>Australia</t>
        </is>
      </c>
      <c r="P2356" s="2" t="inlineStr">
        <is>
          <t>Operational Control</t>
        </is>
      </c>
      <c r="Q2356" s="2" t="inlineStr">
        <is>
          <t>Operational Control</t>
        </is>
      </c>
      <c r="R2356" s="2" t="inlineStr">
        <is>
          <t>Energy and Utilities (EU)</t>
        </is>
      </c>
      <c r="S2356" s="2" t="inlineStr">
        <is>
          <t>Downer</t>
        </is>
      </c>
      <c r="T2356" s="2" t="n">
        <v>100</v>
      </c>
      <c r="W2356" s="2" t="inlineStr">
        <is>
          <t>Classification</t>
        </is>
      </c>
    </row>
    <row r="2357">
      <c r="A2357" s="2" t="inlineStr">
        <is>
          <t>Downer</t>
        </is>
      </c>
      <c r="B2357" s="2" t="inlineStr">
        <is>
          <t>Utilities Communications EU Subcontractors</t>
        </is>
      </c>
      <c r="C2357" s="2" t="inlineStr">
        <is>
          <t>Other</t>
        </is>
      </c>
      <c r="D2357" s="2" t="inlineStr">
        <is>
          <t>L9.J.234</t>
        </is>
      </c>
      <c r="E2357" s="2" t="inlineStr">
        <is>
          <t>L9.J.234</t>
        </is>
      </c>
      <c r="M2357" s="2" t="inlineStr">
        <is>
          <t>North Ryde</t>
        </is>
      </c>
      <c r="N2357" s="2" t="inlineStr">
        <is>
          <t>Australia</t>
        </is>
      </c>
      <c r="P2357" s="2" t="inlineStr">
        <is>
          <t>Operational Control</t>
        </is>
      </c>
      <c r="Q2357" s="2" t="inlineStr">
        <is>
          <t>Operational Control</t>
        </is>
      </c>
      <c r="R2357" s="2" t="inlineStr">
        <is>
          <t>Energy and Utilities (EU)</t>
        </is>
      </c>
      <c r="S2357" s="2" t="inlineStr">
        <is>
          <t>Downer</t>
        </is>
      </c>
      <c r="T2357" s="2" t="n">
        <v>100</v>
      </c>
      <c r="W2357" s="2" t="inlineStr">
        <is>
          <t>Classification</t>
        </is>
      </c>
    </row>
    <row r="2358">
      <c r="A2358" s="2" t="inlineStr">
        <is>
          <t>Downer</t>
        </is>
      </c>
      <c r="B2358" s="2" t="inlineStr">
        <is>
          <t>Utilities Derrimut Office</t>
        </is>
      </c>
      <c r="C2358" s="2" t="inlineStr">
        <is>
          <t>Office</t>
        </is>
      </c>
      <c r="D2358" s="2" t="inlineStr">
        <is>
          <t>L9.J.24170110</t>
        </is>
      </c>
      <c r="E2358" s="2" t="n">
        <v>7010</v>
      </c>
      <c r="G2358" s="2" t="inlineStr">
        <is>
          <t>Electricity onlyFuel associated with contracts (Ausnet, UE)</t>
        </is>
      </c>
      <c r="H2358" s="2" t="inlineStr">
        <is>
          <t>1 West Park Drive</t>
        </is>
      </c>
      <c r="I2358" s="2" t="inlineStr">
        <is>
          <t>Derrimut</t>
        </is>
      </c>
      <c r="J2358" s="2" t="inlineStr">
        <is>
          <t>VIC</t>
        </is>
      </c>
      <c r="K2358" s="2" t="n">
        <v>3030</v>
      </c>
      <c r="L2358" s="2" t="inlineStr">
        <is>
          <t>Australia</t>
        </is>
      </c>
      <c r="M2358" s="2" t="inlineStr">
        <is>
          <t>Victoria</t>
        </is>
      </c>
      <c r="N2358" s="2" t="inlineStr">
        <is>
          <t>Australia</t>
        </is>
      </c>
      <c r="P2358" s="2" t="inlineStr">
        <is>
          <t>Operational Control</t>
        </is>
      </c>
      <c r="Q2358" s="2" t="inlineStr">
        <is>
          <t>Operational Control</t>
        </is>
      </c>
      <c r="R2358" s="2" t="inlineStr">
        <is>
          <t>Energy and Utilities (EU)</t>
        </is>
      </c>
      <c r="S2358" s="2" t="inlineStr">
        <is>
          <t>Downer</t>
        </is>
      </c>
      <c r="T2358" s="2" t="n">
        <v>100</v>
      </c>
      <c r="W2358" s="2" t="inlineStr">
        <is>
          <t>Classification</t>
        </is>
      </c>
      <c r="X2358" s="2" t="n">
        <v>-37.811062</v>
      </c>
      <c r="Y2358" s="2" t="n">
        <v>144.765567</v>
      </c>
      <c r="Z2358" s="2" t="n">
        <v>310</v>
      </c>
    </row>
    <row r="2359">
      <c r="A2359" s="2" t="inlineStr">
        <is>
          <t>Downer</t>
        </is>
      </c>
      <c r="B2359" s="2" t="inlineStr">
        <is>
          <t>Utilities Management EU Subcontractors</t>
        </is>
      </c>
      <c r="C2359" s="2" t="inlineStr">
        <is>
          <t>Other</t>
        </is>
      </c>
      <c r="D2359" s="2" t="inlineStr">
        <is>
          <t>L9.J.241899</t>
        </is>
      </c>
      <c r="E2359" s="2" t="inlineStr">
        <is>
          <t>L9.J.241899</t>
        </is>
      </c>
      <c r="M2359" s="2" t="inlineStr">
        <is>
          <t>North Ryde</t>
        </is>
      </c>
      <c r="N2359" s="2" t="inlineStr">
        <is>
          <t>Australia</t>
        </is>
      </c>
      <c r="P2359" s="2" t="inlineStr">
        <is>
          <t>Operational Control</t>
        </is>
      </c>
      <c r="Q2359" s="2" t="inlineStr">
        <is>
          <t>Operational Control</t>
        </is>
      </c>
      <c r="R2359" s="2" t="inlineStr">
        <is>
          <t>Energy and Utilities (EU)</t>
        </is>
      </c>
      <c r="S2359" s="2" t="inlineStr">
        <is>
          <t>Downer</t>
        </is>
      </c>
      <c r="T2359" s="2" t="n">
        <v>100</v>
      </c>
      <c r="W2359" s="2" t="inlineStr">
        <is>
          <t>Classification</t>
        </is>
      </c>
    </row>
    <row r="2360">
      <c r="A2360" s="2" t="inlineStr">
        <is>
          <t>Downer</t>
        </is>
      </c>
      <c r="B2360" s="2" t="inlineStr">
        <is>
          <t>Utilities Plant and Equipment</t>
        </is>
      </c>
      <c r="C2360" s="2" t="inlineStr">
        <is>
          <t>Fleet Fuel</t>
        </is>
      </c>
      <c r="D2360" s="2" t="inlineStr">
        <is>
          <t>L9.DUA.12050</t>
        </is>
      </c>
      <c r="E2360" s="2" t="n">
        <v>28</v>
      </c>
      <c r="G2360" s="2" t="inlineStr">
        <is>
          <t>Moved from 17 Langton St Garbutt to 15-19 Dalyrmple Rd Garbutt from 1/7/19.  Electricity account comes under Spotless.</t>
        </is>
      </c>
      <c r="H2360" s="2" t="inlineStr">
        <is>
          <t>15-19 Dalrymple Street</t>
        </is>
      </c>
      <c r="I2360" s="2" t="inlineStr">
        <is>
          <t>Garbutt</t>
        </is>
      </c>
      <c r="J2360" s="2" t="inlineStr">
        <is>
          <t>QLD</t>
        </is>
      </c>
      <c r="K2360" s="2" t="n">
        <v>4814</v>
      </c>
      <c r="L2360" s="2" t="inlineStr">
        <is>
          <t>Queensland</t>
        </is>
      </c>
      <c r="M2360" s="2" t="inlineStr">
        <is>
          <t>Queensland</t>
        </is>
      </c>
      <c r="N2360" s="2" t="inlineStr">
        <is>
          <t>Australia</t>
        </is>
      </c>
      <c r="P2360" s="2" t="inlineStr">
        <is>
          <t>Operational Control</t>
        </is>
      </c>
      <c r="Q2360" s="2" t="inlineStr">
        <is>
          <t>Operational Control</t>
        </is>
      </c>
      <c r="R2360" s="2" t="inlineStr">
        <is>
          <t>Energy and Utilities (EU)</t>
        </is>
      </c>
      <c r="S2360" s="2" t="inlineStr">
        <is>
          <t>Downer</t>
        </is>
      </c>
      <c r="T2360" s="2" t="n">
        <v>100</v>
      </c>
      <c r="W2360" s="2" t="inlineStr">
        <is>
          <t>Classification</t>
        </is>
      </c>
      <c r="X2360" s="2" t="n">
        <v>-19.267721</v>
      </c>
      <c r="Y2360" s="2" t="n">
        <v>146.771974</v>
      </c>
      <c r="Z2360" s="2" t="n">
        <v>310</v>
      </c>
    </row>
    <row r="2361">
      <c r="A2361" s="2" t="inlineStr">
        <is>
          <t>Downer</t>
        </is>
      </c>
      <c r="B2361" s="2" t="inlineStr">
        <is>
          <t>Utilities Projects GM</t>
        </is>
      </c>
      <c r="C2361" s="2" t="inlineStr">
        <is>
          <t>Other</t>
        </is>
      </c>
      <c r="D2361" s="2" t="inlineStr">
        <is>
          <t>L9.DNZJ.64901</t>
        </is>
      </c>
      <c r="E2361" s="2" t="n">
        <v>64901</v>
      </c>
      <c r="M2361" s="2" t="inlineStr">
        <is>
          <t>Manurewa</t>
        </is>
      </c>
      <c r="N2361" s="2" t="inlineStr">
        <is>
          <t>New Zealand</t>
        </is>
      </c>
      <c r="P2361" s="2" t="inlineStr">
        <is>
          <t>Operational Control</t>
        </is>
      </c>
      <c r="Q2361" s="2" t="inlineStr">
        <is>
          <t>Operational Control</t>
        </is>
      </c>
      <c r="R2361" s="2" t="inlineStr">
        <is>
          <t>Energy and Utilities (EU)</t>
        </is>
      </c>
      <c r="S2361" s="2" t="inlineStr">
        <is>
          <t>Downer</t>
        </is>
      </c>
      <c r="T2361" s="2" t="n">
        <v>100</v>
      </c>
      <c r="W2361" s="2" t="inlineStr">
        <is>
          <t>Classification</t>
        </is>
      </c>
    </row>
    <row r="2362">
      <c r="A2362" s="2" t="inlineStr">
        <is>
          <t>Downer</t>
        </is>
      </c>
      <c r="B2362" s="2" t="inlineStr">
        <is>
          <t>Utilities Projects North Mgmt</t>
        </is>
      </c>
      <c r="C2362" s="2" t="inlineStr">
        <is>
          <t>Other</t>
        </is>
      </c>
      <c r="D2362" s="2" t="inlineStr">
        <is>
          <t>L9.DNZJ.64920</t>
        </is>
      </c>
      <c r="E2362" s="2" t="n">
        <v>64920</v>
      </c>
      <c r="M2362" s="2" t="inlineStr">
        <is>
          <t>Manurewa</t>
        </is>
      </c>
      <c r="N2362" s="2" t="inlineStr">
        <is>
          <t>New Zealand</t>
        </is>
      </c>
      <c r="P2362" s="2" t="inlineStr">
        <is>
          <t>Operational Control</t>
        </is>
      </c>
      <c r="Q2362" s="2" t="inlineStr">
        <is>
          <t>Operational Control</t>
        </is>
      </c>
      <c r="R2362" s="2" t="inlineStr">
        <is>
          <t>Energy and Utilities (EU)</t>
        </is>
      </c>
      <c r="S2362" s="2" t="inlineStr">
        <is>
          <t>Downer</t>
        </is>
      </c>
      <c r="T2362" s="2" t="n">
        <v>100</v>
      </c>
      <c r="W2362" s="2" t="inlineStr">
        <is>
          <t>Classification</t>
        </is>
      </c>
    </row>
    <row r="2363">
      <c r="A2363" s="2" t="inlineStr">
        <is>
          <t>Downer</t>
        </is>
      </c>
      <c r="B2363" s="2" t="inlineStr">
        <is>
          <t>Utilities Projects South Mgmt</t>
        </is>
      </c>
      <c r="C2363" s="2" t="inlineStr">
        <is>
          <t>Other</t>
        </is>
      </c>
      <c r="D2363" s="2" t="inlineStr">
        <is>
          <t>L9.DNZJ.64960</t>
        </is>
      </c>
      <c r="E2363" s="2" t="n">
        <v>64960</v>
      </c>
      <c r="M2363" s="2" t="inlineStr">
        <is>
          <t>Manurewa</t>
        </is>
      </c>
      <c r="N2363" s="2" t="inlineStr">
        <is>
          <t>New Zealand</t>
        </is>
      </c>
      <c r="P2363" s="2" t="inlineStr">
        <is>
          <t>Operational Control</t>
        </is>
      </c>
      <c r="Q2363" s="2" t="inlineStr">
        <is>
          <t>Operational Control</t>
        </is>
      </c>
      <c r="R2363" s="2" t="inlineStr">
        <is>
          <t>Energy and Utilities (EU)</t>
        </is>
      </c>
      <c r="S2363" s="2" t="inlineStr">
        <is>
          <t>Downer</t>
        </is>
      </c>
      <c r="T2363" s="2" t="n">
        <v>100</v>
      </c>
      <c r="W2363" s="2" t="inlineStr">
        <is>
          <t>Classification</t>
        </is>
      </c>
    </row>
    <row r="2364">
      <c r="A2364" s="2" t="inlineStr">
        <is>
          <t>Downer</t>
        </is>
      </c>
      <c r="B2364" s="2" t="inlineStr">
        <is>
          <t>Utilities Reinstatement</t>
        </is>
      </c>
      <c r="C2364" s="2" t="inlineStr">
        <is>
          <t>Other</t>
        </is>
      </c>
      <c r="D2364" s="2" t="inlineStr">
        <is>
          <t>L9.DNZ.810.10.217</t>
        </is>
      </c>
      <c r="E2364" s="2" t="n">
        <v>10217</v>
      </c>
      <c r="G2364" s="2" t="n">
        <v>10.217</v>
      </c>
      <c r="H2364" s="2" t="inlineStr">
        <is>
          <t>130 Kerrs Road</t>
        </is>
      </c>
      <c r="I2364" s="2" t="inlineStr">
        <is>
          <t>Wiri</t>
        </is>
      </c>
      <c r="J2364" s="2" t="inlineStr">
        <is>
          <t>Auckland</t>
        </is>
      </c>
      <c r="K2364" s="2" t="n">
        <v>2104</v>
      </c>
      <c r="L2364" s="2" t="inlineStr">
        <is>
          <t>New Zealand</t>
        </is>
      </c>
      <c r="M2364" s="2" t="inlineStr">
        <is>
          <t>Manurewa</t>
        </is>
      </c>
      <c r="N2364" s="2" t="inlineStr">
        <is>
          <t>New Zealand</t>
        </is>
      </c>
      <c r="P2364" s="2" t="inlineStr">
        <is>
          <t>Operational Control</t>
        </is>
      </c>
      <c r="Q2364" s="2" t="inlineStr">
        <is>
          <t>Operational Control</t>
        </is>
      </c>
      <c r="R2364" s="2" t="inlineStr">
        <is>
          <t>Energy and Utilities (EU)</t>
        </is>
      </c>
      <c r="S2364" s="2" t="inlineStr">
        <is>
          <t>Downer</t>
        </is>
      </c>
      <c r="T2364" s="2" t="n">
        <v>100</v>
      </c>
      <c r="W2364" s="2" t="inlineStr">
        <is>
          <t>Classification</t>
        </is>
      </c>
      <c r="X2364" s="2" t="n">
        <v>-37.0083</v>
      </c>
      <c r="Y2364" s="2" t="n">
        <v>174.8705</v>
      </c>
    </row>
    <row r="2365">
      <c r="A2365" s="2" t="inlineStr">
        <is>
          <t>Downer</t>
        </is>
      </c>
      <c r="B2365" s="2" t="inlineStr">
        <is>
          <t>Utilities Support Misc Rechges</t>
        </is>
      </c>
      <c r="C2365" s="2" t="inlineStr">
        <is>
          <t>Other</t>
        </is>
      </c>
      <c r="D2365" s="2" t="inlineStr">
        <is>
          <t>L9.DNZJ.63990</t>
        </is>
      </c>
      <c r="E2365" s="2" t="n">
        <v>63990</v>
      </c>
      <c r="H2365" s="2" t="inlineStr">
        <is>
          <t>130 Kerrs Road</t>
        </is>
      </c>
      <c r="I2365" s="2" t="inlineStr">
        <is>
          <t>Wiri</t>
        </is>
      </c>
      <c r="J2365" s="2" t="inlineStr">
        <is>
          <t>Auckland</t>
        </is>
      </c>
      <c r="K2365" s="2" t="n">
        <v>2104</v>
      </c>
      <c r="L2365" s="2" t="inlineStr">
        <is>
          <t>New Zealand</t>
        </is>
      </c>
      <c r="M2365" s="2" t="inlineStr">
        <is>
          <t>Manurewa</t>
        </is>
      </c>
      <c r="N2365" s="2" t="inlineStr">
        <is>
          <t>New Zealand</t>
        </is>
      </c>
      <c r="P2365" s="2" t="inlineStr">
        <is>
          <t>Operational Control</t>
        </is>
      </c>
      <c r="Q2365" s="2" t="inlineStr">
        <is>
          <t>Operational Control</t>
        </is>
      </c>
      <c r="R2365" s="2" t="inlineStr">
        <is>
          <t>Energy and Utilities (EU)</t>
        </is>
      </c>
      <c r="S2365" s="2" t="inlineStr">
        <is>
          <t>Downer</t>
        </is>
      </c>
      <c r="T2365" s="2" t="n">
        <v>100</v>
      </c>
      <c r="W2365" s="2" t="inlineStr">
        <is>
          <t>Classification</t>
        </is>
      </c>
      <c r="X2365" s="2" t="n">
        <v>-37.0083</v>
      </c>
      <c r="Y2365" s="2" t="n">
        <v>174.8705</v>
      </c>
    </row>
    <row r="2366">
      <c r="A2366" s="2" t="inlineStr">
        <is>
          <t>Downer</t>
        </is>
      </c>
      <c r="B2366" s="2" t="inlineStr">
        <is>
          <t>Uungula Wind Farm Connection</t>
        </is>
      </c>
      <c r="C2366" s="2" t="inlineStr">
        <is>
          <t>Site</t>
        </is>
      </c>
      <c r="D2366" s="2" t="inlineStr">
        <is>
          <t>L9.J.37740122</t>
        </is>
      </c>
      <c r="E2366" s="2" t="inlineStr">
        <is>
          <t>L9.J.37740122</t>
        </is>
      </c>
      <c r="M2366" s="2" t="inlineStr">
        <is>
          <t>Dubbo</t>
        </is>
      </c>
      <c r="N2366" s="2" t="inlineStr">
        <is>
          <t>Australia</t>
        </is>
      </c>
      <c r="P2366" s="2" t="inlineStr">
        <is>
          <t>Operational Control</t>
        </is>
      </c>
      <c r="Q2366" s="2" t="inlineStr">
        <is>
          <t>Operational Control</t>
        </is>
      </c>
      <c r="R2366" s="2" t="inlineStr">
        <is>
          <t>Energy and Utilities (EU)</t>
        </is>
      </c>
      <c r="S2366" s="2" t="inlineStr">
        <is>
          <t>Downer</t>
        </is>
      </c>
      <c r="T2366" s="2" t="n">
        <v>100</v>
      </c>
      <c r="V2366" s="11" t="n">
        <v>45748</v>
      </c>
      <c r="W2366" s="2" t="inlineStr">
        <is>
          <t>Classification</t>
        </is>
      </c>
    </row>
    <row r="2367">
      <c r="A2367" s="2" t="inlineStr">
        <is>
          <t>Downer</t>
        </is>
      </c>
      <c r="B2367" s="2" t="inlineStr">
        <is>
          <t>Valley Area Manager</t>
        </is>
      </c>
      <c r="C2367" s="2" t="inlineStr">
        <is>
          <t>Other</t>
        </is>
      </c>
      <c r="D2367" s="2" t="inlineStr">
        <is>
          <t>L9.DUN.60120</t>
        </is>
      </c>
      <c r="E2367" s="2" t="inlineStr">
        <is>
          <t>PG60120</t>
        </is>
      </c>
      <c r="H2367" s="2" t="inlineStr">
        <is>
          <t>5 Coronation Street</t>
        </is>
      </c>
      <c r="I2367" s="2" t="inlineStr">
        <is>
          <t>Paeroa</t>
        </is>
      </c>
      <c r="J2367" s="2" t="inlineStr">
        <is>
          <t>Paeroa</t>
        </is>
      </c>
      <c r="K2367" s="2" t="n">
        <v>3600</v>
      </c>
      <c r="L2367" s="2" t="inlineStr">
        <is>
          <t>New Zealand</t>
        </is>
      </c>
      <c r="M2367" s="2" t="inlineStr">
        <is>
          <t>Paeroa</t>
        </is>
      </c>
      <c r="N2367" s="2" t="inlineStr">
        <is>
          <t>New Zealand</t>
        </is>
      </c>
      <c r="P2367" s="2" t="inlineStr">
        <is>
          <t>Operational Control</t>
        </is>
      </c>
      <c r="Q2367" s="2" t="inlineStr">
        <is>
          <t>Operational Control</t>
        </is>
      </c>
      <c r="R2367" s="2" t="inlineStr">
        <is>
          <t>Energy and Utilities (EU)</t>
        </is>
      </c>
      <c r="S2367" s="2" t="inlineStr">
        <is>
          <t>Downer</t>
        </is>
      </c>
      <c r="T2367" s="2" t="n">
        <v>100</v>
      </c>
      <c r="W2367" s="2" t="inlineStr">
        <is>
          <t>Classification</t>
        </is>
      </c>
      <c r="X2367" s="2" t="n">
        <v>-37.3694</v>
      </c>
      <c r="Y2367" s="2" t="n">
        <v>175.666</v>
      </c>
    </row>
    <row r="2368">
      <c r="A2368" s="2" t="inlineStr">
        <is>
          <t>Downer</t>
        </is>
      </c>
      <c r="B2368" s="2" t="inlineStr">
        <is>
          <t>VEC Civil Engineering (TAS)</t>
        </is>
      </c>
      <c r="C2368" s="2" t="inlineStr">
        <is>
          <t>Depot</t>
        </is>
      </c>
      <c r="D2368" s="2" t="inlineStr">
        <is>
          <t>L9.J.17500008</t>
        </is>
      </c>
      <c r="E2368" s="2" t="inlineStr">
        <is>
          <t>IP-207.210.162.234</t>
        </is>
      </c>
      <c r="G2368" s="2" t="inlineStr">
        <is>
          <t>Acquisition from 31/10/2014</t>
        </is>
      </c>
      <c r="H2368" s="2" t="inlineStr">
        <is>
          <t>10b Industrial Drive</t>
        </is>
      </c>
      <c r="I2368" s="2" t="inlineStr">
        <is>
          <t>Ulverstone</t>
        </is>
      </c>
      <c r="J2368" s="2" t="inlineStr">
        <is>
          <t>TAS</t>
        </is>
      </c>
      <c r="K2368" s="2" t="n">
        <v>7315</v>
      </c>
      <c r="L2368" s="2" t="inlineStr">
        <is>
          <t>Australia</t>
        </is>
      </c>
      <c r="M2368" s="2" t="inlineStr">
        <is>
          <t>Tasmania</t>
        </is>
      </c>
      <c r="N2368" s="2" t="inlineStr">
        <is>
          <t>Australia</t>
        </is>
      </c>
      <c r="P2368" s="2" t="inlineStr">
        <is>
          <t>Operational Control</t>
        </is>
      </c>
      <c r="Q2368" s="2" t="inlineStr">
        <is>
          <t>Operational Control</t>
        </is>
      </c>
      <c r="R2368" s="2" t="inlineStr">
        <is>
          <t>Transport &amp; Infrastructure (T&amp;I)</t>
        </is>
      </c>
      <c r="S2368" s="2" t="inlineStr">
        <is>
          <t>Downer</t>
        </is>
      </c>
      <c r="T2368" s="2" t="n">
        <v>100</v>
      </c>
      <c r="W2368" s="2" t="inlineStr">
        <is>
          <t>Classification</t>
        </is>
      </c>
      <c r="X2368" s="2" t="n">
        <v>-41.167</v>
      </c>
      <c r="Y2368" s="2" t="n">
        <v>146.167</v>
      </c>
      <c r="Z2368" s="2" t="n">
        <v>310</v>
      </c>
    </row>
    <row r="2369">
      <c r="A2369" s="2" t="inlineStr">
        <is>
          <t>Downer</t>
        </is>
      </c>
      <c r="B2369" s="2" t="inlineStr">
        <is>
          <t>Vector Auckland Manager</t>
        </is>
      </c>
      <c r="C2369" s="2" t="inlineStr">
        <is>
          <t>Other</t>
        </is>
      </c>
      <c r="D2369" s="2" t="inlineStr">
        <is>
          <t>L9.DUN.70120</t>
        </is>
      </c>
      <c r="E2369" s="2" t="inlineStr">
        <is>
          <t>PG70120</t>
        </is>
      </c>
      <c r="H2369" s="2" t="inlineStr">
        <is>
          <t>130 Kerrs Road</t>
        </is>
      </c>
      <c r="I2369" s="2" t="inlineStr">
        <is>
          <t>Wiri</t>
        </is>
      </c>
      <c r="J2369" s="2" t="inlineStr">
        <is>
          <t>Auckland</t>
        </is>
      </c>
      <c r="K2369" s="2" t="n">
        <v>2104</v>
      </c>
      <c r="L2369" s="2" t="inlineStr">
        <is>
          <t>New Zealand</t>
        </is>
      </c>
      <c r="M2369" s="2" t="inlineStr">
        <is>
          <t>Manurewa</t>
        </is>
      </c>
      <c r="N2369" s="2" t="inlineStr">
        <is>
          <t>New Zealand</t>
        </is>
      </c>
      <c r="P2369" s="2" t="inlineStr">
        <is>
          <t>Operational Control</t>
        </is>
      </c>
      <c r="Q2369" s="2" t="inlineStr">
        <is>
          <t>Operational Control</t>
        </is>
      </c>
      <c r="R2369" s="2" t="inlineStr">
        <is>
          <t>Energy and Utilities (EU)</t>
        </is>
      </c>
      <c r="S2369" s="2" t="inlineStr">
        <is>
          <t>Downer</t>
        </is>
      </c>
      <c r="T2369" s="2" t="n">
        <v>100</v>
      </c>
      <c r="W2369" s="2" t="inlineStr">
        <is>
          <t>Classification</t>
        </is>
      </c>
      <c r="X2369" s="2" t="n">
        <v>-37.0083</v>
      </c>
      <c r="Y2369" s="2" t="n">
        <v>174.8705</v>
      </c>
    </row>
    <row r="2370">
      <c r="A2370" s="2" t="inlineStr">
        <is>
          <t>Downer</t>
        </is>
      </c>
      <c r="B2370" s="2" t="inlineStr">
        <is>
          <t>Vector Auckland Operations</t>
        </is>
      </c>
      <c r="C2370" s="2" t="inlineStr">
        <is>
          <t>Other</t>
        </is>
      </c>
      <c r="D2370" s="2" t="inlineStr">
        <is>
          <t>L9.DUN.70121</t>
        </is>
      </c>
      <c r="E2370" s="2" t="inlineStr">
        <is>
          <t>PG70121</t>
        </is>
      </c>
      <c r="H2370" s="2" t="inlineStr">
        <is>
          <t>130 Kerrs Road</t>
        </is>
      </c>
      <c r="I2370" s="2" t="inlineStr">
        <is>
          <t>Wiri</t>
        </is>
      </c>
      <c r="J2370" s="2" t="inlineStr">
        <is>
          <t>Auckland</t>
        </is>
      </c>
      <c r="K2370" s="2" t="n">
        <v>2104</v>
      </c>
      <c r="L2370" s="2" t="inlineStr">
        <is>
          <t>New Zealand</t>
        </is>
      </c>
      <c r="M2370" s="2" t="inlineStr">
        <is>
          <t>Manurewa</t>
        </is>
      </c>
      <c r="N2370" s="2" t="inlineStr">
        <is>
          <t>New Zealand</t>
        </is>
      </c>
      <c r="P2370" s="2" t="inlineStr">
        <is>
          <t>Operational Control</t>
        </is>
      </c>
      <c r="Q2370" s="2" t="inlineStr">
        <is>
          <t>Operational Control</t>
        </is>
      </c>
      <c r="R2370" s="2" t="inlineStr">
        <is>
          <t>Energy and Utilities (EU)</t>
        </is>
      </c>
      <c r="S2370" s="2" t="inlineStr">
        <is>
          <t>Downer</t>
        </is>
      </c>
      <c r="T2370" s="2" t="n">
        <v>100</v>
      </c>
      <c r="W2370" s="2" t="inlineStr">
        <is>
          <t>Classification</t>
        </is>
      </c>
      <c r="X2370" s="2" t="n">
        <v>-37.0083</v>
      </c>
      <c r="Y2370" s="2" t="n">
        <v>174.8705</v>
      </c>
    </row>
    <row r="2371">
      <c r="A2371" s="2" t="inlineStr">
        <is>
          <t>Downer</t>
        </is>
      </c>
      <c r="B2371" s="2" t="inlineStr">
        <is>
          <t>Venues Wellington 45003864</t>
        </is>
      </c>
      <c r="C2371" s="2" t="inlineStr">
        <is>
          <t>Other</t>
        </is>
      </c>
      <c r="D2371" s="2" t="inlineStr">
        <is>
          <t>L9.S.26019669</t>
        </is>
      </c>
      <c r="E2371" s="2" t="n">
        <v>2000005097</v>
      </c>
      <c r="M2371" s="2" t="inlineStr">
        <is>
          <t>Manurewa</t>
        </is>
      </c>
      <c r="N2371" s="2" t="inlineStr">
        <is>
          <t>New Zealand</t>
        </is>
      </c>
      <c r="P2371" s="2" t="inlineStr">
        <is>
          <t>Operational Control</t>
        </is>
      </c>
      <c r="Q2371" s="2" t="inlineStr">
        <is>
          <t>Operational Control</t>
        </is>
      </c>
      <c r="R2371" s="2" t="inlineStr">
        <is>
          <t>Social Infra &amp; Citizen Serv (SICS)</t>
        </is>
      </c>
      <c r="S2371" s="2" t="inlineStr">
        <is>
          <t>Downer</t>
        </is>
      </c>
      <c r="T2371" s="2" t="n">
        <v>100</v>
      </c>
      <c r="W2371" s="2" t="inlineStr">
        <is>
          <t>Classification</t>
        </is>
      </c>
    </row>
    <row r="2372">
      <c r="A2372" s="2" t="inlineStr">
        <is>
          <t>Downer</t>
        </is>
      </c>
      <c r="B2372" s="2" t="inlineStr">
        <is>
          <t>Veolia Reinstatements</t>
        </is>
      </c>
      <c r="C2372" s="2" t="inlineStr">
        <is>
          <t>Other</t>
        </is>
      </c>
      <c r="D2372" s="2" t="inlineStr">
        <is>
          <t>L9.DNZJ.558027</t>
        </is>
      </c>
      <c r="E2372" s="2" t="n">
        <v>558027</v>
      </c>
      <c r="G2372" s="2" t="inlineStr">
        <is>
          <t>TI-NZT-558027 - Veolia Reinstatements</t>
        </is>
      </c>
      <c r="M2372" s="2" t="inlineStr">
        <is>
          <t>Manukau City</t>
        </is>
      </c>
      <c r="N2372" s="2" t="inlineStr">
        <is>
          <t>New Zealand</t>
        </is>
      </c>
      <c r="P2372" s="2" t="inlineStr">
        <is>
          <t>Operational Control</t>
        </is>
      </c>
      <c r="Q2372" s="2" t="inlineStr">
        <is>
          <t>Operational Control</t>
        </is>
      </c>
      <c r="R2372" s="2" t="inlineStr">
        <is>
          <t>Transport &amp; Infrastructure (T&amp;I)</t>
        </is>
      </c>
      <c r="S2372" s="2" t="inlineStr">
        <is>
          <t>Downer</t>
        </is>
      </c>
      <c r="T2372" s="2" t="n">
        <v>100</v>
      </c>
      <c r="W2372" s="2" t="inlineStr">
        <is>
          <t>Classification</t>
        </is>
      </c>
    </row>
    <row r="2373">
      <c r="A2373" s="2" t="inlineStr">
        <is>
          <t>Downer</t>
        </is>
      </c>
      <c r="B2373" s="2" t="inlineStr">
        <is>
          <t>VF Fixed Central Maintenance EU Subcontractors</t>
        </is>
      </c>
      <c r="C2373" s="2" t="inlineStr">
        <is>
          <t>Other</t>
        </is>
      </c>
      <c r="D2373" s="2" t="inlineStr">
        <is>
          <t>L9.DNZ.810.20199</t>
        </is>
      </c>
      <c r="E2373" s="2" t="inlineStr">
        <is>
          <t>L9.DNZ.810.20199</t>
        </is>
      </c>
      <c r="F2373" s="2" t="inlineStr">
        <is>
          <t>L9.DNZ.810.20199</t>
        </is>
      </c>
      <c r="M2373" s="2" t="inlineStr">
        <is>
          <t>Auckland</t>
        </is>
      </c>
      <c r="N2373" s="2" t="inlineStr">
        <is>
          <t>New Zealand</t>
        </is>
      </c>
      <c r="P2373" s="2" t="inlineStr">
        <is>
          <t>Operational Control</t>
        </is>
      </c>
      <c r="Q2373" s="2" t="inlineStr">
        <is>
          <t>Operational Control</t>
        </is>
      </c>
      <c r="R2373" s="2" t="inlineStr">
        <is>
          <t>Energy and Utilities (EU)</t>
        </is>
      </c>
      <c r="S2373" s="2" t="inlineStr">
        <is>
          <t>Downer</t>
        </is>
      </c>
      <c r="T2373" s="2" t="n">
        <v>100</v>
      </c>
      <c r="W2373" s="2" t="inlineStr">
        <is>
          <t>Classification</t>
        </is>
      </c>
    </row>
    <row r="2374">
      <c r="A2374" s="2" t="inlineStr">
        <is>
          <t>Downer</t>
        </is>
      </c>
      <c r="B2374" s="2" t="inlineStr">
        <is>
          <t>VF Fixed Central Provisioning EU Subcontractors</t>
        </is>
      </c>
      <c r="C2374" s="2" t="inlineStr">
        <is>
          <t>Other</t>
        </is>
      </c>
      <c r="D2374" s="2" t="inlineStr">
        <is>
          <t>L9.DNZ.810.20197</t>
        </is>
      </c>
      <c r="E2374" s="2" t="inlineStr">
        <is>
          <t>L9.DNZ.810.20197</t>
        </is>
      </c>
      <c r="M2374" s="2" t="inlineStr">
        <is>
          <t>Auckland City</t>
        </is>
      </c>
      <c r="N2374" s="2" t="inlineStr">
        <is>
          <t>New Zealand</t>
        </is>
      </c>
      <c r="P2374" s="2" t="inlineStr">
        <is>
          <t>Operational Control</t>
        </is>
      </c>
      <c r="Q2374" s="2" t="inlineStr">
        <is>
          <t>Operational Control</t>
        </is>
      </c>
      <c r="R2374" s="2" t="inlineStr">
        <is>
          <t>Energy and Utilities (EU)</t>
        </is>
      </c>
      <c r="S2374" s="2" t="inlineStr">
        <is>
          <t>Downer</t>
        </is>
      </c>
      <c r="T2374" s="2" t="n">
        <v>100</v>
      </c>
      <c r="W2374" s="2" t="inlineStr">
        <is>
          <t>Classification</t>
        </is>
      </c>
    </row>
    <row r="2375">
      <c r="A2375" s="2" t="inlineStr">
        <is>
          <t>Downer</t>
        </is>
      </c>
      <c r="B2375" s="2" t="inlineStr">
        <is>
          <t>VF Fixed Southern Provisioning EU Subcontractors</t>
        </is>
      </c>
      <c r="C2375" s="2" t="inlineStr">
        <is>
          <t>Other</t>
        </is>
      </c>
      <c r="D2375" s="2" t="inlineStr">
        <is>
          <t>L9.DNZ.810.20196</t>
        </is>
      </c>
      <c r="E2375" s="2" t="inlineStr">
        <is>
          <t>L9.DNZ.810.20196</t>
        </is>
      </c>
      <c r="M2375" s="2" t="inlineStr">
        <is>
          <t>Auckland City</t>
        </is>
      </c>
      <c r="N2375" s="2" t="inlineStr">
        <is>
          <t>New Zealand</t>
        </is>
      </c>
      <c r="P2375" s="2" t="inlineStr">
        <is>
          <t>Operational Control</t>
        </is>
      </c>
      <c r="Q2375" s="2" t="inlineStr">
        <is>
          <t>Operational Control</t>
        </is>
      </c>
      <c r="R2375" s="2" t="inlineStr">
        <is>
          <t>Energy and Utilities (EU)</t>
        </is>
      </c>
      <c r="S2375" s="2" t="inlineStr">
        <is>
          <t>Downer</t>
        </is>
      </c>
      <c r="T2375" s="2" t="n">
        <v>100</v>
      </c>
      <c r="W2375" s="2" t="inlineStr">
        <is>
          <t>Classification</t>
        </is>
      </c>
    </row>
    <row r="2376">
      <c r="A2376" s="2" t="inlineStr">
        <is>
          <t>Downer</t>
        </is>
      </c>
      <c r="B2376" s="2" t="inlineStr">
        <is>
          <t>VF Wireless Build - National EU Subcontractors</t>
        </is>
      </c>
      <c r="C2376" s="2" t="inlineStr">
        <is>
          <t>Other</t>
        </is>
      </c>
      <c r="D2376" s="2" t="inlineStr">
        <is>
          <t>L9.DNZ.810.20967</t>
        </is>
      </c>
      <c r="E2376" s="2" t="inlineStr">
        <is>
          <t>L9.DNZ.810.20967</t>
        </is>
      </c>
      <c r="M2376" s="2" t="inlineStr">
        <is>
          <t>Auckland City</t>
        </is>
      </c>
      <c r="N2376" s="2" t="inlineStr">
        <is>
          <t>New Zealand</t>
        </is>
      </c>
      <c r="P2376" s="2" t="inlineStr">
        <is>
          <t>Operational Control</t>
        </is>
      </c>
      <c r="Q2376" s="2" t="inlineStr">
        <is>
          <t>Operational Control</t>
        </is>
      </c>
      <c r="R2376" s="2" t="inlineStr">
        <is>
          <t>Energy and Utilities (EU)</t>
        </is>
      </c>
      <c r="S2376" s="2" t="inlineStr">
        <is>
          <t>Downer</t>
        </is>
      </c>
      <c r="T2376" s="2" t="n">
        <v>100</v>
      </c>
      <c r="W2376" s="2" t="inlineStr">
        <is>
          <t>Classification</t>
        </is>
      </c>
    </row>
    <row r="2377">
      <c r="A2377" s="2" t="inlineStr">
        <is>
          <t>Downer</t>
        </is>
      </c>
      <c r="B2377" s="2" t="inlineStr">
        <is>
          <t>VIC Operations EU Subcontractors</t>
        </is>
      </c>
      <c r="C2377" s="2" t="inlineStr">
        <is>
          <t>Other</t>
        </is>
      </c>
      <c r="D2377" s="2" t="inlineStr">
        <is>
          <t>L9.S.GNOHDVOP00</t>
        </is>
      </c>
      <c r="E2377" s="2" t="inlineStr">
        <is>
          <t>L9.S.GNOHDVOP00</t>
        </is>
      </c>
      <c r="M2377" s="2" t="inlineStr">
        <is>
          <t>North Ryde</t>
        </is>
      </c>
      <c r="N2377" s="2" t="inlineStr">
        <is>
          <t>Australia</t>
        </is>
      </c>
      <c r="P2377" s="2" t="inlineStr">
        <is>
          <t>Operational Control</t>
        </is>
      </c>
      <c r="Q2377" s="2" t="inlineStr">
        <is>
          <t>Operational Control</t>
        </is>
      </c>
      <c r="R2377" s="2" t="inlineStr">
        <is>
          <t>Energy and Utilities (EU)</t>
        </is>
      </c>
      <c r="S2377" s="2" t="inlineStr">
        <is>
          <t>Downer</t>
        </is>
      </c>
      <c r="T2377" s="2" t="n">
        <v>100</v>
      </c>
      <c r="W2377" s="2" t="inlineStr">
        <is>
          <t>Classification</t>
        </is>
      </c>
    </row>
    <row r="2378">
      <c r="A2378" s="2" t="inlineStr">
        <is>
          <t>Downer</t>
        </is>
      </c>
      <c r="B2378" s="2" t="inlineStr">
        <is>
          <t>Vic Uni Victoria House - 45002999</t>
        </is>
      </c>
      <c r="C2378" s="2" t="inlineStr">
        <is>
          <t>Other</t>
        </is>
      </c>
      <c r="D2378" s="2" t="inlineStr">
        <is>
          <t>L9.S.24000308</t>
        </is>
      </c>
      <c r="E2378" s="2" t="n">
        <v>2000004857</v>
      </c>
      <c r="H2378" s="2" t="inlineStr">
        <is>
          <t>130 Kerrs Road</t>
        </is>
      </c>
      <c r="I2378" s="2" t="inlineStr">
        <is>
          <t>Wiri</t>
        </is>
      </c>
      <c r="J2378" s="2" t="inlineStr">
        <is>
          <t>Auckland</t>
        </is>
      </c>
      <c r="K2378" s="2" t="n">
        <v>2104</v>
      </c>
      <c r="L2378" s="2" t="inlineStr">
        <is>
          <t>New Zealand</t>
        </is>
      </c>
      <c r="M2378" s="2" t="inlineStr">
        <is>
          <t>Manurewa</t>
        </is>
      </c>
      <c r="N2378" s="2" t="inlineStr">
        <is>
          <t>New Zealand</t>
        </is>
      </c>
      <c r="P2378" s="2" t="inlineStr">
        <is>
          <t>Operational Control</t>
        </is>
      </c>
      <c r="Q2378" s="2" t="inlineStr">
        <is>
          <t>Operational Control</t>
        </is>
      </c>
      <c r="R2378" s="2" t="inlineStr">
        <is>
          <t>Social Infra &amp; Citizen Serv (SICS)</t>
        </is>
      </c>
      <c r="S2378" s="2" t="inlineStr">
        <is>
          <t>Downer</t>
        </is>
      </c>
      <c r="T2378" s="2" t="n">
        <v>100</v>
      </c>
      <c r="W2378" s="2" t="inlineStr">
        <is>
          <t>Classification</t>
        </is>
      </c>
      <c r="X2378" s="2" t="n">
        <v>-37.0083</v>
      </c>
      <c r="Y2378" s="2" t="n">
        <v>174.8705</v>
      </c>
    </row>
    <row r="2379">
      <c r="A2379" s="2" t="inlineStr">
        <is>
          <t>Downer</t>
        </is>
      </c>
      <c r="B2379" s="2" t="inlineStr">
        <is>
          <t>Vodafone Build Northern EU Subcontractors</t>
        </is>
      </c>
      <c r="C2379" s="2" t="inlineStr">
        <is>
          <t>Other</t>
        </is>
      </c>
      <c r="D2379" s="2" t="inlineStr">
        <is>
          <t>L9.DNZ.810.20871</t>
        </is>
      </c>
      <c r="E2379" s="2" t="inlineStr">
        <is>
          <t>L9.DNZ.810.20871</t>
        </is>
      </c>
      <c r="M2379" s="2" t="inlineStr">
        <is>
          <t>Auckland City</t>
        </is>
      </c>
      <c r="N2379" s="2" t="inlineStr">
        <is>
          <t>New Zealand</t>
        </is>
      </c>
      <c r="P2379" s="2" t="inlineStr">
        <is>
          <t>Operational Control</t>
        </is>
      </c>
      <c r="Q2379" s="2" t="inlineStr">
        <is>
          <t>Operational Control</t>
        </is>
      </c>
      <c r="R2379" s="2" t="inlineStr">
        <is>
          <t>Energy and Utilities (EU)</t>
        </is>
      </c>
      <c r="S2379" s="2" t="inlineStr">
        <is>
          <t>Downer</t>
        </is>
      </c>
      <c r="T2379" s="2" t="n">
        <v>100</v>
      </c>
      <c r="W2379" s="2" t="inlineStr">
        <is>
          <t>Classification</t>
        </is>
      </c>
    </row>
    <row r="2380">
      <c r="A2380" s="2" t="inlineStr">
        <is>
          <t>Downer</t>
        </is>
      </c>
      <c r="B2380" s="2" t="inlineStr">
        <is>
          <t>Vodafone Build Southern EU Subcontractors</t>
        </is>
      </c>
      <c r="C2380" s="2" t="inlineStr">
        <is>
          <t>Other</t>
        </is>
      </c>
      <c r="D2380" s="2" t="inlineStr">
        <is>
          <t>L9.DNZ.810.20870</t>
        </is>
      </c>
      <c r="E2380" s="2" t="inlineStr">
        <is>
          <t>L9.DNZ.810.20870</t>
        </is>
      </c>
      <c r="M2380" s="2" t="inlineStr">
        <is>
          <t>Auckland City</t>
        </is>
      </c>
      <c r="N2380" s="2" t="inlineStr">
        <is>
          <t>New Zealand</t>
        </is>
      </c>
      <c r="P2380" s="2" t="inlineStr">
        <is>
          <t>Operational Control</t>
        </is>
      </c>
      <c r="Q2380" s="2" t="inlineStr">
        <is>
          <t>Operational Control</t>
        </is>
      </c>
      <c r="R2380" s="2" t="inlineStr">
        <is>
          <t>Energy and Utilities (EU)</t>
        </is>
      </c>
      <c r="S2380" s="2" t="inlineStr">
        <is>
          <t>Downer</t>
        </is>
      </c>
      <c r="T2380" s="2" t="n">
        <v>100</v>
      </c>
      <c r="W2380" s="2" t="inlineStr">
        <is>
          <t>Classification</t>
        </is>
      </c>
    </row>
    <row r="2381">
      <c r="A2381" s="2" t="inlineStr">
        <is>
          <t>Downer</t>
        </is>
      </c>
      <c r="B2381" s="2" t="inlineStr">
        <is>
          <t>Vodafone Build Wellington EU Subcontractors</t>
        </is>
      </c>
      <c r="C2381" s="2" t="inlineStr">
        <is>
          <t>Other</t>
        </is>
      </c>
      <c r="D2381" s="2" t="inlineStr">
        <is>
          <t>L9.DNZ.810.20857</t>
        </is>
      </c>
      <c r="E2381" s="2" t="inlineStr">
        <is>
          <t>L9.DNZ.810.20857</t>
        </is>
      </c>
      <c r="M2381" s="2" t="inlineStr">
        <is>
          <t>Auckland City</t>
        </is>
      </c>
      <c r="N2381" s="2" t="inlineStr">
        <is>
          <t>New Zealand</t>
        </is>
      </c>
      <c r="P2381" s="2" t="inlineStr">
        <is>
          <t>Operational Control</t>
        </is>
      </c>
      <c r="Q2381" s="2" t="inlineStr">
        <is>
          <t>Operational Control</t>
        </is>
      </c>
      <c r="R2381" s="2" t="inlineStr">
        <is>
          <t>Energy and Utilities (EU)</t>
        </is>
      </c>
      <c r="S2381" s="2" t="inlineStr">
        <is>
          <t>Downer</t>
        </is>
      </c>
      <c r="T2381" s="2" t="n">
        <v>100</v>
      </c>
      <c r="W2381" s="2" t="inlineStr">
        <is>
          <t>Classification</t>
        </is>
      </c>
    </row>
    <row r="2382">
      <c r="A2382" s="2" t="inlineStr">
        <is>
          <t>Downer</t>
        </is>
      </c>
      <c r="B2382" s="2" t="inlineStr">
        <is>
          <t>Vodafone Configure National</t>
        </is>
      </c>
      <c r="C2382" s="2" t="inlineStr">
        <is>
          <t>Other</t>
        </is>
      </c>
      <c r="D2382" s="2" t="inlineStr">
        <is>
          <t>L9.DNZ.810.10.256</t>
        </is>
      </c>
      <c r="E2382" s="2" t="n">
        <v>10256</v>
      </c>
      <c r="G2382" s="2" t="n">
        <v>10.256</v>
      </c>
      <c r="H2382" s="2" t="inlineStr">
        <is>
          <t>130 Kerrs Road</t>
        </is>
      </c>
      <c r="I2382" s="2" t="inlineStr">
        <is>
          <t>Wiri</t>
        </is>
      </c>
      <c r="J2382" s="2" t="inlineStr">
        <is>
          <t>Auckland</t>
        </is>
      </c>
      <c r="K2382" s="2" t="n">
        <v>2104</v>
      </c>
      <c r="L2382" s="2" t="inlineStr">
        <is>
          <t>New Zealand</t>
        </is>
      </c>
      <c r="M2382" s="2" t="inlineStr">
        <is>
          <t>Manurewa</t>
        </is>
      </c>
      <c r="N2382" s="2" t="inlineStr">
        <is>
          <t>New Zealand</t>
        </is>
      </c>
      <c r="P2382" s="2" t="inlineStr">
        <is>
          <t>Operational Control</t>
        </is>
      </c>
      <c r="Q2382" s="2" t="inlineStr">
        <is>
          <t>Operational Control</t>
        </is>
      </c>
      <c r="R2382" s="2" t="inlineStr">
        <is>
          <t>Energy and Utilities (EU)</t>
        </is>
      </c>
      <c r="S2382" s="2" t="inlineStr">
        <is>
          <t>Downer</t>
        </is>
      </c>
      <c r="T2382" s="2" t="n">
        <v>100</v>
      </c>
      <c r="W2382" s="2" t="inlineStr">
        <is>
          <t>Classification</t>
        </is>
      </c>
      <c r="X2382" s="2" t="n">
        <v>-37.0083</v>
      </c>
      <c r="Y2382" s="2" t="n">
        <v>174.8705</v>
      </c>
    </row>
    <row r="2383">
      <c r="A2383" s="2" t="inlineStr">
        <is>
          <t>Downer</t>
        </is>
      </c>
      <c r="B2383" s="2" t="inlineStr">
        <is>
          <t>Vodafone COWS Mini repeaters EU Subcontractors</t>
        </is>
      </c>
      <c r="C2383" s="2" t="inlineStr">
        <is>
          <t>Other</t>
        </is>
      </c>
      <c r="D2383" s="2" t="inlineStr">
        <is>
          <t>L9.DNZ.810.20210</t>
        </is>
      </c>
      <c r="E2383" s="2" t="inlineStr">
        <is>
          <t>L9.DNZ.810.20210</t>
        </is>
      </c>
      <c r="M2383" s="2" t="inlineStr">
        <is>
          <t>Auckland City</t>
        </is>
      </c>
      <c r="N2383" s="2" t="inlineStr">
        <is>
          <t>New Zealand</t>
        </is>
      </c>
      <c r="P2383" s="2" t="inlineStr">
        <is>
          <t>Operational Control</t>
        </is>
      </c>
      <c r="Q2383" s="2" t="inlineStr">
        <is>
          <t>Operational Control</t>
        </is>
      </c>
      <c r="R2383" s="2" t="inlineStr">
        <is>
          <t>Energy and Utilities (EU)</t>
        </is>
      </c>
      <c r="S2383" s="2" t="inlineStr">
        <is>
          <t>Downer</t>
        </is>
      </c>
      <c r="T2383" s="2" t="n">
        <v>100</v>
      </c>
      <c r="W2383" s="2" t="inlineStr">
        <is>
          <t>Classification</t>
        </is>
      </c>
    </row>
    <row r="2384">
      <c r="A2384" s="2" t="inlineStr">
        <is>
          <t>Downer</t>
        </is>
      </c>
      <c r="B2384" s="2" t="inlineStr">
        <is>
          <t>Vodafone DriveTesting National</t>
        </is>
      </c>
      <c r="C2384" s="2" t="inlineStr">
        <is>
          <t>Other</t>
        </is>
      </c>
      <c r="D2384" s="2" t="inlineStr">
        <is>
          <t>L9.DNZ.810.10.255</t>
        </is>
      </c>
      <c r="E2384" s="2" t="n">
        <v>10255</v>
      </c>
      <c r="G2384" s="2" t="n">
        <v>10.255</v>
      </c>
      <c r="H2384" s="2" t="inlineStr">
        <is>
          <t>130 Kerrs Road</t>
        </is>
      </c>
      <c r="I2384" s="2" t="inlineStr">
        <is>
          <t>Wiri</t>
        </is>
      </c>
      <c r="J2384" s="2" t="inlineStr">
        <is>
          <t>Auckland</t>
        </is>
      </c>
      <c r="K2384" s="2" t="n">
        <v>2104</v>
      </c>
      <c r="L2384" s="2" t="inlineStr">
        <is>
          <t>New Zealand</t>
        </is>
      </c>
      <c r="M2384" s="2" t="inlineStr">
        <is>
          <t>Manurewa</t>
        </is>
      </c>
      <c r="N2384" s="2" t="inlineStr">
        <is>
          <t>New Zealand</t>
        </is>
      </c>
      <c r="P2384" s="2" t="inlineStr">
        <is>
          <t>Operational Control</t>
        </is>
      </c>
      <c r="Q2384" s="2" t="inlineStr">
        <is>
          <t>Operational Control</t>
        </is>
      </c>
      <c r="R2384" s="2" t="inlineStr">
        <is>
          <t>Energy and Utilities (EU)</t>
        </is>
      </c>
      <c r="S2384" s="2" t="inlineStr">
        <is>
          <t>Downer</t>
        </is>
      </c>
      <c r="T2384" s="2" t="n">
        <v>100</v>
      </c>
      <c r="W2384" s="2" t="inlineStr">
        <is>
          <t>Classification</t>
        </is>
      </c>
      <c r="X2384" s="2" t="n">
        <v>-37.0083</v>
      </c>
      <c r="Y2384" s="2" t="n">
        <v>174.8705</v>
      </c>
    </row>
    <row r="2385">
      <c r="A2385" s="2" t="inlineStr">
        <is>
          <t>Downer</t>
        </is>
      </c>
      <c r="B2385" s="2" t="inlineStr">
        <is>
          <t>Vodafone Facilities Compliance EU Subcontractors</t>
        </is>
      </c>
      <c r="C2385" s="2" t="inlineStr">
        <is>
          <t>Other</t>
        </is>
      </c>
      <c r="D2385" s="2" t="inlineStr">
        <is>
          <t>L9.DNZ.810.20212</t>
        </is>
      </c>
      <c r="E2385" s="2" t="inlineStr">
        <is>
          <t>L9.DNZ.810.20212</t>
        </is>
      </c>
      <c r="M2385" s="2" t="inlineStr">
        <is>
          <t>Auckland City</t>
        </is>
      </c>
      <c r="N2385" s="2" t="inlineStr">
        <is>
          <t>New Zealand</t>
        </is>
      </c>
      <c r="P2385" s="2" t="inlineStr">
        <is>
          <t>Operational Control</t>
        </is>
      </c>
      <c r="Q2385" s="2" t="inlineStr">
        <is>
          <t>Operational Control</t>
        </is>
      </c>
      <c r="R2385" s="2" t="inlineStr">
        <is>
          <t>Energy and Utilities (EU)</t>
        </is>
      </c>
      <c r="S2385" s="2" t="inlineStr">
        <is>
          <t>Downer</t>
        </is>
      </c>
      <c r="T2385" s="2" t="n">
        <v>100</v>
      </c>
      <c r="W2385" s="2" t="inlineStr">
        <is>
          <t>Classification</t>
        </is>
      </c>
    </row>
    <row r="2386">
      <c r="A2386" s="2" t="inlineStr">
        <is>
          <t>Downer</t>
        </is>
      </c>
      <c r="B2386" s="2" t="inlineStr">
        <is>
          <t>Vodafone Maintenance Central EU Subcontractors</t>
        </is>
      </c>
      <c r="C2386" s="2" t="inlineStr">
        <is>
          <t>Other</t>
        </is>
      </c>
      <c r="D2386" s="2" t="inlineStr">
        <is>
          <t>L9.DNZ.810.20716</t>
        </is>
      </c>
      <c r="E2386" s="2" t="inlineStr">
        <is>
          <t>L9.DNZ.810.20716</t>
        </is>
      </c>
      <c r="M2386" s="2" t="inlineStr">
        <is>
          <t>Auckland City</t>
        </is>
      </c>
      <c r="N2386" s="2" t="inlineStr">
        <is>
          <t>New Zealand</t>
        </is>
      </c>
      <c r="P2386" s="2" t="inlineStr">
        <is>
          <t>Operational Control</t>
        </is>
      </c>
      <c r="Q2386" s="2" t="inlineStr">
        <is>
          <t>Operational Control</t>
        </is>
      </c>
      <c r="R2386" s="2" t="inlineStr">
        <is>
          <t>Energy and Utilities (EU)</t>
        </is>
      </c>
      <c r="S2386" s="2" t="inlineStr">
        <is>
          <t>Downer</t>
        </is>
      </c>
      <c r="T2386" s="2" t="n">
        <v>100</v>
      </c>
      <c r="W2386" s="2" t="inlineStr">
        <is>
          <t>Classification</t>
        </is>
      </c>
    </row>
    <row r="2387">
      <c r="A2387" s="2" t="inlineStr">
        <is>
          <t>Downer</t>
        </is>
      </c>
      <c r="B2387" s="2" t="inlineStr">
        <is>
          <t>Vodafone Maintenance North EU Subcontractors</t>
        </is>
      </c>
      <c r="C2387" s="2" t="inlineStr">
        <is>
          <t>Other</t>
        </is>
      </c>
      <c r="D2387" s="2" t="inlineStr">
        <is>
          <t>L9.DNZ.810.20777</t>
        </is>
      </c>
      <c r="E2387" s="2" t="inlineStr">
        <is>
          <t>L9.DNZ.810.20777</t>
        </is>
      </c>
      <c r="M2387" s="2" t="inlineStr">
        <is>
          <t>Auckland City</t>
        </is>
      </c>
      <c r="N2387" s="2" t="inlineStr">
        <is>
          <t>New Zealand</t>
        </is>
      </c>
      <c r="P2387" s="2" t="inlineStr">
        <is>
          <t>Operational Control</t>
        </is>
      </c>
      <c r="Q2387" s="2" t="inlineStr">
        <is>
          <t>Operational Control</t>
        </is>
      </c>
      <c r="R2387" s="2" t="inlineStr">
        <is>
          <t>Energy and Utilities (EU)</t>
        </is>
      </c>
      <c r="S2387" s="2" t="inlineStr">
        <is>
          <t>Downer</t>
        </is>
      </c>
      <c r="T2387" s="2" t="n">
        <v>100</v>
      </c>
      <c r="W2387" s="2" t="inlineStr">
        <is>
          <t>Classification</t>
        </is>
      </c>
    </row>
    <row r="2388">
      <c r="A2388" s="2" t="inlineStr">
        <is>
          <t>Downer</t>
        </is>
      </c>
      <c r="B2388" s="2" t="inlineStr">
        <is>
          <t>Vodafone Maintenance South EU Subcontractors</t>
        </is>
      </c>
      <c r="C2388" s="2" t="inlineStr">
        <is>
          <t>Other</t>
        </is>
      </c>
      <c r="D2388" s="2" t="inlineStr">
        <is>
          <t>L9.DNZ.810.20721</t>
        </is>
      </c>
      <c r="E2388" s="2" t="inlineStr">
        <is>
          <t>L9.DNZ.810.20721</t>
        </is>
      </c>
      <c r="M2388" s="2" t="inlineStr">
        <is>
          <t>Auckland City</t>
        </is>
      </c>
      <c r="N2388" s="2" t="inlineStr">
        <is>
          <t>New Zealand</t>
        </is>
      </c>
      <c r="P2388" s="2" t="inlineStr">
        <is>
          <t>Operational Control</t>
        </is>
      </c>
      <c r="Q2388" s="2" t="inlineStr">
        <is>
          <t>Operational Control</t>
        </is>
      </c>
      <c r="R2388" s="2" t="inlineStr">
        <is>
          <t>Energy and Utilities (EU)</t>
        </is>
      </c>
      <c r="S2388" s="2" t="inlineStr">
        <is>
          <t>Downer</t>
        </is>
      </c>
      <c r="T2388" s="2" t="n">
        <v>100</v>
      </c>
      <c r="W2388" s="2" t="inlineStr">
        <is>
          <t>Classification</t>
        </is>
      </c>
    </row>
    <row r="2389">
      <c r="A2389" s="2" t="inlineStr">
        <is>
          <t>Downer</t>
        </is>
      </c>
      <c r="B2389" s="2" t="inlineStr">
        <is>
          <t>Vodafone Project Managers</t>
        </is>
      </c>
      <c r="C2389" s="2" t="inlineStr">
        <is>
          <t>Other</t>
        </is>
      </c>
      <c r="D2389" s="2" t="inlineStr">
        <is>
          <t>L9.DNZ.810.10.258</t>
        </is>
      </c>
      <c r="E2389" s="2" t="n">
        <v>10258</v>
      </c>
      <c r="G2389" s="2" t="n">
        <v>10.258</v>
      </c>
      <c r="H2389" s="2" t="inlineStr">
        <is>
          <t>130 Kerrs Road</t>
        </is>
      </c>
      <c r="I2389" s="2" t="inlineStr">
        <is>
          <t>Wiri</t>
        </is>
      </c>
      <c r="J2389" s="2" t="inlineStr">
        <is>
          <t>Auckland</t>
        </is>
      </c>
      <c r="K2389" s="2" t="n">
        <v>2104</v>
      </c>
      <c r="L2389" s="2" t="inlineStr">
        <is>
          <t>New Zealand</t>
        </is>
      </c>
      <c r="M2389" s="2" t="inlineStr">
        <is>
          <t>Manurewa</t>
        </is>
      </c>
      <c r="N2389" s="2" t="inlineStr">
        <is>
          <t>New Zealand</t>
        </is>
      </c>
      <c r="P2389" s="2" t="inlineStr">
        <is>
          <t>Operational Control</t>
        </is>
      </c>
      <c r="Q2389" s="2" t="inlineStr">
        <is>
          <t>Operational Control</t>
        </is>
      </c>
      <c r="R2389" s="2" t="inlineStr">
        <is>
          <t>Energy and Utilities (EU)</t>
        </is>
      </c>
      <c r="S2389" s="2" t="inlineStr">
        <is>
          <t>Downer</t>
        </is>
      </c>
      <c r="T2389" s="2" t="n">
        <v>100</v>
      </c>
      <c r="W2389" s="2" t="inlineStr">
        <is>
          <t>Classification</t>
        </is>
      </c>
      <c r="X2389" s="2" t="n">
        <v>-37.0083</v>
      </c>
      <c r="Y2389" s="2" t="n">
        <v>174.8705</v>
      </c>
    </row>
    <row r="2390">
      <c r="A2390" s="2" t="inlineStr">
        <is>
          <t>Downer</t>
        </is>
      </c>
      <c r="B2390" s="2" t="inlineStr">
        <is>
          <t>Vodafone RBI Provisioning EU Subcontractors</t>
        </is>
      </c>
      <c r="C2390" s="2" t="inlineStr">
        <is>
          <t>Other</t>
        </is>
      </c>
      <c r="D2390" s="2" t="inlineStr">
        <is>
          <t>L9.DNZ.810.20774</t>
        </is>
      </c>
      <c r="E2390" s="2" t="inlineStr">
        <is>
          <t>L9.DNZ.810.20774</t>
        </is>
      </c>
      <c r="F2390" s="2" t="inlineStr">
        <is>
          <t>L9.DNZ.810.20774</t>
        </is>
      </c>
      <c r="M2390" s="2" t="inlineStr">
        <is>
          <t>Auckland</t>
        </is>
      </c>
      <c r="N2390" s="2" t="inlineStr">
        <is>
          <t>New Zealand</t>
        </is>
      </c>
      <c r="P2390" s="2" t="inlineStr">
        <is>
          <t>Operational Control</t>
        </is>
      </c>
      <c r="Q2390" s="2" t="inlineStr">
        <is>
          <t>Operational Control</t>
        </is>
      </c>
      <c r="R2390" s="2" t="inlineStr">
        <is>
          <t>Energy and Utilities (EU)</t>
        </is>
      </c>
      <c r="S2390" s="2" t="inlineStr">
        <is>
          <t>Downer</t>
        </is>
      </c>
      <c r="T2390" s="2" t="n">
        <v>100</v>
      </c>
      <c r="W2390" s="2" t="inlineStr">
        <is>
          <t>Classification</t>
        </is>
      </c>
    </row>
    <row r="2391">
      <c r="A2391" s="2" t="inlineStr">
        <is>
          <t>Downer</t>
        </is>
      </c>
      <c r="B2391" s="2" t="inlineStr">
        <is>
          <t>Vodaphone Designers</t>
        </is>
      </c>
      <c r="C2391" s="2" t="inlineStr">
        <is>
          <t>Other</t>
        </is>
      </c>
      <c r="D2391" s="2" t="inlineStr">
        <is>
          <t>L9.DNZ.810.10.083</t>
        </is>
      </c>
      <c r="E2391" s="2" t="n">
        <v>10083</v>
      </c>
      <c r="M2391" s="2" t="inlineStr">
        <is>
          <t>Manurewa</t>
        </is>
      </c>
      <c r="N2391" s="2" t="inlineStr">
        <is>
          <t>New Zealand</t>
        </is>
      </c>
      <c r="P2391" s="2" t="inlineStr">
        <is>
          <t>Operational Control</t>
        </is>
      </c>
      <c r="Q2391" s="2" t="inlineStr">
        <is>
          <t>Operational Control</t>
        </is>
      </c>
      <c r="R2391" s="2" t="inlineStr">
        <is>
          <t>Energy and Utilities (EU)</t>
        </is>
      </c>
      <c r="S2391" s="2" t="inlineStr">
        <is>
          <t>Downer</t>
        </is>
      </c>
      <c r="T2391" s="2" t="n">
        <v>100</v>
      </c>
      <c r="W2391" s="2" t="inlineStr">
        <is>
          <t>Classification</t>
        </is>
      </c>
    </row>
    <row r="2392">
      <c r="A2392" s="2" t="inlineStr">
        <is>
          <t>Downer</t>
        </is>
      </c>
      <c r="B2392" s="2" t="inlineStr">
        <is>
          <t>W2QP - WORKS PACKAGE 2</t>
        </is>
      </c>
      <c r="C2392" s="2" t="inlineStr">
        <is>
          <t>Other</t>
        </is>
      </c>
      <c r="D2392" s="2" t="inlineStr">
        <is>
          <t>L9.DNZJ.DN1201</t>
        </is>
      </c>
      <c r="E2392" s="2" t="inlineStr">
        <is>
          <t>JP_DN1201</t>
        </is>
      </c>
      <c r="H2392" s="2" t="inlineStr">
        <is>
          <t>130 Kerrs Road</t>
        </is>
      </c>
      <c r="I2392" s="2" t="inlineStr">
        <is>
          <t>Wiri</t>
        </is>
      </c>
      <c r="J2392" s="2" t="inlineStr">
        <is>
          <t>Auckland</t>
        </is>
      </c>
      <c r="K2392" s="2" t="n">
        <v>2104</v>
      </c>
      <c r="L2392" s="2" t="inlineStr">
        <is>
          <t>New Zealand</t>
        </is>
      </c>
      <c r="M2392" s="2" t="inlineStr">
        <is>
          <t>Manurewa</t>
        </is>
      </c>
      <c r="N2392" s="2" t="inlineStr">
        <is>
          <t>New Zealand</t>
        </is>
      </c>
      <c r="P2392" s="2" t="inlineStr">
        <is>
          <t>Operational Control</t>
        </is>
      </c>
      <c r="Q2392" s="2" t="inlineStr">
        <is>
          <t>Operational Control</t>
        </is>
      </c>
      <c r="R2392" s="2" t="inlineStr">
        <is>
          <t>Transport &amp; Infrastructure (T&amp;I)</t>
        </is>
      </c>
      <c r="S2392" s="2" t="inlineStr">
        <is>
          <t>Downer</t>
        </is>
      </c>
      <c r="T2392" s="2" t="n">
        <v>100</v>
      </c>
      <c r="W2392" s="2" t="inlineStr">
        <is>
          <t>Classification</t>
        </is>
      </c>
      <c r="X2392" s="2" t="n">
        <v>-37.0083</v>
      </c>
      <c r="Y2392" s="2" t="n">
        <v>174.8705</v>
      </c>
    </row>
    <row r="2393">
      <c r="A2393" s="2" t="inlineStr">
        <is>
          <t>Downer</t>
        </is>
      </c>
      <c r="B2393" s="2" t="inlineStr">
        <is>
          <t>W2QP - WORKS PACKAGE 3</t>
        </is>
      </c>
      <c r="C2393" s="2" t="inlineStr">
        <is>
          <t>Infrastructure</t>
        </is>
      </c>
      <c r="D2393" s="2" t="inlineStr">
        <is>
          <t>L9.DNZJ.DN1209</t>
        </is>
      </c>
      <c r="E2393" s="2" t="inlineStr">
        <is>
          <t>JP_DN1209</t>
        </is>
      </c>
      <c r="G2393" s="2" t="inlineStr">
        <is>
          <t>TI-NZT-DN1209 - W2QP - WORKS PACKAGE 3</t>
        </is>
      </c>
      <c r="M2393" s="2" t="inlineStr">
        <is>
          <t>Auckland</t>
        </is>
      </c>
      <c r="N2393" s="2" t="inlineStr">
        <is>
          <t>New Zealand</t>
        </is>
      </c>
      <c r="P2393" s="2" t="inlineStr">
        <is>
          <t>Operational Control</t>
        </is>
      </c>
      <c r="Q2393" s="2" t="inlineStr">
        <is>
          <t>Operational Control</t>
        </is>
      </c>
      <c r="R2393" s="2" t="inlineStr">
        <is>
          <t>Transport &amp; Infrastructure (T&amp;I)</t>
        </is>
      </c>
      <c r="S2393" s="2" t="inlineStr">
        <is>
          <t>Downer</t>
        </is>
      </c>
      <c r="T2393" s="2" t="n">
        <v>100</v>
      </c>
      <c r="W2393" s="2" t="inlineStr">
        <is>
          <t>Classification</t>
        </is>
      </c>
    </row>
    <row r="2394">
      <c r="A2394" s="2" t="inlineStr">
        <is>
          <t>Downer</t>
        </is>
      </c>
      <c r="B2394" s="2" t="inlineStr">
        <is>
          <t>W2QP - Works Package 4</t>
        </is>
      </c>
      <c r="C2394" s="2" t="inlineStr">
        <is>
          <t>Other</t>
        </is>
      </c>
      <c r="D2394" s="2" t="inlineStr">
        <is>
          <t>L9.DNZJ.DN1204</t>
        </is>
      </c>
      <c r="E2394" s="2" t="inlineStr">
        <is>
          <t>JP_DN1204</t>
        </is>
      </c>
      <c r="H2394" s="2" t="inlineStr">
        <is>
          <t>130 Kerrs Road</t>
        </is>
      </c>
      <c r="I2394" s="2" t="inlineStr">
        <is>
          <t>Wiri</t>
        </is>
      </c>
      <c r="J2394" s="2" t="inlineStr">
        <is>
          <t>Auckland</t>
        </is>
      </c>
      <c r="K2394" s="2" t="n">
        <v>2104</v>
      </c>
      <c r="L2394" s="2" t="inlineStr">
        <is>
          <t>New Zealand</t>
        </is>
      </c>
      <c r="M2394" s="2" t="inlineStr">
        <is>
          <t>Manurewa</t>
        </is>
      </c>
      <c r="N2394" s="2" t="inlineStr">
        <is>
          <t>New Zealand</t>
        </is>
      </c>
      <c r="P2394" s="2" t="inlineStr">
        <is>
          <t>Operational Control</t>
        </is>
      </c>
      <c r="Q2394" s="2" t="inlineStr">
        <is>
          <t>Operational Control</t>
        </is>
      </c>
      <c r="R2394" s="2" t="inlineStr">
        <is>
          <t>Transport &amp; Infrastructure (T&amp;I)</t>
        </is>
      </c>
      <c r="S2394" s="2" t="inlineStr">
        <is>
          <t>Downer</t>
        </is>
      </c>
      <c r="T2394" s="2" t="n">
        <v>100</v>
      </c>
      <c r="W2394" s="2" t="inlineStr">
        <is>
          <t>Classification</t>
        </is>
      </c>
      <c r="X2394" s="2" t="n">
        <v>-37.0083</v>
      </c>
      <c r="Y2394" s="2" t="n">
        <v>174.8705</v>
      </c>
    </row>
    <row r="2395">
      <c r="A2395" s="2" t="inlineStr">
        <is>
          <t>Downer</t>
        </is>
      </c>
      <c r="B2395" s="2" t="inlineStr">
        <is>
          <t>WA Gov Housing - West Perth</t>
        </is>
      </c>
      <c r="C2395" s="2" t="inlineStr">
        <is>
          <t>Branch Office</t>
        </is>
      </c>
      <c r="D2395" s="2" t="inlineStr">
        <is>
          <t>L9.S.16013284</t>
        </is>
      </c>
      <c r="E2395" s="2" t="n">
        <v>16013284</v>
      </c>
      <c r="G2395" s="2" t="inlineStr">
        <is>
          <t>SI-16013284 - Govt Asset Services WA Housing</t>
        </is>
      </c>
      <c r="H2395" s="2" t="inlineStr">
        <is>
          <t>L1, 1238 HAY ST</t>
        </is>
      </c>
      <c r="I2395" s="2" t="inlineStr">
        <is>
          <t>WEST PERTH</t>
        </is>
      </c>
      <c r="J2395" s="2" t="inlineStr">
        <is>
          <t>WA</t>
        </is>
      </c>
      <c r="K2395" s="2" t="n">
        <v>6005</v>
      </c>
      <c r="M2395" s="2" t="inlineStr">
        <is>
          <t>West Perth</t>
        </is>
      </c>
      <c r="N2395" s="2" t="inlineStr">
        <is>
          <t>Australia</t>
        </is>
      </c>
      <c r="P2395" s="2" t="inlineStr">
        <is>
          <t>Operational Control</t>
        </is>
      </c>
      <c r="Q2395" s="2" t="inlineStr">
        <is>
          <t>Operational Control</t>
        </is>
      </c>
      <c r="R2395" s="2" t="inlineStr">
        <is>
          <t>Social Infra &amp; Citizen Serv (SICS)</t>
        </is>
      </c>
      <c r="S2395" s="2" t="inlineStr">
        <is>
          <t>Downer</t>
        </is>
      </c>
      <c r="T2395" s="2" t="n">
        <v>100</v>
      </c>
      <c r="W2395" s="2" t="inlineStr">
        <is>
          <t>Classification</t>
        </is>
      </c>
    </row>
    <row r="2396">
      <c r="A2396" s="2" t="inlineStr">
        <is>
          <t>Downer</t>
        </is>
      </c>
      <c r="B2396" s="2" t="inlineStr">
        <is>
          <t>WA Power Generation EU Subcontractors</t>
        </is>
      </c>
      <c r="C2396" s="2" t="inlineStr">
        <is>
          <t>Other</t>
        </is>
      </c>
      <c r="D2396" s="2" t="inlineStr">
        <is>
          <t>L9.J.38270056</t>
        </is>
      </c>
      <c r="E2396" s="2" t="inlineStr">
        <is>
          <t>L9.J.38270056</t>
        </is>
      </c>
      <c r="M2396" s="2" t="inlineStr">
        <is>
          <t>North Ryde</t>
        </is>
      </c>
      <c r="N2396" s="2" t="inlineStr">
        <is>
          <t>Australia</t>
        </is>
      </c>
      <c r="P2396" s="2" t="inlineStr">
        <is>
          <t>Operational Control</t>
        </is>
      </c>
      <c r="Q2396" s="2" t="inlineStr">
        <is>
          <t>Operational Control</t>
        </is>
      </c>
      <c r="R2396" s="2" t="inlineStr">
        <is>
          <t>Energy and Utilities (EU)</t>
        </is>
      </c>
      <c r="S2396" s="2" t="inlineStr">
        <is>
          <t>Downer</t>
        </is>
      </c>
      <c r="T2396" s="2" t="n">
        <v>100</v>
      </c>
      <c r="W2396" s="2" t="inlineStr">
        <is>
          <t>Classification</t>
        </is>
      </c>
    </row>
    <row r="2397">
      <c r="A2397" s="2" t="inlineStr">
        <is>
          <t>Downer</t>
        </is>
      </c>
      <c r="B2397" s="2" t="inlineStr">
        <is>
          <t>WAI ARIKI SPA</t>
        </is>
      </c>
      <c r="C2397" s="2" t="inlineStr">
        <is>
          <t>Other</t>
        </is>
      </c>
      <c r="D2397" s="2" t="inlineStr">
        <is>
          <t>L9.DNZ.HC0348</t>
        </is>
      </c>
      <c r="E2397" s="2" t="inlineStr">
        <is>
          <t>JP_HC0348</t>
        </is>
      </c>
      <c r="H2397" s="2" t="inlineStr">
        <is>
          <t>130 Kerrs Road</t>
        </is>
      </c>
      <c r="I2397" s="2" t="inlineStr">
        <is>
          <t>Wiri</t>
        </is>
      </c>
      <c r="J2397" s="2" t="inlineStr">
        <is>
          <t>Auckland</t>
        </is>
      </c>
      <c r="K2397" s="2" t="n">
        <v>2104</v>
      </c>
      <c r="L2397" s="2" t="inlineStr">
        <is>
          <t>New Zealand</t>
        </is>
      </c>
      <c r="M2397" s="2" t="inlineStr">
        <is>
          <t>Manurewa</t>
        </is>
      </c>
      <c r="N2397" s="2" t="inlineStr">
        <is>
          <t>New Zealand</t>
        </is>
      </c>
      <c r="P2397" s="2" t="inlineStr">
        <is>
          <t>Operational Control</t>
        </is>
      </c>
      <c r="Q2397" s="2" t="inlineStr">
        <is>
          <t>Operational Control</t>
        </is>
      </c>
      <c r="R2397" s="2" t="inlineStr">
        <is>
          <t>Transport &amp; Infrastructure (T&amp;I)</t>
        </is>
      </c>
      <c r="S2397" s="2" t="inlineStr">
        <is>
          <t>Downer</t>
        </is>
      </c>
      <c r="T2397" s="2" t="n">
        <v>100</v>
      </c>
      <c r="W2397" s="2" t="inlineStr">
        <is>
          <t>Classification</t>
        </is>
      </c>
      <c r="X2397" s="2" t="n">
        <v>-37.0083</v>
      </c>
      <c r="Y2397" s="2" t="n">
        <v>174.8705</v>
      </c>
    </row>
    <row r="2398">
      <c r="A2398" s="2" t="inlineStr">
        <is>
          <t>Downer</t>
        </is>
      </c>
      <c r="B2398" s="2" t="inlineStr">
        <is>
          <t>Waikato - Overhead</t>
        </is>
      </c>
      <c r="C2398" s="2" t="inlineStr">
        <is>
          <t>Other</t>
        </is>
      </c>
      <c r="D2398" s="2" t="inlineStr">
        <is>
          <t>L9.DNZJ.55932</t>
        </is>
      </c>
      <c r="E2398" s="2" t="n">
        <v>55932</v>
      </c>
      <c r="H2398" s="2" t="inlineStr">
        <is>
          <t>130 Kerrs Road</t>
        </is>
      </c>
      <c r="I2398" s="2" t="inlineStr">
        <is>
          <t>Wiri</t>
        </is>
      </c>
      <c r="J2398" s="2" t="inlineStr">
        <is>
          <t>Auckland</t>
        </is>
      </c>
      <c r="K2398" s="2" t="n">
        <v>2104</v>
      </c>
      <c r="L2398" s="2" t="inlineStr">
        <is>
          <t>New Zealand</t>
        </is>
      </c>
      <c r="M2398" s="2" t="inlineStr">
        <is>
          <t>Manurewa</t>
        </is>
      </c>
      <c r="N2398" s="2" t="inlineStr">
        <is>
          <t>New Zealand</t>
        </is>
      </c>
      <c r="P2398" s="2" t="inlineStr">
        <is>
          <t>Operational Control</t>
        </is>
      </c>
      <c r="Q2398" s="2" t="inlineStr">
        <is>
          <t>Operational Control</t>
        </is>
      </c>
      <c r="R2398" s="2" t="inlineStr">
        <is>
          <t>Transport &amp; Infrastructure (T&amp;I)</t>
        </is>
      </c>
      <c r="S2398" s="2" t="inlineStr">
        <is>
          <t>Downer</t>
        </is>
      </c>
      <c r="T2398" s="2" t="n">
        <v>100</v>
      </c>
      <c r="W2398" s="2" t="inlineStr">
        <is>
          <t>Classification</t>
        </is>
      </c>
      <c r="X2398" s="2" t="n">
        <v>-37.0083</v>
      </c>
      <c r="Y2398" s="2" t="n">
        <v>174.8705</v>
      </c>
    </row>
    <row r="2399">
      <c r="A2399" s="2" t="inlineStr">
        <is>
          <t>Downer</t>
        </is>
      </c>
      <c r="B2399" s="2" t="inlineStr">
        <is>
          <t>Waikato People/Plant</t>
        </is>
      </c>
      <c r="C2399" s="2" t="inlineStr">
        <is>
          <t>Other</t>
        </is>
      </c>
      <c r="D2399" s="2" t="inlineStr">
        <is>
          <t>L9.DNZJ.66209</t>
        </is>
      </c>
      <c r="E2399" s="2" t="n">
        <v>66209</v>
      </c>
      <c r="H2399" s="2" t="inlineStr">
        <is>
          <t>130 Kerrs Road</t>
        </is>
      </c>
      <c r="I2399" s="2" t="inlineStr">
        <is>
          <t>Wiri</t>
        </is>
      </c>
      <c r="J2399" s="2" t="inlineStr">
        <is>
          <t>Auckland</t>
        </is>
      </c>
      <c r="K2399" s="2" t="n">
        <v>2104</v>
      </c>
      <c r="L2399" s="2" t="inlineStr">
        <is>
          <t>New Zealand</t>
        </is>
      </c>
      <c r="M2399" s="2" t="inlineStr">
        <is>
          <t>Manurewa</t>
        </is>
      </c>
      <c r="N2399" s="2" t="inlineStr">
        <is>
          <t>New Zealand</t>
        </is>
      </c>
      <c r="P2399" s="2" t="inlineStr">
        <is>
          <t>Operational Control</t>
        </is>
      </c>
      <c r="Q2399" s="2" t="inlineStr">
        <is>
          <t>Operational Control</t>
        </is>
      </c>
      <c r="R2399" s="2" t="inlineStr">
        <is>
          <t>Transport &amp; Infrastructure (T&amp;I)</t>
        </is>
      </c>
      <c r="S2399" s="2" t="inlineStr">
        <is>
          <t>Downer</t>
        </is>
      </c>
      <c r="T2399" s="2" t="n">
        <v>100</v>
      </c>
      <c r="W2399" s="2" t="inlineStr">
        <is>
          <t>Classification</t>
        </is>
      </c>
      <c r="X2399" s="2" t="n">
        <v>-37.0083</v>
      </c>
      <c r="Y2399" s="2" t="n">
        <v>174.8705</v>
      </c>
    </row>
    <row r="2400">
      <c r="A2400" s="2" t="inlineStr">
        <is>
          <t>Downer</t>
        </is>
      </c>
      <c r="B2400" s="2" t="inlineStr">
        <is>
          <t>Waikato Traffic Services</t>
        </is>
      </c>
      <c r="C2400" s="2" t="inlineStr">
        <is>
          <t>Other</t>
        </is>
      </c>
      <c r="D2400" s="2" t="inlineStr">
        <is>
          <t>L9.DNZJ.54103</t>
        </is>
      </c>
      <c r="E2400" s="2" t="n">
        <v>54103</v>
      </c>
      <c r="M2400" s="2" t="inlineStr">
        <is>
          <t>Manurewa</t>
        </is>
      </c>
      <c r="N2400" s="2" t="inlineStr">
        <is>
          <t>New Zealand</t>
        </is>
      </c>
      <c r="P2400" s="2" t="inlineStr">
        <is>
          <t>Operational Control</t>
        </is>
      </c>
      <c r="Q2400" s="2" t="inlineStr">
        <is>
          <t>Operational Control</t>
        </is>
      </c>
      <c r="R2400" s="2" t="inlineStr">
        <is>
          <t>Transport &amp; Infrastructure (T&amp;I)</t>
        </is>
      </c>
      <c r="S2400" s="2" t="inlineStr">
        <is>
          <t>Downer</t>
        </is>
      </c>
      <c r="T2400" s="2" t="n">
        <v>100</v>
      </c>
      <c r="W2400" s="2" t="inlineStr">
        <is>
          <t>Classification</t>
        </is>
      </c>
    </row>
    <row r="2401">
      <c r="A2401" s="2" t="inlineStr">
        <is>
          <t>Downer</t>
        </is>
      </c>
      <c r="B2401" s="2" t="inlineStr">
        <is>
          <t>Waikato/Bay of Plenty ISP</t>
        </is>
      </c>
      <c r="C2401" s="2" t="inlineStr">
        <is>
          <t>Other</t>
        </is>
      </c>
      <c r="D2401" s="2" t="inlineStr">
        <is>
          <t>L9.DNZ.810.10.171</t>
        </is>
      </c>
      <c r="E2401" s="2" t="n">
        <v>10171</v>
      </c>
      <c r="G2401" s="2" t="n">
        <v>10.171</v>
      </c>
      <c r="H2401" s="2" t="inlineStr">
        <is>
          <t>130 Kerrs Road</t>
        </is>
      </c>
      <c r="I2401" s="2" t="inlineStr">
        <is>
          <t>Wiri</t>
        </is>
      </c>
      <c r="J2401" s="2" t="inlineStr">
        <is>
          <t>Auckland</t>
        </is>
      </c>
      <c r="K2401" s="2" t="n">
        <v>2104</v>
      </c>
      <c r="L2401" s="2" t="inlineStr">
        <is>
          <t>New Zealand</t>
        </is>
      </c>
      <c r="M2401" s="2" t="inlineStr">
        <is>
          <t>Manurewa</t>
        </is>
      </c>
      <c r="N2401" s="2" t="inlineStr">
        <is>
          <t>New Zealand</t>
        </is>
      </c>
      <c r="P2401" s="2" t="inlineStr">
        <is>
          <t>Operational Control</t>
        </is>
      </c>
      <c r="Q2401" s="2" t="inlineStr">
        <is>
          <t>Operational Control</t>
        </is>
      </c>
      <c r="R2401" s="2" t="inlineStr">
        <is>
          <t>Energy and Utilities (EU)</t>
        </is>
      </c>
      <c r="S2401" s="2" t="inlineStr">
        <is>
          <t>Downer</t>
        </is>
      </c>
      <c r="T2401" s="2" t="n">
        <v>100</v>
      </c>
      <c r="W2401" s="2" t="inlineStr">
        <is>
          <t>Classification</t>
        </is>
      </c>
      <c r="X2401" s="2" t="n">
        <v>-37.0083</v>
      </c>
      <c r="Y2401" s="2" t="n">
        <v>174.8705</v>
      </c>
    </row>
    <row r="2402">
      <c r="A2402" s="2" t="inlineStr">
        <is>
          <t>Downer</t>
        </is>
      </c>
      <c r="B2402" s="2" t="inlineStr">
        <is>
          <t>Waikeria Prison Dev</t>
        </is>
      </c>
      <c r="C2402" s="2" t="inlineStr">
        <is>
          <t>Other</t>
        </is>
      </c>
      <c r="D2402" s="2" t="inlineStr">
        <is>
          <t>L9.S.26017940</t>
        </is>
      </c>
      <c r="E2402" s="2" t="n">
        <v>2000008022</v>
      </c>
      <c r="M2402" s="2" t="inlineStr">
        <is>
          <t>Manurewa</t>
        </is>
      </c>
      <c r="N2402" s="2" t="inlineStr">
        <is>
          <t>New Zealand</t>
        </is>
      </c>
      <c r="P2402" s="2" t="inlineStr">
        <is>
          <t>Operational Control</t>
        </is>
      </c>
      <c r="Q2402" s="2" t="inlineStr">
        <is>
          <t>Operational Control</t>
        </is>
      </c>
      <c r="R2402" s="2" t="inlineStr">
        <is>
          <t>Social Infra &amp; Citizen Serv (SICS)</t>
        </is>
      </c>
      <c r="S2402" s="2" t="inlineStr">
        <is>
          <t>Downer</t>
        </is>
      </c>
      <c r="T2402" s="2" t="n">
        <v>100</v>
      </c>
      <c r="V2402" s="11" t="n">
        <v>45291</v>
      </c>
      <c r="W2402" s="2" t="inlineStr">
        <is>
          <t>Classification</t>
        </is>
      </c>
    </row>
    <row r="2403">
      <c r="A2403" s="2" t="inlineStr">
        <is>
          <t>Downer</t>
        </is>
      </c>
      <c r="B2403" s="2" t="inlineStr">
        <is>
          <t>Waimumu Stopbank</t>
        </is>
      </c>
      <c r="C2403" s="2" t="inlineStr">
        <is>
          <t>Other</t>
        </is>
      </c>
      <c r="D2403" s="2" t="inlineStr">
        <is>
          <t>L9.DNZJ.556630</t>
        </is>
      </c>
      <c r="E2403" s="2" t="n">
        <v>556630</v>
      </c>
      <c r="M2403" s="2" t="inlineStr">
        <is>
          <t>Manurewa</t>
        </is>
      </c>
      <c r="N2403" s="2" t="inlineStr">
        <is>
          <t>New Zealand</t>
        </is>
      </c>
      <c r="P2403" s="2" t="inlineStr">
        <is>
          <t>Operational Control</t>
        </is>
      </c>
      <c r="Q2403" s="2" t="inlineStr">
        <is>
          <t>Operational Control</t>
        </is>
      </c>
      <c r="R2403" s="2" t="inlineStr">
        <is>
          <t>Transport &amp; Infrastructure (T&amp;I)</t>
        </is>
      </c>
      <c r="S2403" s="2" t="inlineStr">
        <is>
          <t>Downer</t>
        </is>
      </c>
      <c r="T2403" s="2" t="n">
        <v>100</v>
      </c>
      <c r="W2403" s="2" t="inlineStr">
        <is>
          <t>Classification</t>
        </is>
      </c>
    </row>
    <row r="2404">
      <c r="A2404" s="2" t="inlineStr">
        <is>
          <t>Downer</t>
        </is>
      </c>
      <c r="B2404" s="2" t="inlineStr">
        <is>
          <t>Waiouru Operations - 45002412</t>
        </is>
      </c>
      <c r="C2404" s="2" t="inlineStr">
        <is>
          <t>Other</t>
        </is>
      </c>
      <c r="D2404" s="2" t="inlineStr">
        <is>
          <t>L9.S.24000041</t>
        </is>
      </c>
      <c r="E2404" s="2" t="n">
        <v>2000004493</v>
      </c>
      <c r="H2404" s="2" t="inlineStr">
        <is>
          <t>Building C185 (Waiouru Military Camp),
Ruapehu Rd</t>
        </is>
      </c>
      <c r="I2404" s="2" t="inlineStr">
        <is>
          <t>Waiouru</t>
        </is>
      </c>
      <c r="K2404" s="2" t="n">
        <v>4826</v>
      </c>
      <c r="L2404" s="2" t="inlineStr">
        <is>
          <t>New Zealand</t>
        </is>
      </c>
      <c r="M2404" s="2" t="inlineStr">
        <is>
          <t>Manurewa</t>
        </is>
      </c>
      <c r="N2404" s="2" t="inlineStr">
        <is>
          <t>New Zealand</t>
        </is>
      </c>
      <c r="P2404" s="2" t="inlineStr">
        <is>
          <t>Operational Control</t>
        </is>
      </c>
      <c r="Q2404" s="2" t="inlineStr">
        <is>
          <t>Operational Control</t>
        </is>
      </c>
      <c r="R2404" s="2" t="inlineStr">
        <is>
          <t>Social Infra &amp; Citizen Serv (SICS)</t>
        </is>
      </c>
      <c r="S2404" s="2" t="inlineStr">
        <is>
          <t>Downer</t>
        </is>
      </c>
      <c r="T2404" s="2" t="n">
        <v>100</v>
      </c>
      <c r="W2404" s="2" t="inlineStr">
        <is>
          <t>Classification</t>
        </is>
      </c>
      <c r="X2404" s="2" t="n">
        <v>-37.0083</v>
      </c>
      <c r="Y2404" s="2" t="n">
        <v>174.8705</v>
      </c>
    </row>
    <row r="2405">
      <c r="A2405" s="2" t="inlineStr">
        <is>
          <t>Downer</t>
        </is>
      </c>
      <c r="B2405" s="2" t="inlineStr">
        <is>
          <t>Waipa DC Maintenance</t>
        </is>
      </c>
      <c r="C2405" s="2" t="inlineStr">
        <is>
          <t>Other</t>
        </is>
      </c>
      <c r="D2405" s="2" t="inlineStr">
        <is>
          <t>L9.DNZJ.54214</t>
        </is>
      </c>
      <c r="E2405" s="2" t="n">
        <v>54214</v>
      </c>
      <c r="M2405" s="2" t="inlineStr">
        <is>
          <t>Waikato</t>
        </is>
      </c>
      <c r="N2405" s="2" t="inlineStr">
        <is>
          <t>New Zealand</t>
        </is>
      </c>
      <c r="P2405" s="2" t="inlineStr">
        <is>
          <t>Operational Control</t>
        </is>
      </c>
      <c r="Q2405" s="2" t="inlineStr">
        <is>
          <t>Operational Control</t>
        </is>
      </c>
      <c r="R2405" s="2" t="inlineStr">
        <is>
          <t>Transport &amp; Infrastructure (T&amp;I)</t>
        </is>
      </c>
      <c r="S2405" s="2" t="inlineStr">
        <is>
          <t>Downer</t>
        </is>
      </c>
      <c r="T2405" s="2" t="n">
        <v>100</v>
      </c>
      <c r="W2405" s="2" t="inlineStr">
        <is>
          <t>Classification</t>
        </is>
      </c>
    </row>
    <row r="2406">
      <c r="A2406" s="2" t="inlineStr">
        <is>
          <t>Downer</t>
        </is>
      </c>
      <c r="B2406" s="2" t="inlineStr">
        <is>
          <t>Waitaki 1 - SW Management</t>
        </is>
      </c>
      <c r="C2406" s="2" t="inlineStr">
        <is>
          <t>Other</t>
        </is>
      </c>
      <c r="D2406" s="2" t="inlineStr">
        <is>
          <t>L9.DNZJ.561760</t>
        </is>
      </c>
      <c r="E2406" s="2" t="n">
        <v>561760</v>
      </c>
      <c r="H2406" s="2" t="inlineStr">
        <is>
          <t>82 Bexley Road</t>
        </is>
      </c>
      <c r="I2406" s="2" t="inlineStr">
        <is>
          <t>Bexley</t>
        </is>
      </c>
      <c r="J2406" s="2" t="inlineStr">
        <is>
          <t>Christchurch</t>
        </is>
      </c>
      <c r="K2406" s="2" t="n">
        <v>8061</v>
      </c>
      <c r="L2406" s="2" t="inlineStr">
        <is>
          <t>New Zealand</t>
        </is>
      </c>
      <c r="M2406" s="2" t="inlineStr">
        <is>
          <t>Christchurch</t>
        </is>
      </c>
      <c r="N2406" s="2" t="inlineStr">
        <is>
          <t>New Zealand</t>
        </is>
      </c>
      <c r="P2406" s="2" t="inlineStr">
        <is>
          <t>Operational Control</t>
        </is>
      </c>
      <c r="Q2406" s="2" t="inlineStr">
        <is>
          <t>Operational Control</t>
        </is>
      </c>
      <c r="R2406" s="2" t="inlineStr">
        <is>
          <t>Energy and Utilities (EU)</t>
        </is>
      </c>
      <c r="S2406" s="2" t="inlineStr">
        <is>
          <t>Downer</t>
        </is>
      </c>
      <c r="T2406" s="2" t="n">
        <v>100</v>
      </c>
      <c r="W2406" s="2" t="inlineStr">
        <is>
          <t>Classification</t>
        </is>
      </c>
      <c r="X2406" s="2" t="n">
        <v>-43.5076</v>
      </c>
      <c r="Y2406" s="2" t="n">
        <v>172.7146</v>
      </c>
    </row>
    <row r="2407">
      <c r="A2407" s="2" t="inlineStr">
        <is>
          <t>Downer</t>
        </is>
      </c>
      <c r="B2407" s="2" t="inlineStr">
        <is>
          <t>Waitaki OSM</t>
        </is>
      </c>
      <c r="C2407" s="2" t="inlineStr">
        <is>
          <t>Other</t>
        </is>
      </c>
      <c r="D2407" s="2" t="inlineStr">
        <is>
          <t>L9.DNZJ.66106</t>
        </is>
      </c>
      <c r="E2407" s="2" t="n">
        <v>66106</v>
      </c>
      <c r="M2407" s="2" t="inlineStr">
        <is>
          <t>Manurewa</t>
        </is>
      </c>
      <c r="N2407" s="2" t="inlineStr">
        <is>
          <t>New Zealand</t>
        </is>
      </c>
      <c r="P2407" s="2" t="inlineStr">
        <is>
          <t>Operational Control</t>
        </is>
      </c>
      <c r="Q2407" s="2" t="inlineStr">
        <is>
          <t>Operational Control</t>
        </is>
      </c>
      <c r="R2407" s="2" t="inlineStr">
        <is>
          <t>Transport &amp; Infrastructure (T&amp;I)</t>
        </is>
      </c>
      <c r="S2407" s="2" t="inlineStr">
        <is>
          <t>Downer</t>
        </is>
      </c>
      <c r="T2407" s="2" t="n">
        <v>100</v>
      </c>
      <c r="W2407" s="2" t="inlineStr">
        <is>
          <t>Classification</t>
        </is>
      </c>
    </row>
    <row r="2408">
      <c r="A2408" s="2" t="inlineStr">
        <is>
          <t>Downer</t>
        </is>
      </c>
      <c r="B2408" s="2" t="inlineStr">
        <is>
          <t>Waitaki People/Plant</t>
        </is>
      </c>
      <c r="C2408" s="2" t="inlineStr">
        <is>
          <t>Other</t>
        </is>
      </c>
      <c r="D2408" s="2" t="inlineStr">
        <is>
          <t>L9.DNZJ.66206</t>
        </is>
      </c>
      <c r="E2408" s="2" t="n">
        <v>66206</v>
      </c>
      <c r="H2408" s="2" t="inlineStr">
        <is>
          <t>130 Kerrs Road</t>
        </is>
      </c>
      <c r="I2408" s="2" t="inlineStr">
        <is>
          <t>Wiri</t>
        </is>
      </c>
      <c r="J2408" s="2" t="inlineStr">
        <is>
          <t>Auckland</t>
        </is>
      </c>
      <c r="K2408" s="2" t="n">
        <v>2104</v>
      </c>
      <c r="L2408" s="2" t="inlineStr">
        <is>
          <t>New Zealand</t>
        </is>
      </c>
      <c r="M2408" s="2" t="inlineStr">
        <is>
          <t>Manurewa</t>
        </is>
      </c>
      <c r="N2408" s="2" t="inlineStr">
        <is>
          <t>New Zealand</t>
        </is>
      </c>
      <c r="P2408" s="2" t="inlineStr">
        <is>
          <t>Operational Control</t>
        </is>
      </c>
      <c r="Q2408" s="2" t="inlineStr">
        <is>
          <t>Operational Control</t>
        </is>
      </c>
      <c r="R2408" s="2" t="inlineStr">
        <is>
          <t>Transport &amp; Infrastructure (T&amp;I)</t>
        </is>
      </c>
      <c r="S2408" s="2" t="inlineStr">
        <is>
          <t>Downer</t>
        </is>
      </c>
      <c r="T2408" s="2" t="n">
        <v>100</v>
      </c>
      <c r="W2408" s="2" t="inlineStr">
        <is>
          <t>Classification</t>
        </is>
      </c>
      <c r="X2408" s="2" t="n">
        <v>-37.0083</v>
      </c>
      <c r="Y2408" s="2" t="n">
        <v>174.8705</v>
      </c>
    </row>
    <row r="2409">
      <c r="A2409" s="2" t="inlineStr">
        <is>
          <t>Downer</t>
        </is>
      </c>
      <c r="B2409" s="2" t="inlineStr">
        <is>
          <t>Waitoki Depot</t>
        </is>
      </c>
      <c r="C2409" s="2" t="inlineStr">
        <is>
          <t>Other</t>
        </is>
      </c>
      <c r="D2409" s="2" t="inlineStr">
        <is>
          <t>L9.DNZJ.55524</t>
        </is>
      </c>
      <c r="E2409" s="2" t="n">
        <v>55524</v>
      </c>
      <c r="H2409" s="2" t="inlineStr">
        <is>
          <t>543 Waitoki Road</t>
        </is>
      </c>
      <c r="I2409" s="2" t="inlineStr">
        <is>
          <t>Wainui</t>
        </is>
      </c>
      <c r="J2409" s="2" t="inlineStr">
        <is>
          <t>Wainui</t>
        </is>
      </c>
      <c r="K2409" s="2" t="n">
        <v>871</v>
      </c>
      <c r="L2409" s="2" t="inlineStr">
        <is>
          <t>New Zealand</t>
        </is>
      </c>
      <c r="M2409" s="2" t="inlineStr">
        <is>
          <t>Parakai</t>
        </is>
      </c>
      <c r="N2409" s="2" t="inlineStr">
        <is>
          <t>New Zealand</t>
        </is>
      </c>
      <c r="P2409" s="2" t="inlineStr">
        <is>
          <t>Operational Control</t>
        </is>
      </c>
      <c r="Q2409" s="2" t="inlineStr">
        <is>
          <t>Operational Control</t>
        </is>
      </c>
      <c r="R2409" s="2" t="inlineStr">
        <is>
          <t>Transport &amp; Infrastructure (T&amp;I)</t>
        </is>
      </c>
      <c r="S2409" s="2" t="inlineStr">
        <is>
          <t>Downer</t>
        </is>
      </c>
      <c r="T2409" s="2" t="n">
        <v>100</v>
      </c>
      <c r="W2409" s="2" t="inlineStr">
        <is>
          <t>Classification</t>
        </is>
      </c>
      <c r="X2409" s="2" t="n">
        <v>-36.6022</v>
      </c>
      <c r="Y2409" s="2" t="n">
        <v>174.5921</v>
      </c>
    </row>
    <row r="2410">
      <c r="A2410" s="2" t="inlineStr">
        <is>
          <t>Downer</t>
        </is>
      </c>
      <c r="B2410" s="2" t="inlineStr">
        <is>
          <t>WAKEFIELD HOSPITAL RDVLPMNT S2</t>
        </is>
      </c>
      <c r="C2410" s="2" t="inlineStr">
        <is>
          <t>Other</t>
        </is>
      </c>
      <c r="D2410" s="2" t="inlineStr">
        <is>
          <t>L9.DNZ.HW0221</t>
        </is>
      </c>
      <c r="E2410" s="2" t="inlineStr">
        <is>
          <t>JP_HW0221</t>
        </is>
      </c>
      <c r="H2410" s="2" t="inlineStr">
        <is>
          <t>30 Florence Street</t>
        </is>
      </c>
      <c r="I2410" s="2" t="inlineStr">
        <is>
          <t>Newtown</t>
        </is>
      </c>
      <c r="J2410" s="2" t="inlineStr">
        <is>
          <t>Wellington</t>
        </is>
      </c>
      <c r="K2410" s="2" t="n">
        <v>6021</v>
      </c>
      <c r="L2410" s="2" t="inlineStr">
        <is>
          <t>New Zealand</t>
        </is>
      </c>
      <c r="M2410" s="2" t="inlineStr">
        <is>
          <t>Brooklyn</t>
        </is>
      </c>
      <c r="N2410" s="2" t="inlineStr">
        <is>
          <t>New Zealand</t>
        </is>
      </c>
      <c r="P2410" s="2" t="inlineStr">
        <is>
          <t>Operational Control</t>
        </is>
      </c>
      <c r="Q2410" s="2" t="inlineStr">
        <is>
          <t>Operational Control</t>
        </is>
      </c>
      <c r="R2410" s="2" t="inlineStr">
        <is>
          <t>Transport &amp; Infrastructure (T&amp;I)</t>
        </is>
      </c>
      <c r="S2410" s="2" t="inlineStr">
        <is>
          <t>Downer</t>
        </is>
      </c>
      <c r="T2410" s="2" t="n">
        <v>100</v>
      </c>
      <c r="W2410" s="2" t="inlineStr">
        <is>
          <t>Classification</t>
        </is>
      </c>
      <c r="X2410" s="2" t="n">
        <v>-41.3167</v>
      </c>
      <c r="Y2410" s="2" t="n">
        <v>174.7791</v>
      </c>
    </row>
    <row r="2411">
      <c r="A2411" s="2" t="inlineStr">
        <is>
          <t>Downer</t>
        </is>
      </c>
      <c r="B2411" s="2" t="inlineStr">
        <is>
          <t>Walkley Heights</t>
        </is>
      </c>
      <c r="C2411" s="2" t="inlineStr">
        <is>
          <t>Office</t>
        </is>
      </c>
      <c r="D2411" s="2" t="inlineStr">
        <is>
          <t>L9.J.17021044</t>
        </is>
      </c>
      <c r="E2411" s="2" t="n">
        <v>8025</v>
      </c>
      <c r="M2411" s="2" t="inlineStr">
        <is>
          <t>South Australia</t>
        </is>
      </c>
      <c r="N2411" s="2" t="inlineStr">
        <is>
          <t>Australia</t>
        </is>
      </c>
      <c r="P2411" s="2" t="inlineStr">
        <is>
          <t>Operational Control</t>
        </is>
      </c>
      <c r="Q2411" s="2" t="inlineStr">
        <is>
          <t>Operational Control</t>
        </is>
      </c>
      <c r="R2411" s="2" t="inlineStr">
        <is>
          <t>Transport &amp; Infrastructure (T&amp;I)</t>
        </is>
      </c>
      <c r="S2411" s="2" t="inlineStr">
        <is>
          <t>Downer</t>
        </is>
      </c>
      <c r="T2411" s="2" t="n">
        <v>100</v>
      </c>
      <c r="W2411" s="2" t="inlineStr">
        <is>
          <t>Classification</t>
        </is>
      </c>
    </row>
    <row r="2412">
      <c r="A2412" s="2" t="inlineStr">
        <is>
          <t>Downer</t>
        </is>
      </c>
      <c r="B2412" s="2" t="inlineStr">
        <is>
          <t>Wambo Wind Farm Connection</t>
        </is>
      </c>
      <c r="C2412" s="2" t="inlineStr">
        <is>
          <t>Site</t>
        </is>
      </c>
      <c r="D2412" s="2" t="inlineStr">
        <is>
          <t>L9.J.37740110</t>
        </is>
      </c>
      <c r="E2412" s="2" t="n">
        <v>37740110</v>
      </c>
      <c r="M2412" s="2" t="inlineStr">
        <is>
          <t>Queensland</t>
        </is>
      </c>
      <c r="N2412" s="2" t="inlineStr">
        <is>
          <t>Australia</t>
        </is>
      </c>
      <c r="P2412" s="2" t="inlineStr">
        <is>
          <t>Operational Control</t>
        </is>
      </c>
      <c r="Q2412" s="2" t="inlineStr">
        <is>
          <t>Operational Control</t>
        </is>
      </c>
      <c r="R2412" s="2" t="inlineStr">
        <is>
          <t>Energy and Utilities (EU)</t>
        </is>
      </c>
      <c r="S2412" s="2" t="inlineStr">
        <is>
          <t>Downer</t>
        </is>
      </c>
      <c r="T2412" s="2" t="n">
        <v>100</v>
      </c>
      <c r="W2412" s="2" t="inlineStr">
        <is>
          <t>Classification</t>
        </is>
      </c>
    </row>
    <row r="2413">
      <c r="A2413" s="2" t="inlineStr">
        <is>
          <t>Downer</t>
        </is>
      </c>
      <c r="B2413" s="2" t="inlineStr">
        <is>
          <t>Wanaka (38 Stackbrae Ave)</t>
        </is>
      </c>
      <c r="C2413" s="2" t="inlineStr">
        <is>
          <t>Other</t>
        </is>
      </c>
      <c r="D2413" s="2" t="inlineStr">
        <is>
          <t>L9.DNZJ.91304</t>
        </is>
      </c>
      <c r="E2413" s="2" t="n">
        <v>91304</v>
      </c>
      <c r="M2413" s="2" t="inlineStr">
        <is>
          <t>Manurewa</t>
        </is>
      </c>
      <c r="N2413" s="2" t="inlineStr">
        <is>
          <t>New Zealand</t>
        </is>
      </c>
      <c r="P2413" s="2" t="inlineStr">
        <is>
          <t>Operational Control</t>
        </is>
      </c>
      <c r="Q2413" s="2" t="inlineStr">
        <is>
          <t>Operational Control</t>
        </is>
      </c>
      <c r="R2413" s="2" t="inlineStr">
        <is>
          <t>Corporate</t>
        </is>
      </c>
      <c r="S2413" s="2" t="inlineStr">
        <is>
          <t>Downer</t>
        </is>
      </c>
      <c r="T2413" s="2" t="n">
        <v>100</v>
      </c>
      <c r="W2413" s="2" t="inlineStr">
        <is>
          <t>Classification</t>
        </is>
      </c>
      <c r="AB2413" s="11" t="n">
        <v>45473</v>
      </c>
    </row>
    <row r="2414">
      <c r="A2414" s="2" t="inlineStr">
        <is>
          <t>Downer</t>
        </is>
      </c>
      <c r="B2414" s="2" t="inlineStr">
        <is>
          <t>Wanganui - SP 221</t>
        </is>
      </c>
      <c r="C2414" s="2" t="inlineStr">
        <is>
          <t>Other</t>
        </is>
      </c>
      <c r="D2414" s="2" t="inlineStr">
        <is>
          <t>L9.DUN.60221</t>
        </is>
      </c>
      <c r="E2414" s="2" t="inlineStr">
        <is>
          <t>PG60221</t>
        </is>
      </c>
      <c r="H2414" s="2" t="inlineStr">
        <is>
          <t>130 Kerrs Road</t>
        </is>
      </c>
      <c r="I2414" s="2" t="inlineStr">
        <is>
          <t>Wiri</t>
        </is>
      </c>
      <c r="J2414" s="2" t="inlineStr">
        <is>
          <t>Auckland</t>
        </is>
      </c>
      <c r="K2414" s="2" t="n">
        <v>2104</v>
      </c>
      <c r="L2414" s="2" t="inlineStr">
        <is>
          <t>New Zealand</t>
        </is>
      </c>
      <c r="M2414" s="2" t="inlineStr">
        <is>
          <t>Manurewa</t>
        </is>
      </c>
      <c r="N2414" s="2" t="inlineStr">
        <is>
          <t>New Zealand</t>
        </is>
      </c>
      <c r="P2414" s="2" t="inlineStr">
        <is>
          <t>Operational Control</t>
        </is>
      </c>
      <c r="Q2414" s="2" t="inlineStr">
        <is>
          <t>Operational Control</t>
        </is>
      </c>
      <c r="R2414" s="2" t="inlineStr">
        <is>
          <t>Energy and Utilities (EU)</t>
        </is>
      </c>
      <c r="S2414" s="2" t="inlineStr">
        <is>
          <t>Downer</t>
        </is>
      </c>
      <c r="T2414" s="2" t="n">
        <v>100</v>
      </c>
      <c r="W2414" s="2" t="inlineStr">
        <is>
          <t>Classification</t>
        </is>
      </c>
      <c r="X2414" s="2" t="n">
        <v>-37.0083</v>
      </c>
      <c r="Y2414" s="2" t="n">
        <v>174.8705</v>
      </c>
    </row>
    <row r="2415">
      <c r="A2415" s="2" t="inlineStr">
        <is>
          <t>Downer</t>
        </is>
      </c>
      <c r="B2415" s="2" t="inlineStr">
        <is>
          <t>Wanganui - WM 222</t>
        </is>
      </c>
      <c r="C2415" s="2" t="inlineStr">
        <is>
          <t>Other</t>
        </is>
      </c>
      <c r="D2415" s="2" t="inlineStr">
        <is>
          <t>L9.DUN.60222</t>
        </is>
      </c>
      <c r="E2415" s="2" t="inlineStr">
        <is>
          <t>PG60222</t>
        </is>
      </c>
      <c r="H2415" s="2" t="inlineStr">
        <is>
          <t>130 Kerrs Road</t>
        </is>
      </c>
      <c r="I2415" s="2" t="inlineStr">
        <is>
          <t>Wiri</t>
        </is>
      </c>
      <c r="J2415" s="2" t="inlineStr">
        <is>
          <t>Auckland</t>
        </is>
      </c>
      <c r="K2415" s="2" t="n">
        <v>2104</v>
      </c>
      <c r="L2415" s="2" t="inlineStr">
        <is>
          <t>New Zealand</t>
        </is>
      </c>
      <c r="M2415" s="2" t="inlineStr">
        <is>
          <t>Manurewa</t>
        </is>
      </c>
      <c r="N2415" s="2" t="inlineStr">
        <is>
          <t>New Zealand</t>
        </is>
      </c>
      <c r="P2415" s="2" t="inlineStr">
        <is>
          <t>Operational Control</t>
        </is>
      </c>
      <c r="Q2415" s="2" t="inlineStr">
        <is>
          <t>Operational Control</t>
        </is>
      </c>
      <c r="R2415" s="2" t="inlineStr">
        <is>
          <t>Energy and Utilities (EU)</t>
        </is>
      </c>
      <c r="S2415" s="2" t="inlineStr">
        <is>
          <t>Downer</t>
        </is>
      </c>
      <c r="T2415" s="2" t="n">
        <v>100</v>
      </c>
      <c r="W2415" s="2" t="inlineStr">
        <is>
          <t>Classification</t>
        </is>
      </c>
      <c r="X2415" s="2" t="n">
        <v>-37.0083</v>
      </c>
      <c r="Y2415" s="2" t="n">
        <v>174.8705</v>
      </c>
    </row>
    <row r="2416">
      <c r="A2416" s="2" t="inlineStr">
        <is>
          <t>Downer</t>
        </is>
      </c>
      <c r="B2416" s="2" t="inlineStr">
        <is>
          <t>Wanganui Area Manager</t>
        </is>
      </c>
      <c r="C2416" s="2" t="inlineStr">
        <is>
          <t>Other</t>
        </is>
      </c>
      <c r="D2416" s="2" t="inlineStr">
        <is>
          <t>L9.DUN.60220</t>
        </is>
      </c>
      <c r="E2416" s="2" t="inlineStr">
        <is>
          <t>PG60220</t>
        </is>
      </c>
      <c r="M2416" s="2" t="inlineStr">
        <is>
          <t>Manurewa</t>
        </is>
      </c>
      <c r="N2416" s="2" t="inlineStr">
        <is>
          <t>New Zealand</t>
        </is>
      </c>
      <c r="P2416" s="2" t="inlineStr">
        <is>
          <t>Operational Control</t>
        </is>
      </c>
      <c r="Q2416" s="2" t="inlineStr">
        <is>
          <t>Operational Control</t>
        </is>
      </c>
      <c r="R2416" s="2" t="inlineStr">
        <is>
          <t>Energy and Utilities (EU)</t>
        </is>
      </c>
      <c r="S2416" s="2" t="inlineStr">
        <is>
          <t>Downer</t>
        </is>
      </c>
      <c r="T2416" s="2" t="n">
        <v>100</v>
      </c>
      <c r="W2416" s="2" t="inlineStr">
        <is>
          <t>Classification</t>
        </is>
      </c>
    </row>
    <row r="2417">
      <c r="A2417" s="2" t="inlineStr">
        <is>
          <t>Downer</t>
        </is>
      </c>
      <c r="B2417" s="2" t="inlineStr">
        <is>
          <t>Wanganui Depot</t>
        </is>
      </c>
      <c r="C2417" s="2" t="inlineStr">
        <is>
          <t>Other</t>
        </is>
      </c>
      <c r="D2417" s="2" t="inlineStr">
        <is>
          <t>L9.DNZJ.55596</t>
        </is>
      </c>
      <c r="E2417" s="2" t="n">
        <v>55596</v>
      </c>
      <c r="H2417" s="2" t="inlineStr">
        <is>
          <t>501 Heads Road</t>
        </is>
      </c>
      <c r="I2417" s="2" t="inlineStr">
        <is>
          <t>Castlecliff</t>
        </is>
      </c>
      <c r="J2417" s="2" t="inlineStr">
        <is>
          <t>Whanganui</t>
        </is>
      </c>
      <c r="K2417" s="2" t="n">
        <v>4501</v>
      </c>
      <c r="L2417" s="2" t="inlineStr">
        <is>
          <t>New Zealand</t>
        </is>
      </c>
      <c r="M2417" s="2" t="inlineStr">
        <is>
          <t>Wanganui</t>
        </is>
      </c>
      <c r="N2417" s="2" t="inlineStr">
        <is>
          <t>New Zealand</t>
        </is>
      </c>
      <c r="P2417" s="2" t="inlineStr">
        <is>
          <t>Operational Control</t>
        </is>
      </c>
      <c r="Q2417" s="2" t="inlineStr">
        <is>
          <t>Operational Control</t>
        </is>
      </c>
      <c r="R2417" s="2" t="inlineStr">
        <is>
          <t>Transport &amp; Infrastructure (T&amp;I)</t>
        </is>
      </c>
      <c r="S2417" s="2" t="inlineStr">
        <is>
          <t>Downer</t>
        </is>
      </c>
      <c r="T2417" s="2" t="n">
        <v>100</v>
      </c>
      <c r="W2417" s="2" t="inlineStr">
        <is>
          <t>Classification</t>
        </is>
      </c>
      <c r="X2417" s="2" t="n">
        <v>-39.9437</v>
      </c>
      <c r="Y2417" s="2" t="n">
        <v>174.9953</v>
      </c>
    </row>
    <row r="2418">
      <c r="A2418" s="2" t="inlineStr">
        <is>
          <t>Downer</t>
        </is>
      </c>
      <c r="B2418" s="2" t="inlineStr">
        <is>
          <t>Wanganui Telco Ops</t>
        </is>
      </c>
      <c r="C2418" s="2" t="inlineStr">
        <is>
          <t>Other</t>
        </is>
      </c>
      <c r="D2418" s="2" t="inlineStr">
        <is>
          <t>L9.DNZ.810.10.178</t>
        </is>
      </c>
      <c r="E2418" s="2" t="n">
        <v>10178</v>
      </c>
      <c r="G2418" s="2" t="n">
        <v>10.178</v>
      </c>
      <c r="H2418" s="2" t="inlineStr">
        <is>
          <t>130 Kerrs Road</t>
        </is>
      </c>
      <c r="I2418" s="2" t="inlineStr">
        <is>
          <t>Wiri</t>
        </is>
      </c>
      <c r="J2418" s="2" t="inlineStr">
        <is>
          <t>Auckland</t>
        </is>
      </c>
      <c r="K2418" s="2" t="n">
        <v>2104</v>
      </c>
      <c r="L2418" s="2" t="inlineStr">
        <is>
          <t>New Zealand</t>
        </is>
      </c>
      <c r="M2418" s="2" t="inlineStr">
        <is>
          <t>Manurewa</t>
        </is>
      </c>
      <c r="N2418" s="2" t="inlineStr">
        <is>
          <t>New Zealand</t>
        </is>
      </c>
      <c r="P2418" s="2" t="inlineStr">
        <is>
          <t>Operational Control</t>
        </is>
      </c>
      <c r="Q2418" s="2" t="inlineStr">
        <is>
          <t>Operational Control</t>
        </is>
      </c>
      <c r="R2418" s="2" t="inlineStr">
        <is>
          <t>Energy and Utilities (EU)</t>
        </is>
      </c>
      <c r="S2418" s="2" t="inlineStr">
        <is>
          <t>Downer</t>
        </is>
      </c>
      <c r="T2418" s="2" t="n">
        <v>100</v>
      </c>
      <c r="W2418" s="2" t="inlineStr">
        <is>
          <t>Classification</t>
        </is>
      </c>
      <c r="X2418" s="2" t="n">
        <v>-37.0083</v>
      </c>
      <c r="Y2418" s="2" t="n">
        <v>174.8705</v>
      </c>
    </row>
    <row r="2419">
      <c r="A2419" s="2" t="inlineStr">
        <is>
          <t>Downer</t>
        </is>
      </c>
      <c r="B2419" s="2" t="inlineStr">
        <is>
          <t>Wangaratta</t>
        </is>
      </c>
      <c r="C2419" s="2" t="inlineStr">
        <is>
          <t>Depot</t>
        </is>
      </c>
      <c r="D2419" s="2" t="inlineStr">
        <is>
          <t>L9.J.17081070</t>
        </is>
      </c>
      <c r="E2419" s="2" t="n">
        <v>17081070</v>
      </c>
      <c r="G2419" s="2" t="inlineStr">
        <is>
          <t>Reported under Benalla.Closed for a short period from 30/06/2013, then re-opened</t>
        </is>
      </c>
      <c r="H2419" s="2" t="inlineStr">
        <is>
          <t>51 Buckler Road</t>
        </is>
      </c>
      <c r="I2419" s="2" t="inlineStr">
        <is>
          <t>Wangaratta</t>
        </is>
      </c>
      <c r="J2419" s="2" t="inlineStr">
        <is>
          <t>VIC</t>
        </is>
      </c>
      <c r="K2419" s="2" t="n">
        <v>3677</v>
      </c>
      <c r="L2419" s="2" t="inlineStr">
        <is>
          <t>Australia</t>
        </is>
      </c>
      <c r="M2419" s="2" t="inlineStr">
        <is>
          <t>Victoria</t>
        </is>
      </c>
      <c r="N2419" s="2" t="inlineStr">
        <is>
          <t>Australia</t>
        </is>
      </c>
      <c r="P2419" s="2" t="inlineStr">
        <is>
          <t>Operational Control</t>
        </is>
      </c>
      <c r="Q2419" s="2" t="inlineStr">
        <is>
          <t>Operational Control</t>
        </is>
      </c>
      <c r="R2419" s="2" t="inlineStr">
        <is>
          <t>Transport &amp; Infrastructure (T&amp;I)</t>
        </is>
      </c>
      <c r="S2419" s="2" t="inlineStr">
        <is>
          <t>Downer</t>
        </is>
      </c>
      <c r="T2419" s="2" t="n">
        <v>100</v>
      </c>
      <c r="W2419" s="2" t="inlineStr">
        <is>
          <t>Classification</t>
        </is>
      </c>
      <c r="X2419" s="2" t="n">
        <v>-36.332</v>
      </c>
      <c r="Y2419" s="2" t="n">
        <v>146.368</v>
      </c>
      <c r="Z2419" s="2" t="n">
        <v>310</v>
      </c>
    </row>
    <row r="2420">
      <c r="A2420" s="2" t="inlineStr">
        <is>
          <t>Downer</t>
        </is>
      </c>
      <c r="B2420" s="2" t="inlineStr">
        <is>
          <t>Water - LWIA</t>
        </is>
      </c>
      <c r="C2420" s="2" t="inlineStr">
        <is>
          <t>Depot</t>
        </is>
      </c>
      <c r="D2420" s="2" t="inlineStr">
        <is>
          <t>L9.J.2412000502</t>
        </is>
      </c>
      <c r="E2420" s="2" t="n">
        <v>49</v>
      </c>
      <c r="G2420" s="2" t="inlineStr">
        <is>
          <t>LWIA office within Logan council offices and electricity is covered by Client</t>
        </is>
      </c>
      <c r="H2420" s="2" t="inlineStr">
        <is>
          <t>106 City Road</t>
        </is>
      </c>
      <c r="I2420" s="2" t="inlineStr">
        <is>
          <t>Beenleigh</t>
        </is>
      </c>
      <c r="J2420" s="2" t="inlineStr">
        <is>
          <t>QLD</t>
        </is>
      </c>
      <c r="K2420" s="2" t="n">
        <v>4207</v>
      </c>
      <c r="L2420" s="2" t="inlineStr">
        <is>
          <t>Australia</t>
        </is>
      </c>
      <c r="M2420" s="2" t="inlineStr">
        <is>
          <t>Queensland</t>
        </is>
      </c>
      <c r="N2420" s="2" t="inlineStr">
        <is>
          <t>Australia</t>
        </is>
      </c>
      <c r="P2420" s="2" t="inlineStr">
        <is>
          <t>Operational Control</t>
        </is>
      </c>
      <c r="Q2420" s="2" t="inlineStr">
        <is>
          <t>Operational Control</t>
        </is>
      </c>
      <c r="R2420" s="2" t="inlineStr">
        <is>
          <t>Energy and Utilities (EU)</t>
        </is>
      </c>
      <c r="S2420" s="2" t="inlineStr">
        <is>
          <t>Downer</t>
        </is>
      </c>
      <c r="T2420" s="2" t="n">
        <v>100</v>
      </c>
      <c r="W2420" s="2" t="inlineStr">
        <is>
          <t>Classification</t>
        </is>
      </c>
      <c r="X2420" s="2" t="n">
        <v>-27.715437</v>
      </c>
      <c r="Y2420" s="2" t="n">
        <v>153.202827</v>
      </c>
      <c r="Z2420" s="2" t="n">
        <v>281</v>
      </c>
    </row>
    <row r="2421">
      <c r="A2421" s="2" t="inlineStr">
        <is>
          <t>Downer</t>
        </is>
      </c>
      <c r="B2421" s="2" t="inlineStr">
        <is>
          <t>Water &amp; Wind EU Subcontractors</t>
        </is>
      </c>
      <c r="C2421" s="2" t="inlineStr">
        <is>
          <t>Other</t>
        </is>
      </c>
      <c r="D2421" s="2" t="inlineStr">
        <is>
          <t>L9.J.392124</t>
        </is>
      </c>
      <c r="E2421" s="2" t="inlineStr">
        <is>
          <t>L9.J.392124</t>
        </is>
      </c>
      <c r="M2421" s="2" t="inlineStr">
        <is>
          <t>North Ryde</t>
        </is>
      </c>
      <c r="N2421" s="2" t="inlineStr">
        <is>
          <t>Australia</t>
        </is>
      </c>
      <c r="P2421" s="2" t="inlineStr">
        <is>
          <t>Operational Control</t>
        </is>
      </c>
      <c r="Q2421" s="2" t="inlineStr">
        <is>
          <t>Operational Control</t>
        </is>
      </c>
      <c r="R2421" s="2" t="inlineStr">
        <is>
          <t>Energy and Utilities (EU)</t>
        </is>
      </c>
      <c r="S2421" s="2" t="inlineStr">
        <is>
          <t>Downer</t>
        </is>
      </c>
      <c r="T2421" s="2" t="n">
        <v>100</v>
      </c>
      <c r="W2421" s="2" t="inlineStr">
        <is>
          <t>Classification</t>
        </is>
      </c>
    </row>
    <row r="2422">
      <c r="A2422" s="2" t="inlineStr">
        <is>
          <t>Downer</t>
        </is>
      </c>
      <c r="B2422" s="2" t="inlineStr">
        <is>
          <t>Water Construction Nth Is. EU Subcontractors</t>
        </is>
      </c>
      <c r="C2422" s="2" t="inlineStr">
        <is>
          <t>Other</t>
        </is>
      </c>
      <c r="D2422" s="2" t="inlineStr">
        <is>
          <t>L9.DNZJ.56136</t>
        </is>
      </c>
      <c r="E2422" s="2" t="inlineStr">
        <is>
          <t>L9.DNZJ.56136</t>
        </is>
      </c>
      <c r="M2422" s="2" t="inlineStr">
        <is>
          <t>Auckland City</t>
        </is>
      </c>
      <c r="N2422" s="2" t="inlineStr">
        <is>
          <t>New Zealand</t>
        </is>
      </c>
      <c r="P2422" s="2" t="inlineStr">
        <is>
          <t>Operational Control</t>
        </is>
      </c>
      <c r="Q2422" s="2" t="inlineStr">
        <is>
          <t>Operational Control</t>
        </is>
      </c>
      <c r="R2422" s="2" t="inlineStr">
        <is>
          <t>Energy and Utilities (EU)</t>
        </is>
      </c>
      <c r="S2422" s="2" t="inlineStr">
        <is>
          <t>Downer</t>
        </is>
      </c>
      <c r="T2422" s="2" t="n">
        <v>100</v>
      </c>
      <c r="W2422" s="2" t="inlineStr">
        <is>
          <t>Classification</t>
        </is>
      </c>
    </row>
    <row r="2423">
      <c r="A2423" s="2" t="inlineStr">
        <is>
          <t>Downer</t>
        </is>
      </c>
      <c r="B2423" s="2" t="inlineStr">
        <is>
          <t>Water EU Subcontractors</t>
        </is>
      </c>
      <c r="C2423" s="2" t="inlineStr">
        <is>
          <t>Other</t>
        </is>
      </c>
      <c r="D2423" s="2" t="inlineStr">
        <is>
          <t>L9.J.23710057</t>
        </is>
      </c>
      <c r="E2423" s="2" t="inlineStr">
        <is>
          <t>L9.J.23710057</t>
        </is>
      </c>
      <c r="F2423" s="2" t="inlineStr">
        <is>
          <t>L9.J.23710057</t>
        </is>
      </c>
      <c r="M2423" s="2" t="inlineStr">
        <is>
          <t>Auckland</t>
        </is>
      </c>
      <c r="N2423" s="2" t="inlineStr">
        <is>
          <t>New Zealand</t>
        </is>
      </c>
      <c r="P2423" s="2" t="inlineStr">
        <is>
          <t>Operational Control</t>
        </is>
      </c>
      <c r="Q2423" s="2" t="inlineStr">
        <is>
          <t>Operational Control</t>
        </is>
      </c>
      <c r="R2423" s="2" t="inlineStr">
        <is>
          <t>Energy and Utilities (EU)</t>
        </is>
      </c>
      <c r="S2423" s="2" t="inlineStr">
        <is>
          <t>Downer</t>
        </is>
      </c>
      <c r="T2423" s="2" t="n">
        <v>100</v>
      </c>
      <c r="W2423" s="2" t="inlineStr">
        <is>
          <t>Classification</t>
        </is>
      </c>
    </row>
    <row r="2424">
      <c r="A2424" s="2" t="inlineStr">
        <is>
          <t>Downer</t>
        </is>
      </c>
      <c r="B2424" s="2" t="inlineStr">
        <is>
          <t>Water Ops - Sunbury EU Subcontractors</t>
        </is>
      </c>
      <c r="C2424" s="2" t="inlineStr">
        <is>
          <t>Other</t>
        </is>
      </c>
      <c r="D2424" s="2" t="inlineStr">
        <is>
          <t>L9.J.24150013</t>
        </is>
      </c>
      <c r="E2424" s="2" t="inlineStr">
        <is>
          <t>L9.J.24150013</t>
        </is>
      </c>
      <c r="M2424" s="2" t="inlineStr">
        <is>
          <t>North Ryde</t>
        </is>
      </c>
      <c r="N2424" s="2" t="inlineStr">
        <is>
          <t>Australia</t>
        </is>
      </c>
      <c r="P2424" s="2" t="inlineStr">
        <is>
          <t>Operational Control</t>
        </is>
      </c>
      <c r="Q2424" s="2" t="inlineStr">
        <is>
          <t>Operational Control</t>
        </is>
      </c>
      <c r="R2424" s="2" t="inlineStr">
        <is>
          <t>Energy and Utilities (EU)</t>
        </is>
      </c>
      <c r="S2424" s="2" t="inlineStr">
        <is>
          <t>Downer</t>
        </is>
      </c>
      <c r="T2424" s="2" t="n">
        <v>100</v>
      </c>
      <c r="W2424" s="2" t="inlineStr">
        <is>
          <t>Classification</t>
        </is>
      </c>
    </row>
    <row r="2425">
      <c r="A2425" s="2" t="inlineStr">
        <is>
          <t>Downer</t>
        </is>
      </c>
      <c r="B2425" s="2" t="inlineStr">
        <is>
          <t>Water Process EU Subcontractors</t>
        </is>
      </c>
      <c r="C2425" s="2" t="inlineStr">
        <is>
          <t>Other</t>
        </is>
      </c>
      <c r="D2425" s="2" t="inlineStr">
        <is>
          <t>L9.DNZJ.64990</t>
        </is>
      </c>
      <c r="E2425" s="2" t="inlineStr">
        <is>
          <t>L9.DNZJ.64990</t>
        </is>
      </c>
      <c r="F2425" s="2" t="inlineStr">
        <is>
          <t>L9.DNZJ.64990</t>
        </is>
      </c>
      <c r="M2425" s="2" t="inlineStr">
        <is>
          <t>North Ryde</t>
        </is>
      </c>
      <c r="N2425" s="2" t="inlineStr">
        <is>
          <t>Australia</t>
        </is>
      </c>
      <c r="P2425" s="2" t="inlineStr">
        <is>
          <t>Operational Control</t>
        </is>
      </c>
      <c r="Q2425" s="2" t="inlineStr">
        <is>
          <t>Operational Control</t>
        </is>
      </c>
      <c r="R2425" s="2" t="inlineStr">
        <is>
          <t>Energy and Utilities (EU)</t>
        </is>
      </c>
      <c r="S2425" s="2" t="inlineStr">
        <is>
          <t>Downer</t>
        </is>
      </c>
      <c r="T2425" s="2" t="n">
        <v>100</v>
      </c>
      <c r="W2425" s="2" t="inlineStr">
        <is>
          <t>Classification</t>
        </is>
      </c>
    </row>
    <row r="2426">
      <c r="A2426" s="2" t="inlineStr">
        <is>
          <t>Downer</t>
        </is>
      </c>
      <c r="B2426" s="2" t="inlineStr">
        <is>
          <t>Water Services NI DOH</t>
        </is>
      </c>
      <c r="C2426" s="2" t="inlineStr">
        <is>
          <t>Other</t>
        </is>
      </c>
      <c r="D2426" s="2" t="inlineStr">
        <is>
          <t>L9.DNZJ.56795</t>
        </is>
      </c>
      <c r="E2426" s="2" t="n">
        <v>56795</v>
      </c>
      <c r="M2426" s="2" t="inlineStr">
        <is>
          <t>Auckland</t>
        </is>
      </c>
      <c r="N2426" s="2" t="inlineStr">
        <is>
          <t>New Zealand</t>
        </is>
      </c>
      <c r="P2426" s="2" t="inlineStr">
        <is>
          <t>Operational Control</t>
        </is>
      </c>
      <c r="Q2426" s="2" t="inlineStr">
        <is>
          <t>Operational Control</t>
        </is>
      </c>
      <c r="R2426" s="2" t="inlineStr">
        <is>
          <t>Energy and Utilities (EU)</t>
        </is>
      </c>
      <c r="S2426" s="2" t="inlineStr">
        <is>
          <t>Downer</t>
        </is>
      </c>
      <c r="T2426" s="2" t="n">
        <v>100</v>
      </c>
      <c r="W2426" s="2" t="inlineStr">
        <is>
          <t>Classification</t>
        </is>
      </c>
    </row>
    <row r="2427">
      <c r="A2427" s="2" t="inlineStr">
        <is>
          <t>Downer</t>
        </is>
      </c>
      <c r="B2427" s="2" t="inlineStr">
        <is>
          <t>Water Services NI DOH EU Subcontractors</t>
        </is>
      </c>
      <c r="C2427" s="2" t="inlineStr">
        <is>
          <t>Other</t>
        </is>
      </c>
      <c r="D2427" s="2" t="inlineStr">
        <is>
          <t>L9.DNZJ.56795</t>
        </is>
      </c>
      <c r="E2427" s="2" t="inlineStr">
        <is>
          <t>L9.DNZJ.56795</t>
        </is>
      </c>
      <c r="F2427" s="2" t="inlineStr">
        <is>
          <t>L9.DNZJ.56795</t>
        </is>
      </c>
      <c r="M2427" s="2" t="inlineStr">
        <is>
          <t>North Ryde</t>
        </is>
      </c>
      <c r="N2427" s="2" t="inlineStr">
        <is>
          <t>Australia</t>
        </is>
      </c>
      <c r="P2427" s="2" t="inlineStr">
        <is>
          <t>Operational Control</t>
        </is>
      </c>
      <c r="Q2427" s="2" t="inlineStr">
        <is>
          <t>Operational Control</t>
        </is>
      </c>
      <c r="R2427" s="2" t="inlineStr">
        <is>
          <t>Energy and Utilities (EU)</t>
        </is>
      </c>
      <c r="S2427" s="2" t="inlineStr">
        <is>
          <t>Downer</t>
        </is>
      </c>
      <c r="T2427" s="2" t="n">
        <v>100</v>
      </c>
      <c r="W2427" s="2" t="inlineStr">
        <is>
          <t>Classification</t>
        </is>
      </c>
    </row>
    <row r="2428">
      <c r="A2428" s="2" t="inlineStr">
        <is>
          <t>Downer</t>
        </is>
      </c>
      <c r="B2428" s="2" t="inlineStr">
        <is>
          <t>Water Services NSW/ACT/VIC EU Subcontractors</t>
        </is>
      </c>
      <c r="C2428" s="2" t="inlineStr">
        <is>
          <t>Other</t>
        </is>
      </c>
      <c r="D2428" s="2" t="inlineStr">
        <is>
          <t>L9.J.377311</t>
        </is>
      </c>
      <c r="E2428" s="2" t="inlineStr">
        <is>
          <t>L9.J.377311</t>
        </is>
      </c>
      <c r="F2428" s="2" t="inlineStr">
        <is>
          <t>L9.J.377311</t>
        </is>
      </c>
      <c r="M2428" s="2" t="inlineStr">
        <is>
          <t>Auckland</t>
        </is>
      </c>
      <c r="N2428" s="2" t="inlineStr">
        <is>
          <t>New Zealand</t>
        </is>
      </c>
      <c r="P2428" s="2" t="inlineStr">
        <is>
          <t>Operational Control</t>
        </is>
      </c>
      <c r="Q2428" s="2" t="inlineStr">
        <is>
          <t>Operational Control</t>
        </is>
      </c>
      <c r="R2428" s="2" t="inlineStr">
        <is>
          <t>Energy and Utilities (EU)</t>
        </is>
      </c>
      <c r="S2428" s="2" t="inlineStr">
        <is>
          <t>Downer</t>
        </is>
      </c>
      <c r="T2428" s="2" t="n">
        <v>100</v>
      </c>
      <c r="W2428" s="2" t="inlineStr">
        <is>
          <t>Classification</t>
        </is>
      </c>
    </row>
    <row r="2429">
      <c r="A2429" s="2" t="inlineStr">
        <is>
          <t>Downer</t>
        </is>
      </c>
      <c r="B2429" s="2" t="inlineStr">
        <is>
          <t>Water Services Programs EU Subcontractors</t>
        </is>
      </c>
      <c r="C2429" s="2" t="inlineStr">
        <is>
          <t>Other</t>
        </is>
      </c>
      <c r="D2429" s="2" t="inlineStr">
        <is>
          <t>L9.DUA.30169105</t>
        </is>
      </c>
      <c r="E2429" s="2" t="inlineStr">
        <is>
          <t>L9.DUA.30169105</t>
        </is>
      </c>
      <c r="M2429" s="2" t="inlineStr">
        <is>
          <t>North Ryde</t>
        </is>
      </c>
      <c r="N2429" s="2" t="inlineStr">
        <is>
          <t>Australia</t>
        </is>
      </c>
      <c r="P2429" s="2" t="inlineStr">
        <is>
          <t>Operational Control</t>
        </is>
      </c>
      <c r="Q2429" s="2" t="inlineStr">
        <is>
          <t>Operational Control</t>
        </is>
      </c>
      <c r="R2429" s="2" t="inlineStr">
        <is>
          <t>Energy and Utilities (EU)</t>
        </is>
      </c>
      <c r="S2429" s="2" t="inlineStr">
        <is>
          <t>Downer</t>
        </is>
      </c>
      <c r="T2429" s="2" t="n">
        <v>100</v>
      </c>
      <c r="W2429" s="2" t="inlineStr">
        <is>
          <t>Classification</t>
        </is>
      </c>
    </row>
    <row r="2430">
      <c r="A2430" s="2" t="inlineStr">
        <is>
          <t>Downer</t>
        </is>
      </c>
      <c r="B2430" s="2" t="inlineStr">
        <is>
          <t>Water Southern DOH</t>
        </is>
      </c>
      <c r="C2430" s="2" t="inlineStr">
        <is>
          <t>Other</t>
        </is>
      </c>
      <c r="D2430" s="2" t="inlineStr">
        <is>
          <t>L9.DNZJ.56792</t>
        </is>
      </c>
      <c r="E2430" s="2" t="n">
        <v>56792</v>
      </c>
      <c r="F2430" s="2" t="n">
        <v>1088880</v>
      </c>
      <c r="H2430" s="2" t="inlineStr">
        <is>
          <t>130 Kerrs Road</t>
        </is>
      </c>
      <c r="I2430" s="2" t="inlineStr">
        <is>
          <t>Wiri</t>
        </is>
      </c>
      <c r="J2430" s="2" t="inlineStr">
        <is>
          <t>Auckland</t>
        </is>
      </c>
      <c r="K2430" s="2" t="n">
        <v>2104</v>
      </c>
      <c r="L2430" s="2" t="inlineStr">
        <is>
          <t>New Zealand</t>
        </is>
      </c>
      <c r="M2430" s="2" t="inlineStr">
        <is>
          <t>Manurewa</t>
        </is>
      </c>
      <c r="N2430" s="2" t="inlineStr">
        <is>
          <t>New Zealand</t>
        </is>
      </c>
      <c r="P2430" s="2" t="inlineStr">
        <is>
          <t>Operational Control</t>
        </is>
      </c>
      <c r="Q2430" s="2" t="inlineStr">
        <is>
          <t>Operational Control</t>
        </is>
      </c>
      <c r="R2430" s="2" t="inlineStr">
        <is>
          <t>Energy and Utilities (EU)</t>
        </is>
      </c>
      <c r="S2430" s="2" t="inlineStr">
        <is>
          <t>Downer</t>
        </is>
      </c>
      <c r="T2430" s="2" t="n">
        <v>100</v>
      </c>
      <c r="W2430" s="2" t="inlineStr">
        <is>
          <t>Classification</t>
        </is>
      </c>
      <c r="X2430" s="2" t="n">
        <v>-37.0083</v>
      </c>
      <c r="Y2430" s="2" t="n">
        <v>174.8705</v>
      </c>
    </row>
    <row r="2431">
      <c r="A2431" s="2" t="inlineStr">
        <is>
          <t>Downer</t>
        </is>
      </c>
      <c r="B2431" s="2" t="inlineStr">
        <is>
          <t>Water Support Services</t>
        </is>
      </c>
      <c r="C2431" s="2" t="inlineStr">
        <is>
          <t>Other</t>
        </is>
      </c>
      <c r="D2431" s="2" t="inlineStr">
        <is>
          <t>L9.DNZJ.56902</t>
        </is>
      </c>
      <c r="E2431" s="2" t="n">
        <v>56902</v>
      </c>
      <c r="H2431" s="2" t="inlineStr">
        <is>
          <t>130 Kerrs Road</t>
        </is>
      </c>
      <c r="I2431" s="2" t="inlineStr">
        <is>
          <t>Wiri</t>
        </is>
      </c>
      <c r="J2431" s="2" t="inlineStr">
        <is>
          <t>Auckland</t>
        </is>
      </c>
      <c r="K2431" s="2" t="n">
        <v>2104</v>
      </c>
      <c r="L2431" s="2" t="inlineStr">
        <is>
          <t>New Zealand</t>
        </is>
      </c>
      <c r="M2431" s="2" t="inlineStr">
        <is>
          <t>Manurewa</t>
        </is>
      </c>
      <c r="N2431" s="2" t="inlineStr">
        <is>
          <t>New Zealand</t>
        </is>
      </c>
      <c r="P2431" s="2" t="inlineStr">
        <is>
          <t>Operational Control</t>
        </is>
      </c>
      <c r="Q2431" s="2" t="inlineStr">
        <is>
          <t>Operational Control</t>
        </is>
      </c>
      <c r="R2431" s="2" t="inlineStr">
        <is>
          <t>Energy and Utilities (EU)</t>
        </is>
      </c>
      <c r="S2431" s="2" t="inlineStr">
        <is>
          <t>Downer</t>
        </is>
      </c>
      <c r="T2431" s="2" t="n">
        <v>100</v>
      </c>
      <c r="W2431" s="2" t="inlineStr">
        <is>
          <t>Classification</t>
        </is>
      </c>
      <c r="X2431" s="2" t="n">
        <v>-37.0083</v>
      </c>
      <c r="Y2431" s="2" t="n">
        <v>174.8705</v>
      </c>
    </row>
    <row r="2432">
      <c r="A2432" s="2" t="inlineStr">
        <is>
          <t>Downer</t>
        </is>
      </c>
      <c r="B2432" s="2" t="inlineStr">
        <is>
          <t>Water Support Services EU Subcontractors</t>
        </is>
      </c>
      <c r="C2432" s="2" t="inlineStr">
        <is>
          <t>Other</t>
        </is>
      </c>
      <c r="D2432" s="2" t="inlineStr">
        <is>
          <t>L9.DNZJ.56902</t>
        </is>
      </c>
      <c r="E2432" s="2" t="inlineStr">
        <is>
          <t>L9.DNZJ.56902</t>
        </is>
      </c>
      <c r="F2432" s="2" t="inlineStr">
        <is>
          <t>L9.DNZJ.56902</t>
        </is>
      </c>
      <c r="M2432" s="2" t="inlineStr">
        <is>
          <t>North Ryde</t>
        </is>
      </c>
      <c r="N2432" s="2" t="inlineStr">
        <is>
          <t>Australia</t>
        </is>
      </c>
      <c r="P2432" s="2" t="inlineStr">
        <is>
          <t>Operational Control</t>
        </is>
      </c>
      <c r="Q2432" s="2" t="inlineStr">
        <is>
          <t>Operational Control</t>
        </is>
      </c>
      <c r="R2432" s="2" t="inlineStr">
        <is>
          <t>Energy and Utilities (EU)</t>
        </is>
      </c>
      <c r="S2432" s="2" t="inlineStr">
        <is>
          <t>Downer</t>
        </is>
      </c>
      <c r="T2432" s="2" t="n">
        <v>100</v>
      </c>
      <c r="W2432" s="2" t="inlineStr">
        <is>
          <t>Classification</t>
        </is>
      </c>
    </row>
    <row r="2433">
      <c r="A2433" s="2" t="inlineStr">
        <is>
          <t>Downer</t>
        </is>
      </c>
      <c r="B2433" s="2" t="inlineStr">
        <is>
          <t>Water Zero Harm</t>
        </is>
      </c>
      <c r="C2433" s="2" t="inlineStr">
        <is>
          <t>Depot</t>
        </is>
      </c>
      <c r="D2433" s="2" t="inlineStr">
        <is>
          <t>L9.DNZJ.56907</t>
        </is>
      </c>
      <c r="E2433" s="2" t="inlineStr">
        <is>
          <t>L9.DNZJ.56907</t>
        </is>
      </c>
      <c r="M2433" s="2" t="inlineStr">
        <is>
          <t>Auckland City</t>
        </is>
      </c>
      <c r="N2433" s="2" t="inlineStr">
        <is>
          <t>New Zealand</t>
        </is>
      </c>
      <c r="P2433" s="2" t="inlineStr">
        <is>
          <t>Operational Control</t>
        </is>
      </c>
      <c r="Q2433" s="2" t="inlineStr">
        <is>
          <t>Operational Control</t>
        </is>
      </c>
      <c r="R2433" s="2" t="inlineStr">
        <is>
          <t>Energy and Utilities (EU)</t>
        </is>
      </c>
      <c r="S2433" s="2" t="inlineStr">
        <is>
          <t>Downer</t>
        </is>
      </c>
      <c r="T2433" s="2" t="n">
        <v>100</v>
      </c>
      <c r="W2433" s="2" t="inlineStr">
        <is>
          <t>Classification</t>
        </is>
      </c>
    </row>
    <row r="2434">
      <c r="A2434" s="2" t="inlineStr">
        <is>
          <t>Downer</t>
        </is>
      </c>
      <c r="B2434" s="2" t="inlineStr">
        <is>
          <t>Watercare North West EU Subcontractors</t>
        </is>
      </c>
      <c r="C2434" s="2" t="inlineStr">
        <is>
          <t>Other</t>
        </is>
      </c>
      <c r="D2434" s="2" t="inlineStr">
        <is>
          <t>L9.DNZJ.56121</t>
        </is>
      </c>
      <c r="E2434" s="2" t="inlineStr">
        <is>
          <t>L9.DNZJ.56121</t>
        </is>
      </c>
      <c r="M2434" s="2" t="inlineStr">
        <is>
          <t>Auckland City</t>
        </is>
      </c>
      <c r="N2434" s="2" t="inlineStr">
        <is>
          <t>New Zealand</t>
        </is>
      </c>
      <c r="P2434" s="2" t="inlineStr">
        <is>
          <t>Operational Control</t>
        </is>
      </c>
      <c r="Q2434" s="2" t="inlineStr">
        <is>
          <t>Operational Control</t>
        </is>
      </c>
      <c r="R2434" s="2" t="inlineStr">
        <is>
          <t>Energy and Utilities (EU)</t>
        </is>
      </c>
      <c r="S2434" s="2" t="inlineStr">
        <is>
          <t>Downer</t>
        </is>
      </c>
      <c r="T2434" s="2" t="n">
        <v>100</v>
      </c>
      <c r="W2434" s="2" t="inlineStr">
        <is>
          <t>Classification</t>
        </is>
      </c>
    </row>
    <row r="2435">
      <c r="A2435" s="2" t="inlineStr">
        <is>
          <t>Downer</t>
        </is>
      </c>
      <c r="B2435" s="2" t="inlineStr">
        <is>
          <t>WCC 45000643 W</t>
        </is>
      </c>
      <c r="C2435" s="2" t="inlineStr">
        <is>
          <t>Other</t>
        </is>
      </c>
      <c r="D2435" s="2" t="inlineStr">
        <is>
          <t>L9.S.26015590</t>
        </is>
      </c>
      <c r="E2435" s="2" t="n">
        <v>2000004354</v>
      </c>
      <c r="H2435" s="2" t="inlineStr">
        <is>
          <t>130 Kerrs Road</t>
        </is>
      </c>
      <c r="I2435" s="2" t="inlineStr">
        <is>
          <t>Wiri</t>
        </is>
      </c>
      <c r="J2435" s="2" t="inlineStr">
        <is>
          <t>Auckland</t>
        </is>
      </c>
      <c r="K2435" s="2" t="n">
        <v>2104</v>
      </c>
      <c r="L2435" s="2" t="inlineStr">
        <is>
          <t>New Zealand</t>
        </is>
      </c>
      <c r="M2435" s="2" t="inlineStr">
        <is>
          <t>Manurewa</t>
        </is>
      </c>
      <c r="N2435" s="2" t="inlineStr">
        <is>
          <t>New Zealand</t>
        </is>
      </c>
      <c r="P2435" s="2" t="inlineStr">
        <is>
          <t>Operational Control</t>
        </is>
      </c>
      <c r="Q2435" s="2" t="inlineStr">
        <is>
          <t>Operational Control</t>
        </is>
      </c>
      <c r="R2435" s="2" t="inlineStr">
        <is>
          <t>Social Infra &amp; Citizen Serv (SICS)</t>
        </is>
      </c>
      <c r="S2435" s="2" t="inlineStr">
        <is>
          <t>Downer</t>
        </is>
      </c>
      <c r="T2435" s="2" t="n">
        <v>100</v>
      </c>
      <c r="W2435" s="2" t="inlineStr">
        <is>
          <t>Classification</t>
        </is>
      </c>
      <c r="X2435" s="2" t="n">
        <v>-37.0083</v>
      </c>
      <c r="Y2435" s="2" t="n">
        <v>174.8705</v>
      </c>
    </row>
    <row r="2436">
      <c r="A2436" s="2" t="inlineStr">
        <is>
          <t>Downer</t>
        </is>
      </c>
      <c r="B2436" s="2" t="inlineStr">
        <is>
          <t>WDA Construction Costs</t>
        </is>
      </c>
      <c r="C2436" s="2" t="inlineStr">
        <is>
          <t>Other</t>
        </is>
      </c>
      <c r="D2436" s="2" t="inlineStr">
        <is>
          <t>L9.DNZJ.550707</t>
        </is>
      </c>
      <c r="E2436" s="2" t="n">
        <v>550707</v>
      </c>
      <c r="H2436" s="2" t="inlineStr">
        <is>
          <t>130 Kerrs Road</t>
        </is>
      </c>
      <c r="I2436" s="2" t="inlineStr">
        <is>
          <t>Wiri</t>
        </is>
      </c>
      <c r="J2436" s="2" t="inlineStr">
        <is>
          <t>Auckland</t>
        </is>
      </c>
      <c r="K2436" s="2" t="n">
        <v>2104</v>
      </c>
      <c r="L2436" s="2" t="inlineStr">
        <is>
          <t>New Zealand</t>
        </is>
      </c>
      <c r="M2436" s="2" t="inlineStr">
        <is>
          <t>Manurewa</t>
        </is>
      </c>
      <c r="N2436" s="2" t="inlineStr">
        <is>
          <t>New Zealand</t>
        </is>
      </c>
      <c r="P2436" s="2" t="inlineStr">
        <is>
          <t>Operational Control</t>
        </is>
      </c>
      <c r="Q2436" s="2" t="inlineStr">
        <is>
          <t>Operational Control</t>
        </is>
      </c>
      <c r="R2436" s="2" t="inlineStr">
        <is>
          <t>Transport &amp; Infrastructure (T&amp;I)</t>
        </is>
      </c>
      <c r="S2436" s="2" t="inlineStr">
        <is>
          <t>Downer</t>
        </is>
      </c>
      <c r="T2436" s="2" t="n">
        <v>100</v>
      </c>
      <c r="W2436" s="2" t="inlineStr">
        <is>
          <t>Classification</t>
        </is>
      </c>
      <c r="X2436" s="2" t="n">
        <v>-37.0083</v>
      </c>
      <c r="Y2436" s="2" t="n">
        <v>174.8705</v>
      </c>
    </row>
    <row r="2437">
      <c r="A2437" s="2" t="inlineStr">
        <is>
          <t>Downer</t>
        </is>
      </c>
      <c r="B2437" s="2" t="inlineStr">
        <is>
          <t>WDA Maintenance Costs</t>
        </is>
      </c>
      <c r="C2437" s="2" t="inlineStr">
        <is>
          <t>Other</t>
        </is>
      </c>
      <c r="D2437" s="2" t="inlineStr">
        <is>
          <t>L9.DNZJ.550593</t>
        </is>
      </c>
      <c r="E2437" s="2" t="n">
        <v>550593</v>
      </c>
      <c r="M2437" s="2" t="inlineStr">
        <is>
          <t>Auckland</t>
        </is>
      </c>
      <c r="N2437" s="2" t="inlineStr">
        <is>
          <t>New Zealand</t>
        </is>
      </c>
      <c r="P2437" s="2" t="inlineStr">
        <is>
          <t>Operational Control</t>
        </is>
      </c>
      <c r="Q2437" s="2" t="inlineStr">
        <is>
          <t>Operational Control</t>
        </is>
      </c>
      <c r="R2437" s="2" t="inlineStr">
        <is>
          <t>Transport &amp; Infrastructure (T&amp;I)</t>
        </is>
      </c>
      <c r="S2437" s="2" t="inlineStr">
        <is>
          <t>Downer</t>
        </is>
      </c>
      <c r="T2437" s="2" t="n">
        <v>100</v>
      </c>
      <c r="W2437" s="2" t="inlineStr">
        <is>
          <t>Classification</t>
        </is>
      </c>
    </row>
    <row r="2438">
      <c r="A2438" s="2" t="inlineStr">
        <is>
          <t>Downer</t>
        </is>
      </c>
      <c r="B2438" s="2" t="inlineStr">
        <is>
          <t>WDC Alliance Asphalt</t>
        </is>
      </c>
      <c r="C2438" s="2" t="inlineStr">
        <is>
          <t>Asphalt Plant</t>
        </is>
      </c>
      <c r="D2438" s="2" t="inlineStr">
        <is>
          <t>L9.DNZJ.552188</t>
        </is>
      </c>
      <c r="E2438" s="2" t="n">
        <v>552188</v>
      </c>
      <c r="M2438" s="2" t="inlineStr">
        <is>
          <t>Manurewa</t>
        </is>
      </c>
      <c r="N2438" s="2" t="inlineStr">
        <is>
          <t>New Zealand</t>
        </is>
      </c>
      <c r="P2438" s="2" t="inlineStr">
        <is>
          <t>Operational Control</t>
        </is>
      </c>
      <c r="Q2438" s="2" t="inlineStr">
        <is>
          <t>Operational Control</t>
        </is>
      </c>
      <c r="R2438" s="2" t="inlineStr">
        <is>
          <t>Transport &amp; Infrastructure (T&amp;I)</t>
        </is>
      </c>
      <c r="S2438" s="2" t="inlineStr">
        <is>
          <t>Downer</t>
        </is>
      </c>
      <c r="T2438" s="2" t="n">
        <v>100</v>
      </c>
      <c r="W2438" s="2" t="inlineStr">
        <is>
          <t>Classification</t>
        </is>
      </c>
    </row>
    <row r="2439">
      <c r="A2439" s="2" t="inlineStr">
        <is>
          <t>Downer</t>
        </is>
      </c>
      <c r="B2439" s="2" t="inlineStr">
        <is>
          <t>WDC Alliance Base 1</t>
        </is>
      </c>
      <c r="C2439" s="2" t="inlineStr">
        <is>
          <t>Other</t>
        </is>
      </c>
      <c r="D2439" s="2" t="inlineStr">
        <is>
          <t>L9.DNZJ.552177</t>
        </is>
      </c>
      <c r="E2439" s="2" t="n">
        <v>552177</v>
      </c>
      <c r="H2439" s="2" t="inlineStr">
        <is>
          <t>130 Kerrs Road</t>
        </is>
      </c>
      <c r="I2439" s="2" t="inlineStr">
        <is>
          <t>Wiri</t>
        </is>
      </c>
      <c r="J2439" s="2" t="inlineStr">
        <is>
          <t>Auckland</t>
        </is>
      </c>
      <c r="K2439" s="2" t="n">
        <v>2104</v>
      </c>
      <c r="L2439" s="2" t="inlineStr">
        <is>
          <t>New Zealand</t>
        </is>
      </c>
      <c r="M2439" s="2" t="inlineStr">
        <is>
          <t>Manurewa</t>
        </is>
      </c>
      <c r="N2439" s="2" t="inlineStr">
        <is>
          <t>New Zealand</t>
        </is>
      </c>
      <c r="P2439" s="2" t="inlineStr">
        <is>
          <t>Operational Control</t>
        </is>
      </c>
      <c r="Q2439" s="2" t="inlineStr">
        <is>
          <t>Operational Control</t>
        </is>
      </c>
      <c r="R2439" s="2" t="inlineStr">
        <is>
          <t>Transport &amp; Infrastructure (T&amp;I)</t>
        </is>
      </c>
      <c r="S2439" s="2" t="inlineStr">
        <is>
          <t>Downer</t>
        </is>
      </c>
      <c r="T2439" s="2" t="n">
        <v>100</v>
      </c>
      <c r="W2439" s="2" t="inlineStr">
        <is>
          <t>Classification</t>
        </is>
      </c>
      <c r="X2439" s="2" t="n">
        <v>-37.0083</v>
      </c>
      <c r="Y2439" s="2" t="n">
        <v>174.8705</v>
      </c>
    </row>
    <row r="2440">
      <c r="A2440" s="2" t="inlineStr">
        <is>
          <t>Downer</t>
        </is>
      </c>
      <c r="B2440" s="2" t="inlineStr">
        <is>
          <t>WDC Alliance Base 2</t>
        </is>
      </c>
      <c r="C2440" s="2" t="inlineStr">
        <is>
          <t>Other</t>
        </is>
      </c>
      <c r="D2440" s="2" t="inlineStr">
        <is>
          <t>L9.DNZJ.552178</t>
        </is>
      </c>
      <c r="E2440" s="2" t="n">
        <v>552178</v>
      </c>
      <c r="H2440" s="2" t="inlineStr">
        <is>
          <t>130 Kerrs Road</t>
        </is>
      </c>
      <c r="I2440" s="2" t="inlineStr">
        <is>
          <t>Wiri</t>
        </is>
      </c>
      <c r="J2440" s="2" t="inlineStr">
        <is>
          <t>Auckland</t>
        </is>
      </c>
      <c r="K2440" s="2" t="n">
        <v>2104</v>
      </c>
      <c r="L2440" s="2" t="inlineStr">
        <is>
          <t>New Zealand</t>
        </is>
      </c>
      <c r="M2440" s="2" t="inlineStr">
        <is>
          <t>Manurewa</t>
        </is>
      </c>
      <c r="N2440" s="2" t="inlineStr">
        <is>
          <t>New Zealand</t>
        </is>
      </c>
      <c r="P2440" s="2" t="inlineStr">
        <is>
          <t>Operational Control</t>
        </is>
      </c>
      <c r="Q2440" s="2" t="inlineStr">
        <is>
          <t>Operational Control</t>
        </is>
      </c>
      <c r="R2440" s="2" t="inlineStr">
        <is>
          <t>Transport &amp; Infrastructure (T&amp;I)</t>
        </is>
      </c>
      <c r="S2440" s="2" t="inlineStr">
        <is>
          <t>Downer</t>
        </is>
      </c>
      <c r="T2440" s="2" t="n">
        <v>100</v>
      </c>
      <c r="W2440" s="2" t="inlineStr">
        <is>
          <t>Classification</t>
        </is>
      </c>
      <c r="X2440" s="2" t="n">
        <v>-37.0083</v>
      </c>
      <c r="Y2440" s="2" t="n">
        <v>174.8705</v>
      </c>
    </row>
    <row r="2441">
      <c r="A2441" s="2" t="inlineStr">
        <is>
          <t>Downer</t>
        </is>
      </c>
      <c r="B2441" s="2" t="inlineStr">
        <is>
          <t>WDC Alliance Dayworks</t>
        </is>
      </c>
      <c r="C2441" s="2" t="inlineStr">
        <is>
          <t>Other</t>
        </is>
      </c>
      <c r="D2441" s="2" t="inlineStr">
        <is>
          <t>L9.DNZJ.552179</t>
        </is>
      </c>
      <c r="E2441" s="2" t="n">
        <v>552179</v>
      </c>
      <c r="H2441" s="2" t="inlineStr">
        <is>
          <t>130 Kerrs Road</t>
        </is>
      </c>
      <c r="I2441" s="2" t="inlineStr">
        <is>
          <t>Wiri</t>
        </is>
      </c>
      <c r="J2441" s="2" t="inlineStr">
        <is>
          <t>Auckland</t>
        </is>
      </c>
      <c r="K2441" s="2" t="n">
        <v>2104</v>
      </c>
      <c r="L2441" s="2" t="inlineStr">
        <is>
          <t>New Zealand</t>
        </is>
      </c>
      <c r="M2441" s="2" t="inlineStr">
        <is>
          <t>Manurewa</t>
        </is>
      </c>
      <c r="N2441" s="2" t="inlineStr">
        <is>
          <t>New Zealand</t>
        </is>
      </c>
      <c r="P2441" s="2" t="inlineStr">
        <is>
          <t>Operational Control</t>
        </is>
      </c>
      <c r="Q2441" s="2" t="inlineStr">
        <is>
          <t>Operational Control</t>
        </is>
      </c>
      <c r="R2441" s="2" t="inlineStr">
        <is>
          <t>Transport &amp; Infrastructure (T&amp;I)</t>
        </is>
      </c>
      <c r="S2441" s="2" t="inlineStr">
        <is>
          <t>Downer</t>
        </is>
      </c>
      <c r="T2441" s="2" t="n">
        <v>100</v>
      </c>
      <c r="W2441" s="2" t="inlineStr">
        <is>
          <t>Classification</t>
        </is>
      </c>
      <c r="X2441" s="2" t="n">
        <v>-37.0083</v>
      </c>
      <c r="Y2441" s="2" t="n">
        <v>174.8705</v>
      </c>
    </row>
    <row r="2442">
      <c r="A2442" s="2" t="inlineStr">
        <is>
          <t>Downer</t>
        </is>
      </c>
      <c r="B2442" s="2" t="inlineStr">
        <is>
          <t>WDC Alliance Emergency Works</t>
        </is>
      </c>
      <c r="C2442" s="2" t="inlineStr">
        <is>
          <t>Public Facility</t>
        </is>
      </c>
      <c r="D2442" s="2" t="inlineStr">
        <is>
          <t>L9.DNZJ.552180</t>
        </is>
      </c>
      <c r="E2442" s="2" t="n">
        <v>552180</v>
      </c>
      <c r="G2442" s="2" t="inlineStr">
        <is>
          <t>TI-NZT-552180 - WDC Alliance Emergency Works (TI-NZT - Taranaki Whanganui Road Corridor Maint)</t>
        </is>
      </c>
      <c r="M2442" s="2" t="inlineStr">
        <is>
          <t>Taranaki</t>
        </is>
      </c>
      <c r="N2442" s="2" t="inlineStr">
        <is>
          <t>New Zealand</t>
        </is>
      </c>
      <c r="P2442" s="2" t="inlineStr">
        <is>
          <t>Operational Control</t>
        </is>
      </c>
      <c r="Q2442" s="2" t="inlineStr">
        <is>
          <t>Operational Control</t>
        </is>
      </c>
      <c r="R2442" s="2" t="inlineStr">
        <is>
          <t>Transport &amp; Infrastructure (T&amp;I)</t>
        </is>
      </c>
      <c r="S2442" s="2" t="inlineStr">
        <is>
          <t>Downer</t>
        </is>
      </c>
      <c r="T2442" s="2" t="n">
        <v>100</v>
      </c>
      <c r="W2442" s="2" t="inlineStr">
        <is>
          <t>Classification</t>
        </is>
      </c>
    </row>
    <row r="2443">
      <c r="A2443" s="2" t="inlineStr">
        <is>
          <t>Downer</t>
        </is>
      </c>
      <c r="B2443" s="2" t="inlineStr">
        <is>
          <t>WDC Alliance Low Cost/Low Risk</t>
        </is>
      </c>
      <c r="C2443" s="2" t="inlineStr">
        <is>
          <t>Other</t>
        </is>
      </c>
      <c r="D2443" s="2" t="inlineStr">
        <is>
          <t>L9.DNZJ.552181</t>
        </is>
      </c>
      <c r="E2443" s="2" t="n">
        <v>552181</v>
      </c>
      <c r="M2443" s="2" t="inlineStr">
        <is>
          <t>Manurewa</t>
        </is>
      </c>
      <c r="N2443" s="2" t="inlineStr">
        <is>
          <t>New Zealand</t>
        </is>
      </c>
      <c r="P2443" s="2" t="inlineStr">
        <is>
          <t>Operational Control</t>
        </is>
      </c>
      <c r="Q2443" s="2" t="inlineStr">
        <is>
          <t>Operational Control</t>
        </is>
      </c>
      <c r="R2443" s="2" t="inlineStr">
        <is>
          <t>Transport &amp; Infrastructure (T&amp;I)</t>
        </is>
      </c>
      <c r="S2443" s="2" t="inlineStr">
        <is>
          <t>Downer</t>
        </is>
      </c>
      <c r="T2443" s="2" t="n">
        <v>100</v>
      </c>
      <c r="W2443" s="2" t="inlineStr">
        <is>
          <t>Classification</t>
        </is>
      </c>
    </row>
    <row r="2444">
      <c r="A2444" s="2" t="inlineStr">
        <is>
          <t>Downer</t>
        </is>
      </c>
      <c r="B2444" s="2" t="inlineStr">
        <is>
          <t>WDC Alliance Minor Events</t>
        </is>
      </c>
      <c r="C2444" s="2" t="inlineStr">
        <is>
          <t>Other</t>
        </is>
      </c>
      <c r="D2444" s="2" t="inlineStr">
        <is>
          <t>L9.DNZJ.552182</t>
        </is>
      </c>
      <c r="E2444" s="2" t="n">
        <v>552182</v>
      </c>
      <c r="H2444" s="2" t="inlineStr">
        <is>
          <t>130 Kerrs Road</t>
        </is>
      </c>
      <c r="I2444" s="2" t="inlineStr">
        <is>
          <t>Wiri</t>
        </is>
      </c>
      <c r="J2444" s="2" t="inlineStr">
        <is>
          <t>Auckland</t>
        </is>
      </c>
      <c r="K2444" s="2" t="n">
        <v>2104</v>
      </c>
      <c r="L2444" s="2" t="inlineStr">
        <is>
          <t>New Zealand</t>
        </is>
      </c>
      <c r="M2444" s="2" t="inlineStr">
        <is>
          <t>Manurewa</t>
        </is>
      </c>
      <c r="N2444" s="2" t="inlineStr">
        <is>
          <t>New Zealand</t>
        </is>
      </c>
      <c r="P2444" s="2" t="inlineStr">
        <is>
          <t>Operational Control</t>
        </is>
      </c>
      <c r="Q2444" s="2" t="inlineStr">
        <is>
          <t>Operational Control</t>
        </is>
      </c>
      <c r="R2444" s="2" t="inlineStr">
        <is>
          <t>Transport &amp; Infrastructure (T&amp;I)</t>
        </is>
      </c>
      <c r="S2444" s="2" t="inlineStr">
        <is>
          <t>Downer</t>
        </is>
      </c>
      <c r="T2444" s="2" t="n">
        <v>100</v>
      </c>
      <c r="W2444" s="2" t="inlineStr">
        <is>
          <t>Classification</t>
        </is>
      </c>
      <c r="X2444" s="2" t="n">
        <v>-37.0083</v>
      </c>
      <c r="Y2444" s="2" t="n">
        <v>174.8705</v>
      </c>
    </row>
    <row r="2445">
      <c r="A2445" s="2" t="inlineStr">
        <is>
          <t>Downer</t>
        </is>
      </c>
      <c r="B2445" s="2" t="inlineStr">
        <is>
          <t>WDC Alliance Parks &amp; Reserves</t>
        </is>
      </c>
      <c r="C2445" s="2" t="inlineStr">
        <is>
          <t>Other</t>
        </is>
      </c>
      <c r="D2445" s="2" t="inlineStr">
        <is>
          <t>L9.DNZJ.552184</t>
        </is>
      </c>
      <c r="E2445" s="2" t="n">
        <v>552184</v>
      </c>
      <c r="M2445" s="2" t="inlineStr">
        <is>
          <t>Manurewa</t>
        </is>
      </c>
      <c r="N2445" s="2" t="inlineStr">
        <is>
          <t>New Zealand</t>
        </is>
      </c>
      <c r="P2445" s="2" t="inlineStr">
        <is>
          <t>Operational Control</t>
        </is>
      </c>
      <c r="Q2445" s="2" t="inlineStr">
        <is>
          <t>Operational Control</t>
        </is>
      </c>
      <c r="R2445" s="2" t="inlineStr">
        <is>
          <t>Transport &amp; Infrastructure (T&amp;I)</t>
        </is>
      </c>
      <c r="S2445" s="2" t="inlineStr">
        <is>
          <t>Downer</t>
        </is>
      </c>
      <c r="T2445" s="2" t="n">
        <v>100</v>
      </c>
      <c r="W2445" s="2" t="inlineStr">
        <is>
          <t>Classification</t>
        </is>
      </c>
    </row>
    <row r="2446">
      <c r="A2446" s="2" t="inlineStr">
        <is>
          <t>Downer</t>
        </is>
      </c>
      <c r="B2446" s="2" t="inlineStr">
        <is>
          <t>WDC Alliance Pavement Rehab</t>
        </is>
      </c>
      <c r="C2446" s="2" t="inlineStr">
        <is>
          <t>Other</t>
        </is>
      </c>
      <c r="D2446" s="2" t="inlineStr">
        <is>
          <t>L9.DNZJ.552183</t>
        </is>
      </c>
      <c r="E2446" s="2" t="n">
        <v>552183</v>
      </c>
      <c r="F2446" s="2" t="n">
        <v>552183</v>
      </c>
      <c r="M2446" s="2" t="inlineStr">
        <is>
          <t>Taranaki</t>
        </is>
      </c>
      <c r="N2446" s="2" t="inlineStr">
        <is>
          <t>New Zealand</t>
        </is>
      </c>
      <c r="P2446" s="2" t="inlineStr">
        <is>
          <t>Operational Control</t>
        </is>
      </c>
      <c r="Q2446" s="2" t="inlineStr">
        <is>
          <t>Operational Control</t>
        </is>
      </c>
      <c r="R2446" s="2" t="inlineStr">
        <is>
          <t>Transport &amp; Infrastructure (T&amp;I)</t>
        </is>
      </c>
      <c r="S2446" s="2" t="inlineStr">
        <is>
          <t>Downer</t>
        </is>
      </c>
      <c r="T2446" s="2" t="n">
        <v>100</v>
      </c>
      <c r="W2446" s="2" t="inlineStr">
        <is>
          <t>Classification</t>
        </is>
      </c>
    </row>
    <row r="2447">
      <c r="A2447" s="2" t="inlineStr">
        <is>
          <t>Downer</t>
        </is>
      </c>
      <c r="B2447" s="2" t="inlineStr">
        <is>
          <t>WDC Alliance Reseals</t>
        </is>
      </c>
      <c r="C2447" s="2" t="inlineStr">
        <is>
          <t>Public Facility</t>
        </is>
      </c>
      <c r="D2447" s="2" t="inlineStr">
        <is>
          <t>L9.DNZJ.552176</t>
        </is>
      </c>
      <c r="E2447" s="2" t="n">
        <v>552176</v>
      </c>
      <c r="G2447" s="2" t="inlineStr">
        <is>
          <t>TI-NZT-552176 - WDC Alliance Reseals (TI-NZT - Taranaki Whanganui)</t>
        </is>
      </c>
      <c r="M2447" s="2" t="inlineStr">
        <is>
          <t>Taranaki</t>
        </is>
      </c>
      <c r="N2447" s="2" t="inlineStr">
        <is>
          <t>New Zealand</t>
        </is>
      </c>
      <c r="P2447" s="2" t="inlineStr">
        <is>
          <t>Operational Control</t>
        </is>
      </c>
      <c r="Q2447" s="2" t="inlineStr">
        <is>
          <t>Operational Control</t>
        </is>
      </c>
      <c r="R2447" s="2" t="inlineStr">
        <is>
          <t>Transport &amp; Infrastructure (T&amp;I)</t>
        </is>
      </c>
      <c r="S2447" s="2" t="inlineStr">
        <is>
          <t>Downer</t>
        </is>
      </c>
      <c r="T2447" s="2" t="n">
        <v>100</v>
      </c>
      <c r="W2447" s="2" t="inlineStr">
        <is>
          <t>Classification</t>
        </is>
      </c>
    </row>
    <row r="2448">
      <c r="A2448" s="2" t="inlineStr">
        <is>
          <t>Downer</t>
        </is>
      </c>
      <c r="B2448" s="2" t="inlineStr">
        <is>
          <t>WEL Networks - Direct Costs</t>
        </is>
      </c>
      <c r="C2448" s="2" t="inlineStr">
        <is>
          <t>Other</t>
        </is>
      </c>
      <c r="D2448" s="2" t="inlineStr">
        <is>
          <t>L9.DUN.60711</t>
        </is>
      </c>
      <c r="E2448" s="2" t="inlineStr">
        <is>
          <t>PG60711</t>
        </is>
      </c>
      <c r="M2448" s="2" t="inlineStr">
        <is>
          <t>Manurewa</t>
        </is>
      </c>
      <c r="N2448" s="2" t="inlineStr">
        <is>
          <t>New Zealand</t>
        </is>
      </c>
      <c r="P2448" s="2" t="inlineStr">
        <is>
          <t>Operational Control</t>
        </is>
      </c>
      <c r="Q2448" s="2" t="inlineStr">
        <is>
          <t>Operational Control</t>
        </is>
      </c>
      <c r="R2448" s="2" t="inlineStr">
        <is>
          <t>Energy and Utilities (EU)</t>
        </is>
      </c>
      <c r="S2448" s="2" t="inlineStr">
        <is>
          <t>Downer</t>
        </is>
      </c>
      <c r="T2448" s="2" t="n">
        <v>100</v>
      </c>
      <c r="W2448" s="2" t="inlineStr">
        <is>
          <t>Classification</t>
        </is>
      </c>
    </row>
    <row r="2449">
      <c r="A2449" s="2" t="inlineStr">
        <is>
          <t>Downer</t>
        </is>
      </c>
      <c r="B2449" s="2" t="inlineStr">
        <is>
          <t>WELLESLEY ST BUS IMPROVEMENTS</t>
        </is>
      </c>
      <c r="C2449" s="2" t="inlineStr">
        <is>
          <t>Infrastructure</t>
        </is>
      </c>
      <c r="D2449" s="2" t="inlineStr">
        <is>
          <t>L9.DNZJ.DN1211</t>
        </is>
      </c>
      <c r="E2449" s="2" t="inlineStr">
        <is>
          <t>JP_DN1211</t>
        </is>
      </c>
      <c r="G2449" s="2" t="inlineStr">
        <is>
          <t>TI-NZT-DN1211 - Wellesley St Bus Interchange</t>
        </is>
      </c>
      <c r="M2449" s="2" t="inlineStr">
        <is>
          <t>Auckland</t>
        </is>
      </c>
      <c r="N2449" s="2" t="inlineStr">
        <is>
          <t>New Zealand</t>
        </is>
      </c>
      <c r="P2449" s="2" t="inlineStr">
        <is>
          <t>Operational Control</t>
        </is>
      </c>
      <c r="Q2449" s="2" t="inlineStr">
        <is>
          <t>Operational Control</t>
        </is>
      </c>
      <c r="R2449" s="2" t="inlineStr">
        <is>
          <t>Transport &amp; Infrastructure (T&amp;I)</t>
        </is>
      </c>
      <c r="S2449" s="2" t="inlineStr">
        <is>
          <t>Downer</t>
        </is>
      </c>
      <c r="T2449" s="2" t="n">
        <v>100</v>
      </c>
      <c r="W2449" s="2" t="inlineStr">
        <is>
          <t>Classification</t>
        </is>
      </c>
    </row>
    <row r="2450">
      <c r="A2450" s="2" t="inlineStr">
        <is>
          <t>Downer</t>
        </is>
      </c>
      <c r="B2450" s="2" t="inlineStr">
        <is>
          <t>Wellington (160 Victoria St)</t>
        </is>
      </c>
      <c r="C2450" s="2" t="inlineStr">
        <is>
          <t>Residential</t>
        </is>
      </c>
      <c r="D2450" s="2" t="inlineStr">
        <is>
          <t>L9.DNZJ.55856</t>
        </is>
      </c>
      <c r="E2450" s="2" t="n">
        <v>55856</v>
      </c>
      <c r="G2450" s="2" t="inlineStr">
        <is>
          <t>No INX BU code temporaily
Apartment 1410/161 Victoria Street  Te Aro  Wellington 6011  Wellington Region
Apartment W702/160 Victoria Street  Te Aro  Wellington 6011  Wellington Region</t>
        </is>
      </c>
      <c r="M2450" s="2" t="inlineStr">
        <is>
          <t>Wellington</t>
        </is>
      </c>
      <c r="N2450" s="2" t="inlineStr">
        <is>
          <t>New Zealand</t>
        </is>
      </c>
      <c r="P2450" s="2" t="inlineStr">
        <is>
          <t>Operational Control</t>
        </is>
      </c>
      <c r="Q2450" s="2" t="inlineStr">
        <is>
          <t>Operational Control</t>
        </is>
      </c>
      <c r="R2450" s="2" t="inlineStr">
        <is>
          <t>Transport &amp; Infrastructure (T&amp;I)</t>
        </is>
      </c>
      <c r="S2450" s="2" t="inlineStr">
        <is>
          <t>Downer</t>
        </is>
      </c>
      <c r="T2450" s="2" t="n">
        <v>100</v>
      </c>
      <c r="W2450" s="2" t="inlineStr">
        <is>
          <t>Classification</t>
        </is>
      </c>
    </row>
    <row r="2451">
      <c r="A2451" s="2" t="inlineStr">
        <is>
          <t>Downer</t>
        </is>
      </c>
      <c r="B2451" s="2" t="inlineStr">
        <is>
          <t>Wellington (1-69 Hutt Rd)</t>
        </is>
      </c>
      <c r="C2451" s="2" t="inlineStr">
        <is>
          <t>Residential</t>
        </is>
      </c>
      <c r="D2451" s="2" t="inlineStr">
        <is>
          <t>L9.DNZJ.55602</t>
        </is>
      </c>
      <c r="E2451" s="2" t="n">
        <v>55602</v>
      </c>
      <c r="G2451" s="2" t="inlineStr">
        <is>
          <t>Flat 1/69 Hutt Road  Petone  Lower Hutt 5012  Wellington Region</t>
        </is>
      </c>
      <c r="H2451" s="2" t="inlineStr">
        <is>
          <t>1/69 Hutt Road</t>
        </is>
      </c>
      <c r="I2451" s="2" t="inlineStr">
        <is>
          <t>Petone</t>
        </is>
      </c>
      <c r="J2451" s="2" t="inlineStr">
        <is>
          <t>Lower Hutt</t>
        </is>
      </c>
      <c r="K2451" s="2" t="n">
        <v>5012</v>
      </c>
      <c r="M2451" s="2" t="inlineStr">
        <is>
          <t>Wellington</t>
        </is>
      </c>
      <c r="N2451" s="2" t="inlineStr">
        <is>
          <t>New Zealand</t>
        </is>
      </c>
      <c r="P2451" s="2" t="inlineStr">
        <is>
          <t>Operational Control</t>
        </is>
      </c>
      <c r="Q2451" s="2" t="inlineStr">
        <is>
          <t>Operational Control</t>
        </is>
      </c>
      <c r="R2451" s="2" t="inlineStr">
        <is>
          <t>Transport &amp; Infrastructure (T&amp;I)</t>
        </is>
      </c>
      <c r="S2451" s="2" t="inlineStr">
        <is>
          <t>Downer</t>
        </is>
      </c>
      <c r="T2451" s="2" t="n">
        <v>100</v>
      </c>
      <c r="W2451" s="2" t="inlineStr">
        <is>
          <t>Classification</t>
        </is>
      </c>
    </row>
    <row r="2452">
      <c r="A2452" s="2" t="inlineStr">
        <is>
          <t>Downer</t>
        </is>
      </c>
      <c r="B2452" s="2" t="inlineStr">
        <is>
          <t>Wellington (18 Willis St)</t>
        </is>
      </c>
      <c r="C2452" s="2" t="inlineStr">
        <is>
          <t>Office</t>
        </is>
      </c>
      <c r="D2452" s="2" t="inlineStr">
        <is>
          <t>L9.DNZJ.91727</t>
        </is>
      </c>
      <c r="E2452" s="2" t="n">
        <v>91727</v>
      </c>
      <c r="G2452" s="2" t="inlineStr">
        <is>
          <t>COR-NZHO.91727-Wellington (265 Wakefield St)
Level 11/18 Willis Street  Wellington Central  Wellington 6011</t>
        </is>
      </c>
      <c r="H2452" s="2" t="inlineStr">
        <is>
          <t>Level 11, 18 Willis Street,
Wellington Central</t>
        </is>
      </c>
      <c r="I2452" s="2" t="inlineStr">
        <is>
          <t>Wellington</t>
        </is>
      </c>
      <c r="K2452" s="2" t="n">
        <v>6011</v>
      </c>
      <c r="M2452" s="2" t="inlineStr">
        <is>
          <t>Wellington</t>
        </is>
      </c>
      <c r="N2452" s="2" t="inlineStr">
        <is>
          <t>New Zealand</t>
        </is>
      </c>
      <c r="P2452" s="2" t="inlineStr">
        <is>
          <t>Operational Control</t>
        </is>
      </c>
      <c r="Q2452" s="2" t="inlineStr">
        <is>
          <t>Operational Control</t>
        </is>
      </c>
      <c r="R2452" s="2" t="inlineStr">
        <is>
          <t>Transport &amp; Infrastructure (T&amp;I)</t>
        </is>
      </c>
      <c r="S2452" s="2" t="inlineStr">
        <is>
          <t>Downer</t>
        </is>
      </c>
      <c r="T2452" s="2" t="n">
        <v>100</v>
      </c>
      <c r="W2452" s="2" t="inlineStr">
        <is>
          <t>Classification</t>
        </is>
      </c>
    </row>
    <row r="2453">
      <c r="A2453" s="2" t="inlineStr">
        <is>
          <t>Downer</t>
        </is>
      </c>
      <c r="B2453" s="2" t="inlineStr">
        <is>
          <t>Wellington (3 Ayton Drive)</t>
        </is>
      </c>
      <c r="C2453" s="2" t="inlineStr">
        <is>
          <t>Other</t>
        </is>
      </c>
      <c r="D2453" s="2" t="inlineStr">
        <is>
          <t>L9.DNZJ.91286</t>
        </is>
      </c>
      <c r="E2453" s="2" t="n">
        <v>91286</v>
      </c>
      <c r="G2453" s="2" t="inlineStr">
        <is>
          <t>used for Wellgton (54 Martingale Drive) and Wellington (3 Ayton Drive)</t>
        </is>
      </c>
      <c r="H2453" s="2" t="inlineStr">
        <is>
          <t>3 Ayton Drive</t>
        </is>
      </c>
      <c r="I2453" s="2" t="inlineStr">
        <is>
          <t>Whitby</t>
        </is>
      </c>
      <c r="J2453" s="2" t="inlineStr">
        <is>
          <t>Porirua</t>
        </is>
      </c>
      <c r="K2453" s="2" t="n">
        <v>5024</v>
      </c>
      <c r="L2453" s="2" t="inlineStr">
        <is>
          <t>New Zealand</t>
        </is>
      </c>
      <c r="M2453" s="2" t="inlineStr">
        <is>
          <t>Porirua</t>
        </is>
      </c>
      <c r="N2453" s="2" t="inlineStr">
        <is>
          <t>New Zealand</t>
        </is>
      </c>
      <c r="P2453" s="2" t="inlineStr">
        <is>
          <t>Operational Control</t>
        </is>
      </c>
      <c r="Q2453" s="2" t="inlineStr">
        <is>
          <t>Operational Control</t>
        </is>
      </c>
      <c r="R2453" s="2" t="inlineStr">
        <is>
          <t>Corporate</t>
        </is>
      </c>
      <c r="S2453" s="2" t="inlineStr">
        <is>
          <t>Downer</t>
        </is>
      </c>
      <c r="T2453" s="2" t="n">
        <v>100</v>
      </c>
      <c r="W2453" s="2" t="inlineStr">
        <is>
          <t>Classification</t>
        </is>
      </c>
      <c r="X2453" s="2" t="n">
        <v>-41.1087</v>
      </c>
      <c r="Y2453" s="2" t="n">
        <v>174.8907</v>
      </c>
    </row>
    <row r="2454">
      <c r="A2454" s="2" t="inlineStr">
        <is>
          <t>Downer</t>
        </is>
      </c>
      <c r="B2454" s="2" t="inlineStr">
        <is>
          <t>Wellington (95 Customhouse)</t>
        </is>
      </c>
      <c r="C2454" s="2" t="inlineStr">
        <is>
          <t>Office</t>
        </is>
      </c>
      <c r="D2454" s="2" t="inlineStr">
        <is>
          <t>L9.DNZJ.91403</t>
        </is>
      </c>
      <c r="E2454" s="2" t="n">
        <v>91403</v>
      </c>
      <c r="G2454" s="2" t="inlineStr">
        <is>
          <t>COR-NZHO.91403 - Wellington (95 Customhouse)
2/95 Customhouse Quay  Wellington Central  Wellington 6011</t>
        </is>
      </c>
      <c r="H2454" s="2" t="inlineStr">
        <is>
          <t>95 Customhouse Quay
Wellington Central</t>
        </is>
      </c>
      <c r="I2454" s="2" t="inlineStr">
        <is>
          <t>Wellington</t>
        </is>
      </c>
      <c r="K2454" s="2" t="n">
        <v>6011</v>
      </c>
      <c r="M2454" s="2" t="inlineStr">
        <is>
          <t>Wellington</t>
        </is>
      </c>
      <c r="N2454" s="2" t="inlineStr">
        <is>
          <t>New Zealand</t>
        </is>
      </c>
      <c r="P2454" s="2" t="inlineStr">
        <is>
          <t>Operational Control</t>
        </is>
      </c>
      <c r="Q2454" s="2" t="inlineStr">
        <is>
          <t>Operational Control</t>
        </is>
      </c>
      <c r="R2454" s="2" t="inlineStr">
        <is>
          <t>Transport &amp; Infrastructure (T&amp;I)</t>
        </is>
      </c>
      <c r="S2454" s="2" t="inlineStr">
        <is>
          <t>Downer</t>
        </is>
      </c>
      <c r="T2454" s="2" t="n">
        <v>100</v>
      </c>
      <c r="W2454" s="2" t="inlineStr">
        <is>
          <t>Classification</t>
        </is>
      </c>
    </row>
    <row r="2455">
      <c r="A2455" s="2" t="inlineStr">
        <is>
          <t>Downer</t>
        </is>
      </c>
      <c r="B2455" s="2" t="inlineStr">
        <is>
          <t>Wellington Area Manager</t>
        </is>
      </c>
      <c r="C2455" s="2" t="inlineStr">
        <is>
          <t>Other</t>
        </is>
      </c>
      <c r="D2455" s="2" t="inlineStr">
        <is>
          <t>L9.DUN.60250</t>
        </is>
      </c>
      <c r="E2455" s="2" t="inlineStr">
        <is>
          <t>PG60250</t>
        </is>
      </c>
      <c r="M2455" s="2" t="inlineStr">
        <is>
          <t>Manurewa</t>
        </is>
      </c>
      <c r="N2455" s="2" t="inlineStr">
        <is>
          <t>New Zealand</t>
        </is>
      </c>
      <c r="P2455" s="2" t="inlineStr">
        <is>
          <t>Operational Control</t>
        </is>
      </c>
      <c r="Q2455" s="2" t="inlineStr">
        <is>
          <t>Operational Control</t>
        </is>
      </c>
      <c r="R2455" s="2" t="inlineStr">
        <is>
          <t>Energy and Utilities (EU)</t>
        </is>
      </c>
      <c r="S2455" s="2" t="inlineStr">
        <is>
          <t>Downer</t>
        </is>
      </c>
      <c r="T2455" s="2" t="n">
        <v>100</v>
      </c>
      <c r="W2455" s="2" t="inlineStr">
        <is>
          <t>Classification</t>
        </is>
      </c>
    </row>
    <row r="2456">
      <c r="A2456" s="2" t="inlineStr">
        <is>
          <t>Downer</t>
        </is>
      </c>
      <c r="B2456" s="2" t="inlineStr">
        <is>
          <t>Wellington Build</t>
        </is>
      </c>
      <c r="C2456" s="2" t="inlineStr">
        <is>
          <t>Other</t>
        </is>
      </c>
      <c r="D2456" s="2" t="inlineStr">
        <is>
          <t>L9.DNZ.810.10.143</t>
        </is>
      </c>
      <c r="E2456" s="2" t="n">
        <v>10143</v>
      </c>
      <c r="G2456" s="2" t="n">
        <v>10.143</v>
      </c>
      <c r="H2456" s="2" t="inlineStr">
        <is>
          <t>130 Kerrs Road</t>
        </is>
      </c>
      <c r="I2456" s="2" t="inlineStr">
        <is>
          <t>Wiri</t>
        </is>
      </c>
      <c r="J2456" s="2" t="inlineStr">
        <is>
          <t>Auckland</t>
        </is>
      </c>
      <c r="K2456" s="2" t="n">
        <v>2104</v>
      </c>
      <c r="L2456" s="2" t="inlineStr">
        <is>
          <t>New Zealand</t>
        </is>
      </c>
      <c r="M2456" s="2" t="inlineStr">
        <is>
          <t>Manurewa</t>
        </is>
      </c>
      <c r="N2456" s="2" t="inlineStr">
        <is>
          <t>New Zealand</t>
        </is>
      </c>
      <c r="P2456" s="2" t="inlineStr">
        <is>
          <t>Operational Control</t>
        </is>
      </c>
      <c r="Q2456" s="2" t="inlineStr">
        <is>
          <t>Operational Control</t>
        </is>
      </c>
      <c r="R2456" s="2" t="inlineStr">
        <is>
          <t>Energy and Utilities (EU)</t>
        </is>
      </c>
      <c r="S2456" s="2" t="inlineStr">
        <is>
          <t>Downer</t>
        </is>
      </c>
      <c r="T2456" s="2" t="n">
        <v>100</v>
      </c>
      <c r="W2456" s="2" t="inlineStr">
        <is>
          <t>Classification</t>
        </is>
      </c>
      <c r="X2456" s="2" t="n">
        <v>-37.0083</v>
      </c>
      <c r="Y2456" s="2" t="n">
        <v>174.8705</v>
      </c>
    </row>
    <row r="2457">
      <c r="A2457" s="2" t="inlineStr">
        <is>
          <t>Downer</t>
        </is>
      </c>
      <c r="B2457" s="2" t="inlineStr">
        <is>
          <t>Wellington Civil Deploy</t>
        </is>
      </c>
      <c r="C2457" s="2" t="inlineStr">
        <is>
          <t>Other</t>
        </is>
      </c>
      <c r="D2457" s="2" t="inlineStr">
        <is>
          <t>L9.DNZ.810.10.240</t>
        </is>
      </c>
      <c r="E2457" s="2" t="n">
        <v>10240</v>
      </c>
      <c r="G2457" s="2" t="n">
        <v>10.24</v>
      </c>
      <c r="H2457" s="2" t="inlineStr">
        <is>
          <t>130 Kerrs Road</t>
        </is>
      </c>
      <c r="I2457" s="2" t="inlineStr">
        <is>
          <t>Wiri</t>
        </is>
      </c>
      <c r="J2457" s="2" t="inlineStr">
        <is>
          <t>Auckland</t>
        </is>
      </c>
      <c r="K2457" s="2" t="n">
        <v>2104</v>
      </c>
      <c r="L2457" s="2" t="inlineStr">
        <is>
          <t>New Zealand</t>
        </is>
      </c>
      <c r="M2457" s="2" t="inlineStr">
        <is>
          <t>Manurewa</t>
        </is>
      </c>
      <c r="N2457" s="2" t="inlineStr">
        <is>
          <t>New Zealand</t>
        </is>
      </c>
      <c r="P2457" s="2" t="inlineStr">
        <is>
          <t>Operational Control</t>
        </is>
      </c>
      <c r="Q2457" s="2" t="inlineStr">
        <is>
          <t>Operational Control</t>
        </is>
      </c>
      <c r="R2457" s="2" t="inlineStr">
        <is>
          <t>Energy and Utilities (EU)</t>
        </is>
      </c>
      <c r="S2457" s="2" t="inlineStr">
        <is>
          <t>Downer</t>
        </is>
      </c>
      <c r="T2457" s="2" t="n">
        <v>100</v>
      </c>
      <c r="W2457" s="2" t="inlineStr">
        <is>
          <t>Classification</t>
        </is>
      </c>
      <c r="X2457" s="2" t="n">
        <v>-37.0083</v>
      </c>
      <c r="Y2457" s="2" t="n">
        <v>174.8705</v>
      </c>
    </row>
    <row r="2458">
      <c r="A2458" s="2" t="inlineStr">
        <is>
          <t>Downer</t>
        </is>
      </c>
      <c r="B2458" s="2" t="inlineStr">
        <is>
          <t>Wellington Depot</t>
        </is>
      </c>
      <c r="C2458" s="2" t="inlineStr">
        <is>
          <t>Other</t>
        </is>
      </c>
      <c r="D2458" s="2" t="inlineStr">
        <is>
          <t>L9.DNZJ.55602</t>
        </is>
      </c>
      <c r="E2458" s="2" t="n">
        <v>55602</v>
      </c>
      <c r="H2458" s="2" t="inlineStr">
        <is>
          <t>14-16 Makaro Street</t>
        </is>
      </c>
      <c r="I2458" s="2" t="inlineStr">
        <is>
          <t>Porirua</t>
        </is>
      </c>
      <c r="J2458" s="2" t="inlineStr">
        <is>
          <t>Porirua</t>
        </is>
      </c>
      <c r="K2458" s="2" t="n">
        <v>5022</v>
      </c>
      <c r="L2458" s="2" t="inlineStr">
        <is>
          <t>New Zealand</t>
        </is>
      </c>
      <c r="M2458" s="2" t="inlineStr">
        <is>
          <t>Porirua</t>
        </is>
      </c>
      <c r="N2458" s="2" t="inlineStr">
        <is>
          <t>New Zealand</t>
        </is>
      </c>
      <c r="P2458" s="2" t="inlineStr">
        <is>
          <t>Operational Control</t>
        </is>
      </c>
      <c r="Q2458" s="2" t="inlineStr">
        <is>
          <t>Operational Control</t>
        </is>
      </c>
      <c r="R2458" s="2" t="inlineStr">
        <is>
          <t>Transport &amp; Infrastructure (T&amp;I)</t>
        </is>
      </c>
      <c r="S2458" s="2" t="inlineStr">
        <is>
          <t>Downer</t>
        </is>
      </c>
      <c r="T2458" s="2" t="n">
        <v>100</v>
      </c>
      <c r="W2458" s="2" t="inlineStr">
        <is>
          <t>Classification</t>
        </is>
      </c>
      <c r="X2458" s="2" t="n">
        <v>-41.1387</v>
      </c>
      <c r="Y2458" s="2" t="n">
        <v>174.8327</v>
      </c>
    </row>
    <row r="2459">
      <c r="A2459" s="2" t="inlineStr">
        <is>
          <t>Downer</t>
        </is>
      </c>
      <c r="B2459" s="2" t="inlineStr">
        <is>
          <t>WELLINGTON GIRLS COLLEGE</t>
        </is>
      </c>
      <c r="C2459" s="2" t="inlineStr">
        <is>
          <t>Other</t>
        </is>
      </c>
      <c r="D2459" s="2" t="inlineStr">
        <is>
          <t>L9.DNZ.HW0223</t>
        </is>
      </c>
      <c r="E2459" s="2" t="inlineStr">
        <is>
          <t>JP_HW0223</t>
        </is>
      </c>
      <c r="H2459" s="2" t="inlineStr">
        <is>
          <t>130 Kerrs Road</t>
        </is>
      </c>
      <c r="I2459" s="2" t="inlineStr">
        <is>
          <t>Wiri</t>
        </is>
      </c>
      <c r="J2459" s="2" t="inlineStr">
        <is>
          <t>Auckland</t>
        </is>
      </c>
      <c r="K2459" s="2" t="n">
        <v>2104</v>
      </c>
      <c r="L2459" s="2" t="inlineStr">
        <is>
          <t>New Zealand</t>
        </is>
      </c>
      <c r="M2459" s="2" t="inlineStr">
        <is>
          <t>Manurewa</t>
        </is>
      </c>
      <c r="N2459" s="2" t="inlineStr">
        <is>
          <t>New Zealand</t>
        </is>
      </c>
      <c r="P2459" s="2" t="inlineStr">
        <is>
          <t>Operational Control</t>
        </is>
      </c>
      <c r="Q2459" s="2" t="inlineStr">
        <is>
          <t>Operational Control</t>
        </is>
      </c>
      <c r="R2459" s="2" t="inlineStr">
        <is>
          <t>Transport &amp; Infrastructure (T&amp;I)</t>
        </is>
      </c>
      <c r="S2459" s="2" t="inlineStr">
        <is>
          <t>Downer</t>
        </is>
      </c>
      <c r="T2459" s="2" t="n">
        <v>100</v>
      </c>
      <c r="W2459" s="2" t="inlineStr">
        <is>
          <t>Classification</t>
        </is>
      </c>
      <c r="X2459" s="2" t="n">
        <v>-37.0083</v>
      </c>
      <c r="Y2459" s="2" t="n">
        <v>174.8705</v>
      </c>
    </row>
    <row r="2460">
      <c r="A2460" s="2" t="inlineStr">
        <is>
          <t>Downer</t>
        </is>
      </c>
      <c r="B2460" s="2" t="inlineStr">
        <is>
          <t>Wellington Laboratory</t>
        </is>
      </c>
      <c r="C2460" s="2" t="inlineStr">
        <is>
          <t>Other</t>
        </is>
      </c>
      <c r="D2460" s="2" t="inlineStr">
        <is>
          <t>L9.DNZJ.3522</t>
        </is>
      </c>
      <c r="E2460" s="2" t="n">
        <v>3522</v>
      </c>
      <c r="H2460" s="2" t="inlineStr">
        <is>
          <t>130 Kerrs Road</t>
        </is>
      </c>
      <c r="I2460" s="2" t="inlineStr">
        <is>
          <t>Wiri</t>
        </is>
      </c>
      <c r="J2460" s="2" t="inlineStr">
        <is>
          <t>Auckland</t>
        </is>
      </c>
      <c r="K2460" s="2" t="n">
        <v>2104</v>
      </c>
      <c r="L2460" s="2" t="inlineStr">
        <is>
          <t>New Zealand</t>
        </is>
      </c>
      <c r="M2460" s="2" t="inlineStr">
        <is>
          <t>Manurewa</t>
        </is>
      </c>
      <c r="N2460" s="2" t="inlineStr">
        <is>
          <t>New Zealand</t>
        </is>
      </c>
      <c r="P2460" s="2" t="inlineStr">
        <is>
          <t>Operational Control</t>
        </is>
      </c>
      <c r="Q2460" s="2" t="inlineStr">
        <is>
          <t>Operational Control</t>
        </is>
      </c>
      <c r="R2460" s="2" t="inlineStr">
        <is>
          <t>Transport &amp; Infrastructure (T&amp;I)</t>
        </is>
      </c>
      <c r="S2460" s="2" t="inlineStr">
        <is>
          <t>Downer</t>
        </is>
      </c>
      <c r="T2460" s="2" t="n">
        <v>100</v>
      </c>
      <c r="W2460" s="2" t="inlineStr">
        <is>
          <t>Classification</t>
        </is>
      </c>
      <c r="X2460" s="2" t="n">
        <v>-37.0083</v>
      </c>
      <c r="Y2460" s="2" t="n">
        <v>174.8705</v>
      </c>
    </row>
    <row r="2461">
      <c r="A2461" s="2" t="inlineStr">
        <is>
          <t>Downer</t>
        </is>
      </c>
      <c r="B2461" s="2" t="inlineStr">
        <is>
          <t>Wellington Metro Upgrade 6A</t>
        </is>
      </c>
      <c r="C2461" s="2" t="inlineStr">
        <is>
          <t>Project</t>
        </is>
      </c>
      <c r="D2461" s="2" t="inlineStr">
        <is>
          <t>L9.DNZJ.DS2675</t>
        </is>
      </c>
      <c r="E2461" s="2" t="inlineStr">
        <is>
          <t>JP_DS2675</t>
        </is>
      </c>
      <c r="M2461" s="2" t="inlineStr">
        <is>
          <t>Wellington</t>
        </is>
      </c>
      <c r="N2461" s="2" t="inlineStr">
        <is>
          <t>New Zealand</t>
        </is>
      </c>
      <c r="P2461" s="2" t="inlineStr">
        <is>
          <t>Operational Control</t>
        </is>
      </c>
      <c r="Q2461" s="2" t="inlineStr">
        <is>
          <t>Operational Control</t>
        </is>
      </c>
      <c r="R2461" s="2" t="inlineStr">
        <is>
          <t>Transport &amp; Infrastructure (T&amp;I)</t>
        </is>
      </c>
      <c r="S2461" s="2" t="inlineStr">
        <is>
          <t>Downer</t>
        </is>
      </c>
      <c r="T2461" s="2" t="n">
        <v>100</v>
      </c>
      <c r="W2461" s="2" t="inlineStr">
        <is>
          <t>Classification</t>
        </is>
      </c>
    </row>
    <row r="2462">
      <c r="A2462" s="2" t="inlineStr">
        <is>
          <t>Downer</t>
        </is>
      </c>
      <c r="B2462" s="2" t="inlineStr">
        <is>
          <t>Wellington Mobile/ISP</t>
        </is>
      </c>
      <c r="C2462" s="2" t="inlineStr">
        <is>
          <t>Other</t>
        </is>
      </c>
      <c r="D2462" s="2" t="inlineStr">
        <is>
          <t>L9.DNZ.810.10.241</t>
        </is>
      </c>
      <c r="E2462" s="2" t="n">
        <v>10241</v>
      </c>
      <c r="G2462" s="2" t="n">
        <v>10.241</v>
      </c>
      <c r="H2462" s="2" t="inlineStr">
        <is>
          <t>130 Kerrs Road</t>
        </is>
      </c>
      <c r="I2462" s="2" t="inlineStr">
        <is>
          <t>Wiri</t>
        </is>
      </c>
      <c r="J2462" s="2" t="inlineStr">
        <is>
          <t>Auckland</t>
        </is>
      </c>
      <c r="K2462" s="2" t="n">
        <v>2104</v>
      </c>
      <c r="L2462" s="2" t="inlineStr">
        <is>
          <t>New Zealand</t>
        </is>
      </c>
      <c r="M2462" s="2" t="inlineStr">
        <is>
          <t>Manurewa</t>
        </is>
      </c>
      <c r="N2462" s="2" t="inlineStr">
        <is>
          <t>New Zealand</t>
        </is>
      </c>
      <c r="P2462" s="2" t="inlineStr">
        <is>
          <t>Operational Control</t>
        </is>
      </c>
      <c r="Q2462" s="2" t="inlineStr">
        <is>
          <t>Operational Control</t>
        </is>
      </c>
      <c r="R2462" s="2" t="inlineStr">
        <is>
          <t>Energy and Utilities (EU)</t>
        </is>
      </c>
      <c r="S2462" s="2" t="inlineStr">
        <is>
          <t>Downer</t>
        </is>
      </c>
      <c r="T2462" s="2" t="n">
        <v>100</v>
      </c>
      <c r="W2462" s="2" t="inlineStr">
        <is>
          <t>Classification</t>
        </is>
      </c>
      <c r="X2462" s="2" t="n">
        <v>-37.0083</v>
      </c>
      <c r="Y2462" s="2" t="n">
        <v>174.8705</v>
      </c>
    </row>
    <row r="2463">
      <c r="A2463" s="2" t="inlineStr">
        <is>
          <t>Downer</t>
        </is>
      </c>
      <c r="B2463" s="2" t="inlineStr">
        <is>
          <t>Wellington Mobile/ISP EU Subcontractors</t>
        </is>
      </c>
      <c r="C2463" s="2" t="inlineStr">
        <is>
          <t>Other</t>
        </is>
      </c>
      <c r="D2463" s="2" t="inlineStr">
        <is>
          <t>L9.DNZJ.10241</t>
        </is>
      </c>
      <c r="E2463" s="2" t="inlineStr">
        <is>
          <t>L9.DNZJ.10241</t>
        </is>
      </c>
      <c r="F2463" s="2" t="inlineStr">
        <is>
          <t>L9.DNZJ.10241</t>
        </is>
      </c>
      <c r="M2463" s="2" t="inlineStr">
        <is>
          <t>Auckland</t>
        </is>
      </c>
      <c r="N2463" s="2" t="inlineStr">
        <is>
          <t>New Zealand</t>
        </is>
      </c>
      <c r="P2463" s="2" t="inlineStr">
        <is>
          <t>Operational Control</t>
        </is>
      </c>
      <c r="Q2463" s="2" t="inlineStr">
        <is>
          <t>Operational Control</t>
        </is>
      </c>
      <c r="R2463" s="2" t="inlineStr">
        <is>
          <t>Energy and Utilities (EU)</t>
        </is>
      </c>
      <c r="S2463" s="2" t="inlineStr">
        <is>
          <t>Downer</t>
        </is>
      </c>
      <c r="T2463" s="2" t="n">
        <v>100</v>
      </c>
      <c r="W2463" s="2" t="inlineStr">
        <is>
          <t>Classification</t>
        </is>
      </c>
    </row>
    <row r="2464">
      <c r="A2464" s="2" t="inlineStr">
        <is>
          <t>Downer</t>
        </is>
      </c>
      <c r="B2464" s="2" t="inlineStr">
        <is>
          <t>Wellington People/Plant</t>
        </is>
      </c>
      <c r="C2464" s="2" t="inlineStr">
        <is>
          <t>Other</t>
        </is>
      </c>
      <c r="D2464" s="2" t="inlineStr">
        <is>
          <t>L9.DNZJ.66204</t>
        </is>
      </c>
      <c r="E2464" s="2" t="n">
        <v>66204</v>
      </c>
      <c r="H2464" s="2" t="inlineStr">
        <is>
          <t>130 Kerrs Road</t>
        </is>
      </c>
      <c r="I2464" s="2" t="inlineStr">
        <is>
          <t>Wiri</t>
        </is>
      </c>
      <c r="J2464" s="2" t="inlineStr">
        <is>
          <t>Auckland</t>
        </is>
      </c>
      <c r="K2464" s="2" t="n">
        <v>2104</v>
      </c>
      <c r="L2464" s="2" t="inlineStr">
        <is>
          <t>New Zealand</t>
        </is>
      </c>
      <c r="M2464" s="2" t="inlineStr">
        <is>
          <t>Manurewa</t>
        </is>
      </c>
      <c r="N2464" s="2" t="inlineStr">
        <is>
          <t>New Zealand</t>
        </is>
      </c>
      <c r="P2464" s="2" t="inlineStr">
        <is>
          <t>Operational Control</t>
        </is>
      </c>
      <c r="Q2464" s="2" t="inlineStr">
        <is>
          <t>Operational Control</t>
        </is>
      </c>
      <c r="R2464" s="2" t="inlineStr">
        <is>
          <t>Transport &amp; Infrastructure (T&amp;I)</t>
        </is>
      </c>
      <c r="S2464" s="2" t="inlineStr">
        <is>
          <t>Downer</t>
        </is>
      </c>
      <c r="T2464" s="2" t="n">
        <v>100</v>
      </c>
      <c r="W2464" s="2" t="inlineStr">
        <is>
          <t>Classification</t>
        </is>
      </c>
      <c r="X2464" s="2" t="n">
        <v>-37.0083</v>
      </c>
      <c r="Y2464" s="2" t="n">
        <v>174.8705</v>
      </c>
    </row>
    <row r="2465">
      <c r="A2465" s="2" t="inlineStr">
        <is>
          <t>Downer</t>
        </is>
      </c>
      <c r="B2465" s="2" t="inlineStr">
        <is>
          <t>Wellington Telco Ops</t>
        </is>
      </c>
      <c r="C2465" s="2" t="inlineStr">
        <is>
          <t>Other</t>
        </is>
      </c>
      <c r="D2465" s="2" t="inlineStr">
        <is>
          <t>L9.DNZ.810.10.141</t>
        </is>
      </c>
      <c r="E2465" s="2" t="n">
        <v>10141</v>
      </c>
      <c r="G2465" s="2" t="n">
        <v>10.141</v>
      </c>
      <c r="H2465" s="2" t="inlineStr">
        <is>
          <t>130 Kerrs Road</t>
        </is>
      </c>
      <c r="I2465" s="2" t="inlineStr">
        <is>
          <t>Wiri</t>
        </is>
      </c>
      <c r="J2465" s="2" t="inlineStr">
        <is>
          <t>Auckland</t>
        </is>
      </c>
      <c r="K2465" s="2" t="n">
        <v>2104</v>
      </c>
      <c r="L2465" s="2" t="inlineStr">
        <is>
          <t>New Zealand</t>
        </is>
      </c>
      <c r="M2465" s="2" t="inlineStr">
        <is>
          <t>Manurewa</t>
        </is>
      </c>
      <c r="N2465" s="2" t="inlineStr">
        <is>
          <t>New Zealand</t>
        </is>
      </c>
      <c r="P2465" s="2" t="inlineStr">
        <is>
          <t>Operational Control</t>
        </is>
      </c>
      <c r="Q2465" s="2" t="inlineStr">
        <is>
          <t>Operational Control</t>
        </is>
      </c>
      <c r="R2465" s="2" t="inlineStr">
        <is>
          <t>Energy and Utilities (EU)</t>
        </is>
      </c>
      <c r="S2465" s="2" t="inlineStr">
        <is>
          <t>Downer</t>
        </is>
      </c>
      <c r="T2465" s="2" t="n">
        <v>100</v>
      </c>
      <c r="W2465" s="2" t="inlineStr">
        <is>
          <t>Classification</t>
        </is>
      </c>
      <c r="X2465" s="2" t="n">
        <v>-37.0083</v>
      </c>
      <c r="Y2465" s="2" t="n">
        <v>174.8705</v>
      </c>
    </row>
    <row r="2466">
      <c r="A2466" s="2" t="inlineStr">
        <is>
          <t>Downer</t>
        </is>
      </c>
      <c r="B2466" s="2" t="inlineStr">
        <is>
          <t>Wellington Vodafone Build</t>
        </is>
      </c>
      <c r="C2466" s="2" t="inlineStr">
        <is>
          <t>Other</t>
        </is>
      </c>
      <c r="D2466" s="2" t="inlineStr">
        <is>
          <t>L9.DNZ.810.10.235</t>
        </is>
      </c>
      <c r="E2466" s="2" t="n">
        <v>10235</v>
      </c>
      <c r="G2466" s="2" t="n">
        <v>10.235</v>
      </c>
      <c r="H2466" s="2" t="inlineStr">
        <is>
          <t>130 Kerrs Road</t>
        </is>
      </c>
      <c r="I2466" s="2" t="inlineStr">
        <is>
          <t>Wiri</t>
        </is>
      </c>
      <c r="J2466" s="2" t="inlineStr">
        <is>
          <t>Auckland</t>
        </is>
      </c>
      <c r="K2466" s="2" t="n">
        <v>2104</v>
      </c>
      <c r="L2466" s="2" t="inlineStr">
        <is>
          <t>New Zealand</t>
        </is>
      </c>
      <c r="M2466" s="2" t="inlineStr">
        <is>
          <t>Manurewa</t>
        </is>
      </c>
      <c r="N2466" s="2" t="inlineStr">
        <is>
          <t>New Zealand</t>
        </is>
      </c>
      <c r="P2466" s="2" t="inlineStr">
        <is>
          <t>Operational Control</t>
        </is>
      </c>
      <c r="Q2466" s="2" t="inlineStr">
        <is>
          <t>Operational Control</t>
        </is>
      </c>
      <c r="R2466" s="2" t="inlineStr">
        <is>
          <t>Energy and Utilities (EU)</t>
        </is>
      </c>
      <c r="S2466" s="2" t="inlineStr">
        <is>
          <t>Downer</t>
        </is>
      </c>
      <c r="T2466" s="2" t="n">
        <v>100</v>
      </c>
      <c r="W2466" s="2" t="inlineStr">
        <is>
          <t>Classification</t>
        </is>
      </c>
      <c r="X2466" s="2" t="n">
        <v>-37.0083</v>
      </c>
      <c r="Y2466" s="2" t="n">
        <v>174.8705</v>
      </c>
    </row>
    <row r="2467">
      <c r="A2467" s="2" t="inlineStr">
        <is>
          <t>Downer</t>
        </is>
      </c>
      <c r="B2467" s="2" t="inlineStr">
        <is>
          <t>Wellington Vodafone M&amp;P</t>
        </is>
      </c>
      <c r="C2467" s="2" t="inlineStr">
        <is>
          <t>Other</t>
        </is>
      </c>
      <c r="D2467" s="2" t="inlineStr">
        <is>
          <t>L9.DNZ.810.10.233</t>
        </is>
      </c>
      <c r="E2467" s="2" t="n">
        <v>10233</v>
      </c>
      <c r="G2467" s="2" t="n">
        <v>10.233</v>
      </c>
      <c r="H2467" s="2" t="inlineStr">
        <is>
          <t>130 Kerrs Road</t>
        </is>
      </c>
      <c r="I2467" s="2" t="inlineStr">
        <is>
          <t>Wiri</t>
        </is>
      </c>
      <c r="J2467" s="2" t="inlineStr">
        <is>
          <t>Auckland</t>
        </is>
      </c>
      <c r="K2467" s="2" t="n">
        <v>2104</v>
      </c>
      <c r="L2467" s="2" t="inlineStr">
        <is>
          <t>New Zealand</t>
        </is>
      </c>
      <c r="M2467" s="2" t="inlineStr">
        <is>
          <t>Manurewa</t>
        </is>
      </c>
      <c r="N2467" s="2" t="inlineStr">
        <is>
          <t>New Zealand</t>
        </is>
      </c>
      <c r="P2467" s="2" t="inlineStr">
        <is>
          <t>Operational Control</t>
        </is>
      </c>
      <c r="Q2467" s="2" t="inlineStr">
        <is>
          <t>Operational Control</t>
        </is>
      </c>
      <c r="R2467" s="2" t="inlineStr">
        <is>
          <t>Energy and Utilities (EU)</t>
        </is>
      </c>
      <c r="S2467" s="2" t="inlineStr">
        <is>
          <t>Downer</t>
        </is>
      </c>
      <c r="T2467" s="2" t="n">
        <v>100</v>
      </c>
      <c r="W2467" s="2" t="inlineStr">
        <is>
          <t>Classification</t>
        </is>
      </c>
      <c r="X2467" s="2" t="n">
        <v>-37.0083</v>
      </c>
      <c r="Y2467" s="2" t="n">
        <v>174.8705</v>
      </c>
    </row>
    <row r="2468">
      <c r="A2468" s="2" t="inlineStr">
        <is>
          <t>Downer</t>
        </is>
      </c>
      <c r="B2468" s="2" t="inlineStr">
        <is>
          <t>West Camden WRP EU Subcontractors</t>
        </is>
      </c>
      <c r="C2468" s="2" t="inlineStr">
        <is>
          <t>Other</t>
        </is>
      </c>
      <c r="D2468" s="2" t="inlineStr">
        <is>
          <t>L9.J.264005</t>
        </is>
      </c>
      <c r="E2468" s="2" t="inlineStr">
        <is>
          <t>L9.J.264005</t>
        </is>
      </c>
      <c r="M2468" s="2" t="inlineStr">
        <is>
          <t>North Ryde</t>
        </is>
      </c>
      <c r="N2468" s="2" t="inlineStr">
        <is>
          <t>Australia</t>
        </is>
      </c>
      <c r="P2468" s="2" t="inlineStr">
        <is>
          <t>Operational Control</t>
        </is>
      </c>
      <c r="Q2468" s="2" t="inlineStr">
        <is>
          <t>Operational Control</t>
        </is>
      </c>
      <c r="R2468" s="2" t="inlineStr">
        <is>
          <t>Energy and Utilities (EU)</t>
        </is>
      </c>
      <c r="S2468" s="2" t="inlineStr">
        <is>
          <t>Downer</t>
        </is>
      </c>
      <c r="T2468" s="2" t="n">
        <v>100</v>
      </c>
      <c r="W2468" s="2" t="inlineStr">
        <is>
          <t>Classification</t>
        </is>
      </c>
    </row>
    <row r="2469">
      <c r="A2469" s="2" t="inlineStr">
        <is>
          <t>Downer</t>
        </is>
      </c>
      <c r="B2469" s="2" t="inlineStr">
        <is>
          <t>West Camden WRP Upgrade</t>
        </is>
      </c>
      <c r="C2469" s="2" t="inlineStr">
        <is>
          <t>Plant</t>
        </is>
      </c>
      <c r="D2469" s="2" t="inlineStr">
        <is>
          <t>L9.J.241504</t>
        </is>
      </c>
      <c r="E2469" s="2" t="inlineStr">
        <is>
          <t>L9.J.241504</t>
        </is>
      </c>
      <c r="F2469" s="2" t="inlineStr">
        <is>
          <t>L9.J.241504</t>
        </is>
      </c>
      <c r="M2469" s="2" t="inlineStr">
        <is>
          <t>New South Wales</t>
        </is>
      </c>
      <c r="N2469" s="2" t="inlineStr">
        <is>
          <t>Australia</t>
        </is>
      </c>
      <c r="P2469" s="2" t="inlineStr">
        <is>
          <t>Operational Control</t>
        </is>
      </c>
      <c r="Q2469" s="2" t="inlineStr">
        <is>
          <t>Operational Control</t>
        </is>
      </c>
      <c r="R2469" s="2" t="inlineStr">
        <is>
          <t>Energy and Utilities (EU)</t>
        </is>
      </c>
      <c r="S2469" s="2" t="inlineStr">
        <is>
          <t>Downer</t>
        </is>
      </c>
      <c r="T2469" s="2" t="n">
        <v>100</v>
      </c>
      <c r="W2469" s="2" t="inlineStr">
        <is>
          <t>Classification</t>
        </is>
      </c>
    </row>
    <row r="2470">
      <c r="A2470" s="2" t="inlineStr">
        <is>
          <t>Downer</t>
        </is>
      </c>
      <c r="B2470" s="2" t="inlineStr">
        <is>
          <t>West Coast Telco Ops</t>
        </is>
      </c>
      <c r="C2470" s="2" t="inlineStr">
        <is>
          <t>Other</t>
        </is>
      </c>
      <c r="D2470" s="2" t="inlineStr">
        <is>
          <t>L9.DNZ.810.10.183</t>
        </is>
      </c>
      <c r="E2470" s="2" t="n">
        <v>10183</v>
      </c>
      <c r="F2470" s="2" t="n">
        <v>904385</v>
      </c>
      <c r="G2470" s="2" t="n">
        <v>10.183</v>
      </c>
      <c r="H2470" s="2" t="inlineStr">
        <is>
          <t>212 Main South Road</t>
        </is>
      </c>
      <c r="I2470" s="2" t="inlineStr">
        <is>
          <t>South Beach</t>
        </is>
      </c>
      <c r="J2470" s="2" t="inlineStr">
        <is>
          <t>Greymouth</t>
        </is>
      </c>
      <c r="K2470" s="2" t="n">
        <v>7805</v>
      </c>
      <c r="L2470" s="2" t="inlineStr">
        <is>
          <t>New Zealand</t>
        </is>
      </c>
      <c r="M2470" s="2" t="inlineStr">
        <is>
          <t>Greymouth</t>
        </is>
      </c>
      <c r="N2470" s="2" t="inlineStr">
        <is>
          <t>New Zealand</t>
        </is>
      </c>
      <c r="P2470" s="2" t="inlineStr">
        <is>
          <t>Operational Control</t>
        </is>
      </c>
      <c r="Q2470" s="2" t="inlineStr">
        <is>
          <t>Operational Control</t>
        </is>
      </c>
      <c r="R2470" s="2" t="inlineStr">
        <is>
          <t>Energy and Utilities (EU)</t>
        </is>
      </c>
      <c r="S2470" s="2" t="inlineStr">
        <is>
          <t>Downer</t>
        </is>
      </c>
      <c r="T2470" s="2" t="n">
        <v>100</v>
      </c>
      <c r="W2470" s="2" t="inlineStr">
        <is>
          <t>Classification</t>
        </is>
      </c>
      <c r="X2470" s="2" t="n">
        <v>-42.5005</v>
      </c>
      <c r="Y2470" s="2" t="n">
        <v>171.173</v>
      </c>
    </row>
    <row r="2471">
      <c r="A2471" s="2" t="inlineStr">
        <is>
          <t>Downer</t>
        </is>
      </c>
      <c r="B2471" s="2" t="inlineStr">
        <is>
          <t>West Design Estimating</t>
        </is>
      </c>
      <c r="C2471" s="2" t="inlineStr">
        <is>
          <t>Other</t>
        </is>
      </c>
      <c r="D2471" s="2" t="inlineStr">
        <is>
          <t>L9.DUN.60312</t>
        </is>
      </c>
      <c r="E2471" s="2" t="inlineStr">
        <is>
          <t>PG60312</t>
        </is>
      </c>
      <c r="H2471" s="2" t="inlineStr">
        <is>
          <t>130 Kerrs Road</t>
        </is>
      </c>
      <c r="I2471" s="2" t="inlineStr">
        <is>
          <t>Wiri</t>
        </is>
      </c>
      <c r="J2471" s="2" t="inlineStr">
        <is>
          <t>Auckland</t>
        </is>
      </c>
      <c r="K2471" s="2" t="n">
        <v>2104</v>
      </c>
      <c r="L2471" s="2" t="inlineStr">
        <is>
          <t>New Zealand</t>
        </is>
      </c>
      <c r="M2471" s="2" t="inlineStr">
        <is>
          <t>Manurewa</t>
        </is>
      </c>
      <c r="N2471" s="2" t="inlineStr">
        <is>
          <t>New Zealand</t>
        </is>
      </c>
      <c r="P2471" s="2" t="inlineStr">
        <is>
          <t>Operational Control</t>
        </is>
      </c>
      <c r="Q2471" s="2" t="inlineStr">
        <is>
          <t>Operational Control</t>
        </is>
      </c>
      <c r="R2471" s="2" t="inlineStr">
        <is>
          <t>Energy and Utilities (EU)</t>
        </is>
      </c>
      <c r="S2471" s="2" t="inlineStr">
        <is>
          <t>Downer</t>
        </is>
      </c>
      <c r="T2471" s="2" t="n">
        <v>100</v>
      </c>
      <c r="W2471" s="2" t="inlineStr">
        <is>
          <t>Classification</t>
        </is>
      </c>
      <c r="X2471" s="2" t="n">
        <v>-37.0083</v>
      </c>
      <c r="Y2471" s="2" t="n">
        <v>174.8705</v>
      </c>
    </row>
    <row r="2472">
      <c r="A2472" s="2" t="inlineStr">
        <is>
          <t>Downer</t>
        </is>
      </c>
      <c r="B2472" s="2" t="inlineStr">
        <is>
          <t>West Major Projects EU Subcontractors</t>
        </is>
      </c>
      <c r="C2472" s="2" t="inlineStr">
        <is>
          <t>Other</t>
        </is>
      </c>
      <c r="D2472" s="2" t="inlineStr">
        <is>
          <t>L9.J.382855</t>
        </is>
      </c>
      <c r="E2472" s="2" t="inlineStr">
        <is>
          <t>L9.J.382855</t>
        </is>
      </c>
      <c r="M2472" s="2" t="inlineStr">
        <is>
          <t>North Ryde</t>
        </is>
      </c>
      <c r="N2472" s="2" t="inlineStr">
        <is>
          <t>Australia</t>
        </is>
      </c>
      <c r="P2472" s="2" t="inlineStr">
        <is>
          <t>Operational Control</t>
        </is>
      </c>
      <c r="Q2472" s="2" t="inlineStr">
        <is>
          <t>Operational Control</t>
        </is>
      </c>
      <c r="R2472" s="2" t="inlineStr">
        <is>
          <t>Energy and Utilities (EU)</t>
        </is>
      </c>
      <c r="S2472" s="2" t="inlineStr">
        <is>
          <t>Downer</t>
        </is>
      </c>
      <c r="T2472" s="2" t="n">
        <v>100</v>
      </c>
      <c r="W2472" s="2" t="inlineStr">
        <is>
          <t>Classification</t>
        </is>
      </c>
    </row>
    <row r="2473">
      <c r="A2473" s="2" t="inlineStr">
        <is>
          <t>Downer</t>
        </is>
      </c>
      <c r="B2473" s="2" t="inlineStr">
        <is>
          <t>West of Porters Pass FBS</t>
        </is>
      </c>
      <c r="C2473" s="2" t="inlineStr">
        <is>
          <t>Infrastructure</t>
        </is>
      </c>
      <c r="D2473" s="2" t="inlineStr">
        <is>
          <t>L9.DNZJ.555312</t>
        </is>
      </c>
      <c r="E2473" s="2" t="n">
        <v>555312</v>
      </c>
      <c r="G2473" s="2" t="inlineStr">
        <is>
          <t>TI-NZT-555312 - West of Porters Pass FBS</t>
        </is>
      </c>
      <c r="M2473" s="2" t="inlineStr">
        <is>
          <t>Canterbury</t>
        </is>
      </c>
      <c r="N2473" s="2" t="inlineStr">
        <is>
          <t>New Zealand</t>
        </is>
      </c>
      <c r="P2473" s="2" t="inlineStr">
        <is>
          <t>Operational Control</t>
        </is>
      </c>
      <c r="Q2473" s="2" t="inlineStr">
        <is>
          <t>Operational Control</t>
        </is>
      </c>
      <c r="R2473" s="2" t="inlineStr">
        <is>
          <t>Transport &amp; Infrastructure (T&amp;I)</t>
        </is>
      </c>
      <c r="S2473" s="2" t="inlineStr">
        <is>
          <t>Downer</t>
        </is>
      </c>
      <c r="T2473" s="2" t="n">
        <v>100</v>
      </c>
      <c r="W2473" s="2" t="inlineStr">
        <is>
          <t>Classification</t>
        </is>
      </c>
    </row>
    <row r="2474">
      <c r="A2474" s="2" t="inlineStr">
        <is>
          <t>Downer</t>
        </is>
      </c>
      <c r="B2474" s="2" t="inlineStr">
        <is>
          <t>Western Inst of Technology-Fac 45003441</t>
        </is>
      </c>
      <c r="C2474" s="2" t="inlineStr">
        <is>
          <t>Other</t>
        </is>
      </c>
      <c r="D2474" s="2" t="inlineStr">
        <is>
          <t>L9.S.24000321</t>
        </is>
      </c>
      <c r="E2474" s="2" t="n">
        <v>2000004914</v>
      </c>
      <c r="H2474" s="2" t="inlineStr">
        <is>
          <t>130 Kerrs Road</t>
        </is>
      </c>
      <c r="I2474" s="2" t="inlineStr">
        <is>
          <t>Wiri</t>
        </is>
      </c>
      <c r="J2474" s="2" t="inlineStr">
        <is>
          <t>Auckland</t>
        </is>
      </c>
      <c r="K2474" s="2" t="n">
        <v>2104</v>
      </c>
      <c r="L2474" s="2" t="inlineStr">
        <is>
          <t>New Zealand</t>
        </is>
      </c>
      <c r="M2474" s="2" t="inlineStr">
        <is>
          <t>Manurewa</t>
        </is>
      </c>
      <c r="N2474" s="2" t="inlineStr">
        <is>
          <t>New Zealand</t>
        </is>
      </c>
      <c r="P2474" s="2" t="inlineStr">
        <is>
          <t>Operational Control</t>
        </is>
      </c>
      <c r="Q2474" s="2" t="inlineStr">
        <is>
          <t>Operational Control</t>
        </is>
      </c>
      <c r="R2474" s="2" t="inlineStr">
        <is>
          <t>Social Infra &amp; Citizen Serv (SICS)</t>
        </is>
      </c>
      <c r="S2474" s="2" t="inlineStr">
        <is>
          <t>Downer</t>
        </is>
      </c>
      <c r="T2474" s="2" t="n">
        <v>100</v>
      </c>
      <c r="W2474" s="2" t="inlineStr">
        <is>
          <t>Classification</t>
        </is>
      </c>
      <c r="X2474" s="2" t="n">
        <v>-37.0083</v>
      </c>
      <c r="Y2474" s="2" t="n">
        <v>174.8705</v>
      </c>
    </row>
    <row r="2475">
      <c r="A2475" s="2" t="inlineStr">
        <is>
          <t>Downer</t>
        </is>
      </c>
      <c r="B2475" s="2" t="inlineStr">
        <is>
          <t>Wgtn Const - Minor Works</t>
        </is>
      </c>
      <c r="C2475" s="2" t="inlineStr">
        <is>
          <t>Other</t>
        </is>
      </c>
      <c r="D2475" s="2" t="inlineStr">
        <is>
          <t>L9.DNZJ.552604</t>
        </is>
      </c>
      <c r="E2475" s="2" t="n">
        <v>552604</v>
      </c>
      <c r="H2475" s="2" t="inlineStr">
        <is>
          <t>130 Kerrs Road</t>
        </is>
      </c>
      <c r="I2475" s="2" t="inlineStr">
        <is>
          <t>Wiri</t>
        </is>
      </c>
      <c r="J2475" s="2" t="inlineStr">
        <is>
          <t>Auckland</t>
        </is>
      </c>
      <c r="K2475" s="2" t="n">
        <v>2104</v>
      </c>
      <c r="L2475" s="2" t="inlineStr">
        <is>
          <t>New Zealand</t>
        </is>
      </c>
      <c r="M2475" s="2" t="inlineStr">
        <is>
          <t>Manurewa</t>
        </is>
      </c>
      <c r="N2475" s="2" t="inlineStr">
        <is>
          <t>New Zealand</t>
        </is>
      </c>
      <c r="P2475" s="2" t="inlineStr">
        <is>
          <t>Operational Control</t>
        </is>
      </c>
      <c r="Q2475" s="2" t="inlineStr">
        <is>
          <t>Operational Control</t>
        </is>
      </c>
      <c r="R2475" s="2" t="inlineStr">
        <is>
          <t>Transport &amp; Infrastructure (T&amp;I)</t>
        </is>
      </c>
      <c r="S2475" s="2" t="inlineStr">
        <is>
          <t>Downer</t>
        </is>
      </c>
      <c r="T2475" s="2" t="n">
        <v>100</v>
      </c>
      <c r="W2475" s="2" t="inlineStr">
        <is>
          <t>Classification</t>
        </is>
      </c>
      <c r="X2475" s="2" t="n">
        <v>-37.0083</v>
      </c>
      <c r="Y2475" s="2" t="n">
        <v>174.8705</v>
      </c>
    </row>
    <row r="2476">
      <c r="A2476" s="2" t="inlineStr">
        <is>
          <t>Downer</t>
        </is>
      </c>
      <c r="B2476" s="2" t="inlineStr">
        <is>
          <t>Wgtn Overhead</t>
        </is>
      </c>
      <c r="C2476" s="2" t="inlineStr">
        <is>
          <t>Other</t>
        </is>
      </c>
      <c r="D2476" s="2" t="inlineStr">
        <is>
          <t>L9.DNZJ.54940</t>
        </is>
      </c>
      <c r="E2476" s="2" t="n">
        <v>54940</v>
      </c>
      <c r="G2476" s="2" t="inlineStr">
        <is>
          <t>TI-NZT-54940 - Wgtn Overhead</t>
        </is>
      </c>
      <c r="M2476" s="2" t="inlineStr">
        <is>
          <t>Wellington</t>
        </is>
      </c>
      <c r="N2476" s="2" t="inlineStr">
        <is>
          <t>New Zealand</t>
        </is>
      </c>
      <c r="P2476" s="2" t="inlineStr">
        <is>
          <t>Operational Control</t>
        </is>
      </c>
      <c r="Q2476" s="2" t="inlineStr">
        <is>
          <t>Operational Control</t>
        </is>
      </c>
      <c r="R2476" s="2" t="inlineStr">
        <is>
          <t>Transport &amp; Infrastructure (T&amp;I)</t>
        </is>
      </c>
      <c r="S2476" s="2" t="inlineStr">
        <is>
          <t>Downer</t>
        </is>
      </c>
      <c r="T2476" s="2" t="n">
        <v>100</v>
      </c>
      <c r="W2476" s="2" t="inlineStr">
        <is>
          <t>Classification</t>
        </is>
      </c>
    </row>
    <row r="2477">
      <c r="A2477" s="2" t="inlineStr">
        <is>
          <t>Downer</t>
        </is>
      </c>
      <c r="B2477" s="2" t="inlineStr">
        <is>
          <t>Whakatane (2 Canning Pl)</t>
        </is>
      </c>
      <c r="C2477" s="2" t="inlineStr">
        <is>
          <t>Commercial</t>
        </is>
      </c>
      <c r="D2477" s="2" t="inlineStr">
        <is>
          <t>L9.DNZJ.91413</t>
        </is>
      </c>
      <c r="E2477" s="2" t="n">
        <v>91413</v>
      </c>
      <c r="G2477" s="2" t="inlineStr">
        <is>
          <t>COR-NZHO-91413 - Whakatane (2 Canning Pl).  Kate Whiteman: This property is shared between EU-NZU-10.169 Gisborne Telco Ops and EU-NZU-10.171 Waikato/Bay of Plenty ISP</t>
        </is>
      </c>
      <c r="H2477" s="2" t="inlineStr">
        <is>
          <t>2 Canning Place</t>
        </is>
      </c>
      <c r="I2477" s="2" t="inlineStr">
        <is>
          <t>Whakatāne</t>
        </is>
      </c>
      <c r="K2477" s="2" t="n">
        <v>3120</v>
      </c>
      <c r="M2477" s="2" t="inlineStr">
        <is>
          <t>Whakatane</t>
        </is>
      </c>
      <c r="N2477" s="2" t="inlineStr">
        <is>
          <t>New Zealand</t>
        </is>
      </c>
      <c r="P2477" s="2" t="inlineStr">
        <is>
          <t>Operational Control</t>
        </is>
      </c>
      <c r="Q2477" s="2" t="inlineStr">
        <is>
          <t>Operational Control</t>
        </is>
      </c>
      <c r="R2477" s="2" t="inlineStr">
        <is>
          <t>Corporate</t>
        </is>
      </c>
      <c r="S2477" s="2" t="inlineStr">
        <is>
          <t>Downer</t>
        </is>
      </c>
      <c r="T2477" s="2" t="n">
        <v>100</v>
      </c>
      <c r="W2477" s="2" t="inlineStr">
        <is>
          <t>Classification</t>
        </is>
      </c>
    </row>
    <row r="2478">
      <c r="A2478" s="2" t="inlineStr">
        <is>
          <t>Downer</t>
        </is>
      </c>
      <c r="B2478" s="2" t="inlineStr">
        <is>
          <t>WHAKATANE MENTAL HEALTH</t>
        </is>
      </c>
      <c r="C2478" s="2" t="inlineStr">
        <is>
          <t>Infrastructure</t>
        </is>
      </c>
      <c r="D2478" s="2" t="inlineStr">
        <is>
          <t>L9.DNZ.HC0360</t>
        </is>
      </c>
      <c r="E2478" s="2" t="inlineStr">
        <is>
          <t>HC0360</t>
        </is>
      </c>
      <c r="G2478" s="2" t="inlineStr">
        <is>
          <t>TI-NZT-BP.HC0360-Whakatane Hospital MHU Upgrade</t>
        </is>
      </c>
      <c r="M2478" s="2" t="inlineStr">
        <is>
          <t>Whakatane</t>
        </is>
      </c>
      <c r="N2478" s="2" t="inlineStr">
        <is>
          <t>New Zealand</t>
        </is>
      </c>
      <c r="P2478" s="2" t="inlineStr">
        <is>
          <t>Operational Control</t>
        </is>
      </c>
      <c r="Q2478" s="2" t="inlineStr">
        <is>
          <t>Operational Control</t>
        </is>
      </c>
      <c r="R2478" s="2" t="inlineStr">
        <is>
          <t>Transport &amp; Infrastructure (T&amp;I)</t>
        </is>
      </c>
      <c r="S2478" s="2" t="inlineStr">
        <is>
          <t>Downer</t>
        </is>
      </c>
      <c r="T2478" s="2" t="n">
        <v>100</v>
      </c>
      <c r="W2478" s="2" t="inlineStr">
        <is>
          <t>Classification</t>
        </is>
      </c>
    </row>
    <row r="2479">
      <c r="A2479" s="2" t="inlineStr">
        <is>
          <t>Downer</t>
        </is>
      </c>
      <c r="B2479" s="2" t="inlineStr">
        <is>
          <t>Whangarei DC EU Subcontractors</t>
        </is>
      </c>
      <c r="C2479" s="2" t="inlineStr">
        <is>
          <t>Other</t>
        </is>
      </c>
      <c r="D2479" s="2" t="inlineStr">
        <is>
          <t>L9.DNZJ.56110</t>
        </is>
      </c>
      <c r="E2479" s="2" t="inlineStr">
        <is>
          <t>L9.DNZJ.56110</t>
        </is>
      </c>
      <c r="M2479" s="2" t="inlineStr">
        <is>
          <t>Auckland City</t>
        </is>
      </c>
      <c r="N2479" s="2" t="inlineStr">
        <is>
          <t>New Zealand</t>
        </is>
      </c>
      <c r="P2479" s="2" t="inlineStr">
        <is>
          <t>Operational Control</t>
        </is>
      </c>
      <c r="Q2479" s="2" t="inlineStr">
        <is>
          <t>Operational Control</t>
        </is>
      </c>
      <c r="R2479" s="2" t="inlineStr">
        <is>
          <t>Energy and Utilities (EU)</t>
        </is>
      </c>
      <c r="S2479" s="2" t="inlineStr">
        <is>
          <t>Downer</t>
        </is>
      </c>
      <c r="T2479" s="2" t="n">
        <v>100</v>
      </c>
      <c r="W2479" s="2" t="inlineStr">
        <is>
          <t>Classification</t>
        </is>
      </c>
    </row>
    <row r="2480">
      <c r="A2480" s="2" t="inlineStr">
        <is>
          <t>Downer</t>
        </is>
      </c>
      <c r="B2480" s="2" t="inlineStr">
        <is>
          <t>Whangarei Depot</t>
        </is>
      </c>
      <c r="C2480" s="2" t="inlineStr">
        <is>
          <t>Other</t>
        </is>
      </c>
      <c r="D2480" s="2" t="inlineStr">
        <is>
          <t>L9.DNZJ.55510</t>
        </is>
      </c>
      <c r="E2480" s="2" t="n">
        <v>55510</v>
      </c>
      <c r="H2480" s="2" t="inlineStr">
        <is>
          <t>124-130 Port Road</t>
        </is>
      </c>
      <c r="I2480" s="2" t="inlineStr">
        <is>
          <t>Port Whangarei</t>
        </is>
      </c>
      <c r="J2480" s="2" t="inlineStr">
        <is>
          <t>Whangarei</t>
        </is>
      </c>
      <c r="K2480" s="2" t="n">
        <v>110</v>
      </c>
      <c r="L2480" s="2" t="inlineStr">
        <is>
          <t>New Zealand</t>
        </is>
      </c>
      <c r="M2480" s="2" t="inlineStr">
        <is>
          <t>Whangarei</t>
        </is>
      </c>
      <c r="N2480" s="2" t="inlineStr">
        <is>
          <t>New Zealand</t>
        </is>
      </c>
      <c r="P2480" s="2" t="inlineStr">
        <is>
          <t>Operational Control</t>
        </is>
      </c>
      <c r="Q2480" s="2" t="inlineStr">
        <is>
          <t>Operational Control</t>
        </is>
      </c>
      <c r="R2480" s="2" t="inlineStr">
        <is>
          <t>Transport &amp; Infrastructure (T&amp;I)</t>
        </is>
      </c>
      <c r="S2480" s="2" t="inlineStr">
        <is>
          <t>Downer</t>
        </is>
      </c>
      <c r="T2480" s="2" t="n">
        <v>100</v>
      </c>
      <c r="W2480" s="2" t="inlineStr">
        <is>
          <t>Classification</t>
        </is>
      </c>
      <c r="X2480" s="2" t="n">
        <v>-35.7431</v>
      </c>
      <c r="Y2480" s="2" t="n">
        <v>174.3393</v>
      </c>
    </row>
    <row r="2481">
      <c r="A2481" s="2" t="inlineStr">
        <is>
          <t>Downer</t>
        </is>
      </c>
      <c r="B2481" s="2" t="inlineStr">
        <is>
          <t>Whenuapai Northern Access</t>
        </is>
      </c>
      <c r="C2481" s="2" t="inlineStr">
        <is>
          <t>Other</t>
        </is>
      </c>
      <c r="D2481" s="2" t="inlineStr">
        <is>
          <t>L9.DNZJ.553184</t>
        </is>
      </c>
      <c r="E2481" s="2" t="n">
        <v>553184</v>
      </c>
      <c r="F2481" s="2" t="n">
        <v>553184</v>
      </c>
      <c r="M2481" s="2" t="inlineStr">
        <is>
          <t>Auckland</t>
        </is>
      </c>
      <c r="N2481" s="2" t="inlineStr">
        <is>
          <t>New Zealand</t>
        </is>
      </c>
      <c r="P2481" s="2" t="inlineStr">
        <is>
          <t>Operational Control</t>
        </is>
      </c>
      <c r="Q2481" s="2" t="inlineStr">
        <is>
          <t>Operational Control</t>
        </is>
      </c>
      <c r="R2481" s="2" t="inlineStr">
        <is>
          <t>Transport &amp; Infrastructure (T&amp;I)</t>
        </is>
      </c>
      <c r="S2481" s="2" t="inlineStr">
        <is>
          <t>Downer</t>
        </is>
      </c>
      <c r="T2481" s="2" t="n">
        <v>100</v>
      </c>
      <c r="W2481" s="2" t="inlineStr">
        <is>
          <t>Classification</t>
        </is>
      </c>
    </row>
    <row r="2482">
      <c r="A2482" s="2" t="inlineStr">
        <is>
          <t>Downer</t>
        </is>
      </c>
      <c r="B2482" s="2" t="inlineStr">
        <is>
          <t>WIAL RUNWAY EMAS - ECI</t>
        </is>
      </c>
      <c r="C2482" s="2" t="inlineStr">
        <is>
          <t>Airport</t>
        </is>
      </c>
      <c r="D2482" s="2" t="inlineStr">
        <is>
          <t>L9.DNZJ.DS2679</t>
        </is>
      </c>
      <c r="E2482" s="2" t="inlineStr">
        <is>
          <t>JP_DS2679</t>
        </is>
      </c>
      <c r="G2482" s="2" t="inlineStr">
        <is>
          <t>TI-NZT-DS2679 - WIAL EMAS</t>
        </is>
      </c>
      <c r="M2482" s="2" t="inlineStr">
        <is>
          <t>Wellington</t>
        </is>
      </c>
      <c r="N2482" s="2" t="inlineStr">
        <is>
          <t>New Zealand</t>
        </is>
      </c>
      <c r="P2482" s="2" t="inlineStr">
        <is>
          <t>Operational Control</t>
        </is>
      </c>
      <c r="Q2482" s="2" t="inlineStr">
        <is>
          <t>Operational Control</t>
        </is>
      </c>
      <c r="R2482" s="2" t="inlineStr">
        <is>
          <t>Transport &amp; Infrastructure (T&amp;I)</t>
        </is>
      </c>
      <c r="S2482" s="2" t="inlineStr">
        <is>
          <t>Downer</t>
        </is>
      </c>
      <c r="T2482" s="2" t="n">
        <v>100</v>
      </c>
      <c r="W2482" s="2" t="inlineStr">
        <is>
          <t>Classification</t>
        </is>
      </c>
    </row>
    <row r="2483">
      <c r="A2483" s="2" t="inlineStr">
        <is>
          <t>Downer</t>
        </is>
      </c>
      <c r="B2483" s="2" t="inlineStr">
        <is>
          <t>WIAL Runway EMAS Main Works</t>
        </is>
      </c>
      <c r="C2483" s="2" t="inlineStr">
        <is>
          <t>Other</t>
        </is>
      </c>
      <c r="D2483" s="2" t="inlineStr">
        <is>
          <t>L9.DNZJ.DS2680</t>
        </is>
      </c>
      <c r="E2483" s="2" t="inlineStr">
        <is>
          <t>JP_DS2680</t>
        </is>
      </c>
      <c r="M2483" s="2" t="inlineStr">
        <is>
          <t>Wellington</t>
        </is>
      </c>
      <c r="N2483" s="2" t="inlineStr">
        <is>
          <t>New Zealand</t>
        </is>
      </c>
      <c r="P2483" s="2" t="inlineStr">
        <is>
          <t>Operational Control</t>
        </is>
      </c>
      <c r="Q2483" s="2" t="inlineStr">
        <is>
          <t>Operational Control</t>
        </is>
      </c>
      <c r="R2483" s="2" t="inlineStr">
        <is>
          <t>Transport &amp; Infrastructure (T&amp;I)</t>
        </is>
      </c>
      <c r="S2483" s="2" t="inlineStr">
        <is>
          <t>Downer</t>
        </is>
      </c>
      <c r="T2483" s="2" t="n">
        <v>100</v>
      </c>
      <c r="W2483" s="2" t="inlineStr">
        <is>
          <t>Classification</t>
        </is>
      </c>
    </row>
    <row r="2484">
      <c r="A2484" s="2" t="inlineStr">
        <is>
          <t>Downer</t>
        </is>
      </c>
      <c r="B2484" s="2" t="inlineStr">
        <is>
          <t>Wigram Operations 45003019</t>
        </is>
      </c>
      <c r="C2484" s="2" t="inlineStr">
        <is>
          <t>Other</t>
        </is>
      </c>
      <c r="D2484" s="2" t="inlineStr">
        <is>
          <t>L9.S.26016952</t>
        </is>
      </c>
      <c r="E2484" s="2" t="n">
        <v>2000004651</v>
      </c>
      <c r="H2484" s="2" t="inlineStr">
        <is>
          <t>130 Kerrs Road</t>
        </is>
      </c>
      <c r="I2484" s="2" t="inlineStr">
        <is>
          <t>Wiri</t>
        </is>
      </c>
      <c r="J2484" s="2" t="inlineStr">
        <is>
          <t>Auckland</t>
        </is>
      </c>
      <c r="K2484" s="2" t="n">
        <v>2104</v>
      </c>
      <c r="L2484" s="2" t="inlineStr">
        <is>
          <t>New Zealand</t>
        </is>
      </c>
      <c r="M2484" s="2" t="inlineStr">
        <is>
          <t>Manurewa</t>
        </is>
      </c>
      <c r="N2484" s="2" t="inlineStr">
        <is>
          <t>New Zealand</t>
        </is>
      </c>
      <c r="P2484" s="2" t="inlineStr">
        <is>
          <t>Operational Control</t>
        </is>
      </c>
      <c r="Q2484" s="2" t="inlineStr">
        <is>
          <t>Operational Control</t>
        </is>
      </c>
      <c r="R2484" s="2" t="inlineStr">
        <is>
          <t>Social Infra &amp; Citizen Serv (SICS)</t>
        </is>
      </c>
      <c r="S2484" s="2" t="inlineStr">
        <is>
          <t>Downer</t>
        </is>
      </c>
      <c r="T2484" s="2" t="n">
        <v>100</v>
      </c>
      <c r="W2484" s="2" t="inlineStr">
        <is>
          <t>Classification</t>
        </is>
      </c>
      <c r="X2484" s="2" t="n">
        <v>-37.0083</v>
      </c>
      <c r="Y2484" s="2" t="n">
        <v>174.8705</v>
      </c>
    </row>
    <row r="2485">
      <c r="A2485" s="2" t="inlineStr">
        <is>
          <t>Downer</t>
        </is>
      </c>
      <c r="B2485" s="2" t="inlineStr">
        <is>
          <t>Winton (15 Russell St)</t>
        </is>
      </c>
      <c r="C2485" s="2" t="inlineStr">
        <is>
          <t>Other</t>
        </is>
      </c>
      <c r="D2485" s="2" t="inlineStr">
        <is>
          <t>L9.DNZJ.91378</t>
        </is>
      </c>
      <c r="E2485" s="2" t="n">
        <v>91378</v>
      </c>
      <c r="M2485" s="2" t="inlineStr">
        <is>
          <t>Manurewa</t>
        </is>
      </c>
      <c r="N2485" s="2" t="inlineStr">
        <is>
          <t>New Zealand</t>
        </is>
      </c>
      <c r="P2485" s="2" t="inlineStr">
        <is>
          <t>Operational Control</t>
        </is>
      </c>
      <c r="Q2485" s="2" t="inlineStr">
        <is>
          <t>Operational Control</t>
        </is>
      </c>
      <c r="R2485" s="2" t="inlineStr">
        <is>
          <t>Corporate</t>
        </is>
      </c>
      <c r="S2485" s="2" t="inlineStr">
        <is>
          <t>Downer</t>
        </is>
      </c>
      <c r="T2485" s="2" t="n">
        <v>100</v>
      </c>
      <c r="W2485" s="2" t="inlineStr">
        <is>
          <t>Classification</t>
        </is>
      </c>
      <c r="AB2485" s="11" t="n">
        <v>45473</v>
      </c>
    </row>
    <row r="2486">
      <c r="A2486" s="2" t="inlineStr">
        <is>
          <t>Downer</t>
        </is>
      </c>
      <c r="B2486" s="2" t="inlineStr">
        <is>
          <t>Wireless - Other EU Subcontractors</t>
        </is>
      </c>
      <c r="C2486" s="2" t="inlineStr">
        <is>
          <t>Other</t>
        </is>
      </c>
      <c r="D2486" s="2" t="inlineStr">
        <is>
          <t>L9.J.23440132</t>
        </is>
      </c>
      <c r="E2486" s="2" t="inlineStr">
        <is>
          <t>L9.J.23440132</t>
        </is>
      </c>
      <c r="F2486" s="2" t="inlineStr">
        <is>
          <t>L9.J.23440132</t>
        </is>
      </c>
      <c r="M2486" s="2" t="inlineStr">
        <is>
          <t>Auckland</t>
        </is>
      </c>
      <c r="N2486" s="2" t="inlineStr">
        <is>
          <t>New Zealand</t>
        </is>
      </c>
      <c r="P2486" s="2" t="inlineStr">
        <is>
          <t>Operational Control</t>
        </is>
      </c>
      <c r="Q2486" s="2" t="inlineStr">
        <is>
          <t>Operational Control</t>
        </is>
      </c>
      <c r="R2486" s="2" t="inlineStr">
        <is>
          <t>Energy and Utilities (EU)</t>
        </is>
      </c>
      <c r="S2486" s="2" t="inlineStr">
        <is>
          <t>Downer</t>
        </is>
      </c>
      <c r="T2486" s="2" t="n">
        <v>100</v>
      </c>
      <c r="W2486" s="2" t="inlineStr">
        <is>
          <t>Classification</t>
        </is>
      </c>
    </row>
    <row r="2487">
      <c r="A2487" s="2" t="inlineStr">
        <is>
          <t>Downer</t>
        </is>
      </c>
      <c r="B2487" s="2" t="inlineStr">
        <is>
          <t>Wireless - Telstra EU Subcontractors</t>
        </is>
      </c>
      <c r="C2487" s="2" t="inlineStr">
        <is>
          <t>Other</t>
        </is>
      </c>
      <c r="D2487" s="2" t="inlineStr">
        <is>
          <t>L9.J.234869</t>
        </is>
      </c>
      <c r="E2487" s="2" t="inlineStr">
        <is>
          <t>L9.J.234869</t>
        </is>
      </c>
      <c r="M2487" s="2" t="inlineStr">
        <is>
          <t>North Ryde</t>
        </is>
      </c>
      <c r="N2487" s="2" t="inlineStr">
        <is>
          <t>Australia</t>
        </is>
      </c>
      <c r="P2487" s="2" t="inlineStr">
        <is>
          <t>Operational Control</t>
        </is>
      </c>
      <c r="Q2487" s="2" t="inlineStr">
        <is>
          <t>Operational Control</t>
        </is>
      </c>
      <c r="R2487" s="2" t="inlineStr">
        <is>
          <t>Energy and Utilities (EU)</t>
        </is>
      </c>
      <c r="S2487" s="2" t="inlineStr">
        <is>
          <t>Downer</t>
        </is>
      </c>
      <c r="T2487" s="2" t="n">
        <v>100</v>
      </c>
      <c r="W2487" s="2" t="inlineStr">
        <is>
          <t>Classification</t>
        </is>
      </c>
    </row>
    <row r="2488">
      <c r="A2488" s="2" t="inlineStr">
        <is>
          <t>Downer</t>
        </is>
      </c>
      <c r="B2488" s="2" t="inlineStr">
        <is>
          <t>Wireless Southland Maint</t>
        </is>
      </c>
      <c r="C2488" s="2" t="inlineStr">
        <is>
          <t>Other</t>
        </is>
      </c>
      <c r="D2488" s="2" t="inlineStr">
        <is>
          <t>L9.DNZ.810.10.251</t>
        </is>
      </c>
      <c r="E2488" s="2" t="n">
        <v>10251</v>
      </c>
      <c r="G2488" s="2" t="n">
        <v>10.251</v>
      </c>
      <c r="H2488" s="2" t="inlineStr">
        <is>
          <t>130 Kerrs Road</t>
        </is>
      </c>
      <c r="I2488" s="2" t="inlineStr">
        <is>
          <t>Wiri</t>
        </is>
      </c>
      <c r="J2488" s="2" t="inlineStr">
        <is>
          <t>Auckland</t>
        </is>
      </c>
      <c r="K2488" s="2" t="n">
        <v>2104</v>
      </c>
      <c r="L2488" s="2" t="inlineStr">
        <is>
          <t>New Zealand</t>
        </is>
      </c>
      <c r="M2488" s="2" t="inlineStr">
        <is>
          <t>Manurewa</t>
        </is>
      </c>
      <c r="N2488" s="2" t="inlineStr">
        <is>
          <t>New Zealand</t>
        </is>
      </c>
      <c r="P2488" s="2" t="inlineStr">
        <is>
          <t>Operational Control</t>
        </is>
      </c>
      <c r="Q2488" s="2" t="inlineStr">
        <is>
          <t>Operational Control</t>
        </is>
      </c>
      <c r="R2488" s="2" t="inlineStr">
        <is>
          <t>Energy and Utilities (EU)</t>
        </is>
      </c>
      <c r="S2488" s="2" t="inlineStr">
        <is>
          <t>Downer</t>
        </is>
      </c>
      <c r="T2488" s="2" t="n">
        <v>100</v>
      </c>
      <c r="W2488" s="2" t="inlineStr">
        <is>
          <t>Classification</t>
        </is>
      </c>
      <c r="X2488" s="2" t="n">
        <v>-37.0083</v>
      </c>
      <c r="Y2488" s="2" t="n">
        <v>174.8705</v>
      </c>
    </row>
    <row r="2489">
      <c r="A2489" s="2" t="inlineStr">
        <is>
          <t>Downer</t>
        </is>
      </c>
      <c r="B2489" s="2" t="inlineStr">
        <is>
          <t>Wiri (130 Kerrs Rd)</t>
        </is>
      </c>
      <c r="C2489" s="2" t="inlineStr">
        <is>
          <t>Other</t>
        </is>
      </c>
      <c r="D2489" s="2" t="inlineStr">
        <is>
          <t>L9.DNZJ.91145</t>
        </is>
      </c>
      <c r="E2489" s="2" t="n">
        <v>91145</v>
      </c>
      <c r="H2489" s="2" t="inlineStr">
        <is>
          <t>130 Kerrs Road</t>
        </is>
      </c>
      <c r="I2489" s="2" t="inlineStr">
        <is>
          <t>Wiri</t>
        </is>
      </c>
      <c r="J2489" s="2" t="inlineStr">
        <is>
          <t>Auckland</t>
        </is>
      </c>
      <c r="K2489" s="2" t="n">
        <v>2104</v>
      </c>
      <c r="L2489" s="2" t="inlineStr">
        <is>
          <t>New Zealand</t>
        </is>
      </c>
      <c r="M2489" s="2" t="inlineStr">
        <is>
          <t>Manurewa</t>
        </is>
      </c>
      <c r="N2489" s="2" t="inlineStr">
        <is>
          <t>New Zealand</t>
        </is>
      </c>
      <c r="P2489" s="2" t="inlineStr">
        <is>
          <t>Operational Control</t>
        </is>
      </c>
      <c r="Q2489" s="2" t="inlineStr">
        <is>
          <t>Operational Control</t>
        </is>
      </c>
      <c r="R2489" s="2" t="inlineStr">
        <is>
          <t>Corporate</t>
        </is>
      </c>
      <c r="S2489" s="2" t="inlineStr">
        <is>
          <t>Downer</t>
        </is>
      </c>
      <c r="T2489" s="2" t="n">
        <v>100</v>
      </c>
      <c r="W2489" s="2" t="inlineStr">
        <is>
          <t>Classification</t>
        </is>
      </c>
      <c r="X2489" s="2" t="n">
        <v>-37.0083</v>
      </c>
      <c r="Y2489" s="2" t="n">
        <v>174.8705</v>
      </c>
    </row>
    <row r="2490">
      <c r="A2490" s="2" t="inlineStr">
        <is>
          <t>Downer</t>
        </is>
      </c>
      <c r="B2490" s="2" t="inlineStr">
        <is>
          <t>Wiri PPP - 45002375</t>
        </is>
      </c>
      <c r="C2490" s="2" t="inlineStr">
        <is>
          <t>Other</t>
        </is>
      </c>
      <c r="D2490" s="2" t="inlineStr">
        <is>
          <t>L9.S.24000002</t>
        </is>
      </c>
      <c r="E2490" s="2" t="n">
        <v>2000004481</v>
      </c>
      <c r="H2490" s="2" t="inlineStr">
        <is>
          <t>130 Kerrs Road</t>
        </is>
      </c>
      <c r="I2490" s="2" t="inlineStr">
        <is>
          <t>Wiri</t>
        </is>
      </c>
      <c r="J2490" s="2" t="inlineStr">
        <is>
          <t>Auckland</t>
        </is>
      </c>
      <c r="K2490" s="2" t="n">
        <v>2104</v>
      </c>
      <c r="L2490" s="2" t="inlineStr">
        <is>
          <t>New Zealand</t>
        </is>
      </c>
      <c r="M2490" s="2" t="inlineStr">
        <is>
          <t>Manurewa</t>
        </is>
      </c>
      <c r="N2490" s="2" t="inlineStr">
        <is>
          <t>New Zealand</t>
        </is>
      </c>
      <c r="P2490" s="2" t="inlineStr">
        <is>
          <t>Operational Control</t>
        </is>
      </c>
      <c r="Q2490" s="2" t="inlineStr">
        <is>
          <t>Operational Control</t>
        </is>
      </c>
      <c r="R2490" s="2" t="inlineStr">
        <is>
          <t>Social Infra &amp; Citizen Serv (SICS)</t>
        </is>
      </c>
      <c r="S2490" s="2" t="inlineStr">
        <is>
          <t>Downer</t>
        </is>
      </c>
      <c r="T2490" s="2" t="n">
        <v>100</v>
      </c>
      <c r="W2490" s="2" t="inlineStr">
        <is>
          <t>Classification</t>
        </is>
      </c>
      <c r="X2490" s="2" t="n">
        <v>-37.0083</v>
      </c>
      <c r="Y2490" s="2" t="n">
        <v>174.8705</v>
      </c>
    </row>
    <row r="2491">
      <c r="A2491" s="2" t="inlineStr">
        <is>
          <t>Downer</t>
        </is>
      </c>
      <c r="B2491" s="2" t="inlineStr">
        <is>
          <t>WK Otaki to Levin SIP Stage 1</t>
        </is>
      </c>
      <c r="C2491" s="2" t="inlineStr">
        <is>
          <t>Other</t>
        </is>
      </c>
      <c r="D2491" s="2" t="inlineStr">
        <is>
          <t>L9.DNZJ.558010</t>
        </is>
      </c>
      <c r="E2491" s="2" t="n">
        <v>558010</v>
      </c>
      <c r="F2491" s="2" t="n">
        <v>558010</v>
      </c>
      <c r="M2491" s="2" t="inlineStr">
        <is>
          <t>Manawatu-Wanganui</t>
        </is>
      </c>
      <c r="N2491" s="2" t="inlineStr">
        <is>
          <t>New Zealand</t>
        </is>
      </c>
      <c r="P2491" s="2" t="inlineStr">
        <is>
          <t>Operational Control</t>
        </is>
      </c>
      <c r="Q2491" s="2" t="inlineStr">
        <is>
          <t>Operational Control</t>
        </is>
      </c>
      <c r="R2491" s="2" t="inlineStr">
        <is>
          <t>Transport &amp; Infrastructure (T&amp;I)</t>
        </is>
      </c>
      <c r="S2491" s="2" t="inlineStr">
        <is>
          <t>Downer</t>
        </is>
      </c>
      <c r="T2491" s="2" t="n">
        <v>100</v>
      </c>
      <c r="W2491" s="2" t="inlineStr">
        <is>
          <t>Classification</t>
        </is>
      </c>
    </row>
    <row r="2492">
      <c r="A2492" s="2" t="inlineStr">
        <is>
          <t>Downer</t>
        </is>
      </c>
      <c r="B2492" s="2" t="inlineStr">
        <is>
          <t>Wodonga - P&amp;E</t>
        </is>
      </c>
      <c r="C2492" s="2" t="inlineStr">
        <is>
          <t>Plant</t>
        </is>
      </c>
      <c r="D2492" s="2" t="inlineStr">
        <is>
          <t>L9.J.170909</t>
        </is>
      </c>
      <c r="E2492" s="2" t="inlineStr">
        <is>
          <t>L9.J.170909</t>
        </is>
      </c>
      <c r="M2492" s="2" t="inlineStr">
        <is>
          <t>Victoria</t>
        </is>
      </c>
      <c r="N2492" s="2" t="inlineStr">
        <is>
          <t>Australia</t>
        </is>
      </c>
      <c r="P2492" s="2" t="inlineStr">
        <is>
          <t>Operational Control</t>
        </is>
      </c>
      <c r="Q2492" s="2" t="inlineStr">
        <is>
          <t>Operational Control</t>
        </is>
      </c>
      <c r="R2492" s="2" t="inlineStr">
        <is>
          <t>Transport &amp; Infrastructure (T&amp;I)</t>
        </is>
      </c>
      <c r="S2492" s="2" t="inlineStr">
        <is>
          <t>Downer</t>
        </is>
      </c>
      <c r="T2492" s="2" t="n">
        <v>100</v>
      </c>
      <c r="W2492" s="2" t="inlineStr">
        <is>
          <t>Classification</t>
        </is>
      </c>
    </row>
    <row r="2493">
      <c r="A2493" s="2" t="inlineStr">
        <is>
          <t>Downer</t>
        </is>
      </c>
      <c r="B2493" s="2" t="inlineStr">
        <is>
          <t>WTP Mobile Tech Campbelltown</t>
        </is>
      </c>
      <c r="C2493" s="2" t="inlineStr">
        <is>
          <t>Office / Warehouse</t>
        </is>
      </c>
      <c r="D2493" s="2" t="inlineStr">
        <is>
          <t>L9.J.70930032</t>
        </is>
      </c>
      <c r="E2493" s="2" t="n">
        <v>3024</v>
      </c>
      <c r="H2493" s="2" t="inlineStr">
        <is>
          <t>Unit I2
5-7 Hepher Road</t>
        </is>
      </c>
      <c r="I2493" s="2" t="inlineStr">
        <is>
          <t>Campbelltown</t>
        </is>
      </c>
      <c r="J2493" s="2" t="inlineStr">
        <is>
          <t>NSW</t>
        </is>
      </c>
      <c r="K2493" s="2" t="n">
        <v>2560</v>
      </c>
      <c r="M2493" s="2" t="inlineStr">
        <is>
          <t>Campbelltown</t>
        </is>
      </c>
      <c r="N2493" s="2" t="inlineStr">
        <is>
          <t>Australia</t>
        </is>
      </c>
      <c r="P2493" s="2" t="inlineStr">
        <is>
          <t>Operational Control</t>
        </is>
      </c>
      <c r="Q2493" s="2" t="inlineStr">
        <is>
          <t>Operational Control</t>
        </is>
      </c>
      <c r="R2493" s="2" t="inlineStr">
        <is>
          <t>Rail &amp; Transit Systems (RTS)</t>
        </is>
      </c>
      <c r="S2493" s="2" t="inlineStr">
        <is>
          <t>Downer</t>
        </is>
      </c>
      <c r="T2493" s="2" t="n">
        <v>100</v>
      </c>
      <c r="W2493" s="2" t="inlineStr">
        <is>
          <t>Classification</t>
        </is>
      </c>
      <c r="X2493" s="2" t="n">
        <v>-34.055034</v>
      </c>
      <c r="Y2493" s="2" t="n">
        <v>150.807827</v>
      </c>
      <c r="Z2493" s="2" t="n">
        <v>530</v>
      </c>
    </row>
    <row r="2494">
      <c r="A2494" s="2" t="inlineStr">
        <is>
          <t>Downer</t>
        </is>
      </c>
      <c r="B2494" s="2" t="inlineStr">
        <is>
          <t>WTP Mobile Tech Hornsby</t>
        </is>
      </c>
      <c r="C2494" s="2" t="inlineStr">
        <is>
          <t>Office / Warehouse</t>
        </is>
      </c>
      <c r="D2494" s="2" t="inlineStr">
        <is>
          <t>L9.J.710001</t>
        </is>
      </c>
      <c r="E2494" s="2" t="n">
        <v>3025</v>
      </c>
      <c r="H2494" s="2" t="inlineStr">
        <is>
          <t>2 &amp; 2a 29 Leighton Place</t>
        </is>
      </c>
      <c r="I2494" s="2" t="inlineStr">
        <is>
          <t>Hornsby</t>
        </is>
      </c>
      <c r="J2494" s="2" t="inlineStr">
        <is>
          <t>NSW</t>
        </is>
      </c>
      <c r="K2494" s="2" t="n">
        <v>2077</v>
      </c>
      <c r="M2494" s="2" t="inlineStr">
        <is>
          <t>Hornsby</t>
        </is>
      </c>
      <c r="N2494" s="2" t="inlineStr">
        <is>
          <t>Australia</t>
        </is>
      </c>
      <c r="P2494" s="2" t="inlineStr">
        <is>
          <t>Operational Control</t>
        </is>
      </c>
      <c r="Q2494" s="2" t="inlineStr">
        <is>
          <t>Operational Control</t>
        </is>
      </c>
      <c r="R2494" s="2" t="inlineStr">
        <is>
          <t>Rail &amp; Transit Systems (RTS)</t>
        </is>
      </c>
      <c r="S2494" s="2" t="inlineStr">
        <is>
          <t>Downer</t>
        </is>
      </c>
      <c r="T2494" s="2" t="n">
        <v>100</v>
      </c>
      <c r="W2494" s="2" t="inlineStr">
        <is>
          <t>Classification</t>
        </is>
      </c>
      <c r="X2494" s="2" t="n">
        <v>-33.695284</v>
      </c>
      <c r="Y2494" s="2" t="n">
        <v>151.113702</v>
      </c>
      <c r="Z2494" s="2" t="n">
        <v>239</v>
      </c>
    </row>
    <row r="2495">
      <c r="A2495" s="2" t="inlineStr">
        <is>
          <t>Downer</t>
        </is>
      </c>
      <c r="B2495" s="2" t="inlineStr">
        <is>
          <t>WTPA</t>
        </is>
      </c>
      <c r="C2495" s="2" t="inlineStr">
        <is>
          <t>Other</t>
        </is>
      </c>
      <c r="D2495" s="2" t="inlineStr">
        <is>
          <t>L9.DNZJ.PS2639</t>
        </is>
      </c>
      <c r="E2495" s="2" t="inlineStr">
        <is>
          <t>PS2639</t>
        </is>
      </c>
      <c r="H2495" s="2" t="inlineStr">
        <is>
          <t>53 Ballarat Street</t>
        </is>
      </c>
      <c r="I2495" s="2" t="inlineStr">
        <is>
          <t>Queenstown</t>
        </is>
      </c>
      <c r="J2495" s="2" t="inlineStr">
        <is>
          <t>Queenstown</t>
        </is>
      </c>
      <c r="K2495" s="2" t="n">
        <v>9300</v>
      </c>
      <c r="L2495" s="2" t="inlineStr">
        <is>
          <t>New Zealand</t>
        </is>
      </c>
      <c r="M2495" s="2" t="inlineStr">
        <is>
          <t>Queenstown</t>
        </is>
      </c>
      <c r="N2495" s="2" t="inlineStr">
        <is>
          <t>New Zealand</t>
        </is>
      </c>
      <c r="P2495" s="2" t="inlineStr">
        <is>
          <t>Operational Control</t>
        </is>
      </c>
      <c r="Q2495" s="2" t="inlineStr">
        <is>
          <t>Operational Control</t>
        </is>
      </c>
      <c r="R2495" s="2" t="inlineStr">
        <is>
          <t>Transport &amp; Infrastructure (T&amp;I)</t>
        </is>
      </c>
      <c r="S2495" s="2" t="inlineStr">
        <is>
          <t>Downer</t>
        </is>
      </c>
      <c r="T2495" s="2" t="n">
        <v>100</v>
      </c>
      <c r="W2495" s="2" t="inlineStr">
        <is>
          <t>Classification</t>
        </is>
      </c>
      <c r="X2495" s="2" t="n">
        <v>-45.0311</v>
      </c>
      <c r="Y2495" s="2" t="n">
        <v>168.663</v>
      </c>
    </row>
    <row r="2496">
      <c r="A2496" s="2" t="inlineStr">
        <is>
          <t>Downer</t>
        </is>
      </c>
      <c r="B2496" s="2" t="inlineStr">
        <is>
          <t>Y10209 - Tarago Fluoride Plant Upgrade</t>
        </is>
      </c>
      <c r="C2496" s="2" t="inlineStr">
        <is>
          <t>Construction Site</t>
        </is>
      </c>
      <c r="D2496" s="2" t="inlineStr">
        <is>
          <t>L9.J.241209</t>
        </is>
      </c>
      <c r="E2496" s="2" t="inlineStr">
        <is>
          <t>L9.J.241209</t>
        </is>
      </c>
      <c r="M2496" s="2" t="inlineStr">
        <is>
          <t>Victoria</t>
        </is>
      </c>
      <c r="N2496" s="2" t="inlineStr">
        <is>
          <t>Australia</t>
        </is>
      </c>
      <c r="P2496" s="2" t="inlineStr">
        <is>
          <t>Operational Control</t>
        </is>
      </c>
      <c r="Q2496" s="2" t="inlineStr">
        <is>
          <t>Operational Control</t>
        </is>
      </c>
      <c r="R2496" s="2" t="inlineStr">
        <is>
          <t>Energy and Utilities (EU)</t>
        </is>
      </c>
      <c r="S2496" s="2" t="inlineStr">
        <is>
          <t>Downer</t>
        </is>
      </c>
      <c r="T2496" s="2" t="n">
        <v>100</v>
      </c>
      <c r="W2496" s="2" t="inlineStr">
        <is>
          <t>Classification</t>
        </is>
      </c>
    </row>
    <row r="2497">
      <c r="A2497" s="2" t="inlineStr">
        <is>
          <t>Downer</t>
        </is>
      </c>
      <c r="B2497" s="2" t="inlineStr">
        <is>
          <t>Y10341 - Mordialloc Main Sewer Rehabilitation</t>
        </is>
      </c>
      <c r="C2497" s="2" t="inlineStr">
        <is>
          <t>Construction Site</t>
        </is>
      </c>
      <c r="D2497" s="2" t="inlineStr">
        <is>
          <t>L9.J.241209</t>
        </is>
      </c>
      <c r="E2497" s="2" t="inlineStr">
        <is>
          <t>L9.J.241209</t>
        </is>
      </c>
      <c r="M2497" s="2" t="inlineStr">
        <is>
          <t>Victoria</t>
        </is>
      </c>
      <c r="N2497" s="2" t="inlineStr">
        <is>
          <t>Australia</t>
        </is>
      </c>
      <c r="P2497" s="2" t="inlineStr">
        <is>
          <t>Operational Control</t>
        </is>
      </c>
      <c r="Q2497" s="2" t="inlineStr">
        <is>
          <t>Operational Control</t>
        </is>
      </c>
      <c r="R2497" s="2" t="inlineStr">
        <is>
          <t>Energy and Utilities (EU)</t>
        </is>
      </c>
      <c r="S2497" s="2" t="inlineStr">
        <is>
          <t>Downer</t>
        </is>
      </c>
      <c r="T2497" s="2" t="n">
        <v>100</v>
      </c>
      <c r="W2497" s="2" t="inlineStr">
        <is>
          <t>Classification</t>
        </is>
      </c>
    </row>
    <row r="2498">
      <c r="A2498" s="2" t="inlineStr">
        <is>
          <t>Downer</t>
        </is>
      </c>
      <c r="B2498" s="2" t="inlineStr">
        <is>
          <t>Yarra Trams-Australia based travel</t>
        </is>
      </c>
      <c r="C2498" s="2" t="inlineStr">
        <is>
          <t>Other</t>
        </is>
      </c>
      <c r="D2498" s="2" t="inlineStr">
        <is>
          <t>L9.KD.YT.5720</t>
        </is>
      </c>
      <c r="E2498" s="2" t="n">
        <v>1018</v>
      </c>
      <c r="M2498" s="2" t="inlineStr">
        <is>
          <t>New South Wales</t>
        </is>
      </c>
      <c r="N2498" s="2" t="inlineStr">
        <is>
          <t>Australia</t>
        </is>
      </c>
      <c r="P2498" s="2" t="inlineStr">
        <is>
          <t>Operational Control</t>
        </is>
      </c>
      <c r="Q2498" s="2" t="inlineStr">
        <is>
          <t>Operational Control</t>
        </is>
      </c>
      <c r="R2498" s="2" t="inlineStr">
        <is>
          <t>Joint Ventures</t>
        </is>
      </c>
      <c r="S2498" s="2" t="inlineStr">
        <is>
          <t>Downer</t>
        </is>
      </c>
      <c r="T2498" s="2" t="n">
        <v>100</v>
      </c>
      <c r="W2498" s="2" t="inlineStr">
        <is>
          <t>Classification</t>
        </is>
      </c>
      <c r="X2498" s="2" t="n">
        <v>-33.794</v>
      </c>
      <c r="Y2498" s="2" t="n">
        <v>151.139</v>
      </c>
      <c r="Z2498" s="2" t="n">
        <v>729</v>
      </c>
    </row>
    <row r="2499">
      <c r="A2499" s="2" t="inlineStr">
        <is>
          <t>Downer</t>
        </is>
      </c>
      <c r="B2499" s="2" t="inlineStr">
        <is>
          <t>YVW Depot - Bayswater North</t>
        </is>
      </c>
      <c r="C2499" s="2" t="inlineStr">
        <is>
          <t>Depot</t>
        </is>
      </c>
      <c r="D2499" s="2" t="inlineStr">
        <is>
          <t>L9.DUA.105482</t>
        </is>
      </c>
      <c r="G2499" s="2" t="inlineStr">
        <is>
          <t>Bayswater Depot</t>
        </is>
      </c>
      <c r="H2499" s="2" t="inlineStr">
        <is>
          <t>Bayswater North</t>
        </is>
      </c>
      <c r="I2499" s="2" t="inlineStr">
        <is>
          <t>Melbourne</t>
        </is>
      </c>
      <c r="J2499" s="2" t="inlineStr">
        <is>
          <t>VIC</t>
        </is>
      </c>
      <c r="L2499" s="2" t="inlineStr">
        <is>
          <t>Australia</t>
        </is>
      </c>
      <c r="M2499" s="2" t="inlineStr">
        <is>
          <t>Victoria</t>
        </is>
      </c>
      <c r="N2499" s="2" t="inlineStr">
        <is>
          <t>Australia</t>
        </is>
      </c>
      <c r="P2499" s="2" t="inlineStr">
        <is>
          <t>Operational Control</t>
        </is>
      </c>
      <c r="Q2499" s="2" t="inlineStr">
        <is>
          <t>Operational Control</t>
        </is>
      </c>
      <c r="R2499" s="2" t="inlineStr">
        <is>
          <t>Energy and Utilities (EU)</t>
        </is>
      </c>
      <c r="S2499" s="2" t="inlineStr">
        <is>
          <t>Downer</t>
        </is>
      </c>
      <c r="T2499" s="2" t="n">
        <v>100</v>
      </c>
      <c r="W2499" s="2" t="inlineStr">
        <is>
          <t>Classification</t>
        </is>
      </c>
      <c r="X2499" s="2" t="n">
        <v>-37.836927</v>
      </c>
      <c r="Y2499" s="2" t="n">
        <v>144.975583</v>
      </c>
      <c r="Z2499" s="2" t="n">
        <v>310</v>
      </c>
    </row>
    <row r="2500">
      <c r="A2500" s="2" t="inlineStr">
        <is>
          <t>Downer</t>
        </is>
      </c>
      <c r="B2500" s="2" t="inlineStr">
        <is>
          <t>Zero Harm</t>
        </is>
      </c>
      <c r="C2500" s="2" t="inlineStr">
        <is>
          <t>Other</t>
        </is>
      </c>
      <c r="D2500" s="2" t="inlineStr">
        <is>
          <t>L9.DNZJ.55914</t>
        </is>
      </c>
      <c r="E2500" s="2" t="n">
        <v>55914</v>
      </c>
      <c r="H2500" s="2" t="inlineStr">
        <is>
          <t>130 Kerrs Road</t>
        </is>
      </c>
      <c r="I2500" s="2" t="inlineStr">
        <is>
          <t>Wiri</t>
        </is>
      </c>
      <c r="J2500" s="2" t="inlineStr">
        <is>
          <t>Auckland</t>
        </is>
      </c>
      <c r="K2500" s="2" t="n">
        <v>2104</v>
      </c>
      <c r="L2500" s="2" t="inlineStr">
        <is>
          <t>New Zealand</t>
        </is>
      </c>
      <c r="M2500" s="2" t="inlineStr">
        <is>
          <t>Manurewa</t>
        </is>
      </c>
      <c r="N2500" s="2" t="inlineStr">
        <is>
          <t>New Zealand</t>
        </is>
      </c>
      <c r="P2500" s="2" t="inlineStr">
        <is>
          <t>Operational Control</t>
        </is>
      </c>
      <c r="Q2500" s="2" t="inlineStr">
        <is>
          <t>Operational Control</t>
        </is>
      </c>
      <c r="R2500" s="2" t="inlineStr">
        <is>
          <t>Transport &amp; Infrastructure (T&amp;I)</t>
        </is>
      </c>
      <c r="S2500" s="2" t="inlineStr">
        <is>
          <t>Downer</t>
        </is>
      </c>
      <c r="T2500" s="2" t="n">
        <v>100</v>
      </c>
      <c r="W2500" s="2" t="inlineStr">
        <is>
          <t>Classification</t>
        </is>
      </c>
      <c r="X2500" s="2" t="n">
        <v>-37.0083</v>
      </c>
      <c r="Y2500" s="2" t="n">
        <v>174.8705</v>
      </c>
    </row>
    <row r="2501">
      <c r="A2501" s="2" t="inlineStr">
        <is>
          <t>Downer</t>
        </is>
      </c>
      <c r="B2501" s="2" t="inlineStr">
        <is>
          <t>Zero Harm EU</t>
        </is>
      </c>
      <c r="C2501" s="2" t="inlineStr">
        <is>
          <t>Other</t>
        </is>
      </c>
      <c r="D2501" s="2" t="inlineStr">
        <is>
          <t>L9.DNZJ.10014</t>
        </is>
      </c>
      <c r="E2501" s="2" t="n">
        <v>10014</v>
      </c>
      <c r="G2501" s="2" t="inlineStr">
        <is>
          <t>EU-NZU-10014 - Zero Harm</t>
        </is>
      </c>
      <c r="M2501" s="2" t="inlineStr">
        <is>
          <t>Auckland City</t>
        </is>
      </c>
      <c r="N2501" s="2" t="inlineStr">
        <is>
          <t>New Zealand</t>
        </is>
      </c>
      <c r="P2501" s="2" t="inlineStr">
        <is>
          <t>Operational Control</t>
        </is>
      </c>
      <c r="Q2501" s="2" t="inlineStr">
        <is>
          <t>Operational Control</t>
        </is>
      </c>
      <c r="R2501" s="2" t="inlineStr">
        <is>
          <t>Energy and Utilities (EU)</t>
        </is>
      </c>
      <c r="S2501" s="2" t="inlineStr">
        <is>
          <t>Downer</t>
        </is>
      </c>
      <c r="T2501" s="2" t="n">
        <v>100</v>
      </c>
      <c r="W2501" s="2" t="inlineStr">
        <is>
          <t>Classification</t>
        </is>
      </c>
    </row>
    <row r="2502">
      <c r="A2502" s="2" t="inlineStr">
        <is>
          <t>Downer</t>
        </is>
      </c>
      <c r="B2502" s="2" t="inlineStr">
        <is>
          <t>REV_ANZ Operations</t>
        </is>
      </c>
      <c r="C2502" s="2" t="inlineStr">
        <is>
          <t>Branch</t>
        </is>
      </c>
      <c r="D2502" s="2" t="inlineStr">
        <is>
          <t>L9.J.170240</t>
        </is>
      </c>
      <c r="E2502" s="2" t="inlineStr">
        <is>
          <t>TIANZ</t>
        </is>
      </c>
      <c r="M2502" s="2" t="inlineStr">
        <is>
          <t>North Ryde</t>
        </is>
      </c>
      <c r="N2502" s="2" t="inlineStr">
        <is>
          <t>Australia</t>
        </is>
      </c>
      <c r="P2502" s="2" t="inlineStr">
        <is>
          <t>Operational Control</t>
        </is>
      </c>
      <c r="Q2502" s="2" t="inlineStr">
        <is>
          <t>Operational Control</t>
        </is>
      </c>
      <c r="R2502" s="2" t="inlineStr">
        <is>
          <t>Transport &amp; Infrastructure (T&amp;I)</t>
        </is>
      </c>
      <c r="S2502" s="2" t="inlineStr">
        <is>
          <t>Downer</t>
        </is>
      </c>
      <c r="T2502" s="2" t="n">
        <v>100</v>
      </c>
      <c r="W2502" s="2" t="inlineStr">
        <is>
          <t>Classification</t>
        </is>
      </c>
    </row>
    <row r="2503">
      <c r="A2503" s="2" t="inlineStr">
        <is>
          <t>Downer</t>
        </is>
      </c>
      <c r="B2503" s="2" t="inlineStr">
        <is>
          <t>REV_ANZ Operations</t>
        </is>
      </c>
      <c r="C2503" s="2" t="inlineStr">
        <is>
          <t>Branch</t>
        </is>
      </c>
      <c r="D2503" s="2" t="inlineStr">
        <is>
          <t>L9.J.170240</t>
        </is>
      </c>
      <c r="E2503" s="2" t="inlineStr">
        <is>
          <t>TIANZ</t>
        </is>
      </c>
      <c r="M2503" s="2" t="inlineStr">
        <is>
          <t>North Ryde</t>
        </is>
      </c>
      <c r="N2503" s="2" t="inlineStr">
        <is>
          <t>Australia</t>
        </is>
      </c>
      <c r="P2503" s="2" t="inlineStr">
        <is>
          <t>Revenue</t>
        </is>
      </c>
      <c r="Q2503" s="2" t="inlineStr">
        <is>
          <t>Revenue</t>
        </is>
      </c>
      <c r="R2503" s="2" t="inlineStr">
        <is>
          <t>Revenue</t>
        </is>
      </c>
      <c r="S2503" s="2" t="inlineStr">
        <is>
          <t>Downer</t>
        </is>
      </c>
      <c r="T2503" s="2" t="n">
        <v>100</v>
      </c>
      <c r="W2503" s="2" t="inlineStr">
        <is>
          <t>Portfolio</t>
        </is>
      </c>
    </row>
    <row r="2504">
      <c r="A2504" s="2" t="inlineStr">
        <is>
          <t>Downer</t>
        </is>
      </c>
      <c r="B2504" s="2" t="inlineStr">
        <is>
          <t>REV_Asset &amp; Development Services</t>
        </is>
      </c>
      <c r="C2504" s="2" t="inlineStr">
        <is>
          <t>Branch</t>
        </is>
      </c>
      <c r="D2504" s="2" t="inlineStr">
        <is>
          <t>L9.S.13001513</t>
        </is>
      </c>
      <c r="E2504" s="2" t="inlineStr">
        <is>
          <t>ADS3197S</t>
        </is>
      </c>
      <c r="M2504" s="2" t="inlineStr">
        <is>
          <t>New South Wales</t>
        </is>
      </c>
      <c r="N2504" s="2" t="inlineStr">
        <is>
          <t>Australia</t>
        </is>
      </c>
      <c r="P2504" s="2" t="inlineStr">
        <is>
          <t>ADS Backup</t>
        </is>
      </c>
      <c r="Q2504" s="2" t="inlineStr">
        <is>
          <t>ADS Backup</t>
        </is>
      </c>
      <c r="R2504" s="2" t="inlineStr">
        <is>
          <t>ADS Backup</t>
        </is>
      </c>
      <c r="S2504" s="2" t="inlineStr">
        <is>
          <t>Downer</t>
        </is>
      </c>
      <c r="T2504" s="2" t="n">
        <v>100</v>
      </c>
      <c r="W2504" s="2" t="inlineStr">
        <is>
          <t>Portfolio</t>
        </is>
      </c>
    </row>
    <row r="2505">
      <c r="A2505" s="2" t="inlineStr">
        <is>
          <t>Downer</t>
        </is>
      </c>
      <c r="B2505" s="2" t="inlineStr">
        <is>
          <t>REV_Asset &amp; Development Services</t>
        </is>
      </c>
      <c r="C2505" s="2" t="inlineStr">
        <is>
          <t>Branch</t>
        </is>
      </c>
      <c r="D2505" s="2" t="inlineStr">
        <is>
          <t>L9.S.13001513</t>
        </is>
      </c>
      <c r="E2505" s="2" t="inlineStr">
        <is>
          <t>ADS3197S</t>
        </is>
      </c>
      <c r="M2505" s="2" t="inlineStr">
        <is>
          <t>New South Wales</t>
        </is>
      </c>
      <c r="N2505" s="2" t="inlineStr">
        <is>
          <t>Australia</t>
        </is>
      </c>
      <c r="P2505" s="2" t="inlineStr">
        <is>
          <t>Operational Control</t>
        </is>
      </c>
      <c r="Q2505" s="2" t="inlineStr">
        <is>
          <t>Operational Control</t>
        </is>
      </c>
      <c r="R2505" s="2" t="inlineStr">
        <is>
          <t>Asset &amp; Development Services (Baseline)</t>
        </is>
      </c>
      <c r="S2505" s="2" t="inlineStr">
        <is>
          <t>Downer</t>
        </is>
      </c>
      <c r="T2505" s="2" t="n">
        <v>100</v>
      </c>
      <c r="V2505" s="2" t="n">
        <v>45107</v>
      </c>
      <c r="W2505" s="2" t="inlineStr">
        <is>
          <t>Classification</t>
        </is>
      </c>
    </row>
    <row r="2506">
      <c r="A2506" s="2" t="inlineStr">
        <is>
          <t>Downer</t>
        </is>
      </c>
      <c r="B2506" s="2" t="inlineStr">
        <is>
          <t>REV_Asset &amp; Development Services</t>
        </is>
      </c>
      <c r="C2506" s="2" t="inlineStr">
        <is>
          <t>Branch</t>
        </is>
      </c>
      <c r="D2506" s="2" t="inlineStr">
        <is>
          <t>L9.S.13001513</t>
        </is>
      </c>
      <c r="E2506" s="2" t="inlineStr">
        <is>
          <t>ADS3197S</t>
        </is>
      </c>
      <c r="M2506" s="2" t="inlineStr">
        <is>
          <t>New South Wales</t>
        </is>
      </c>
      <c r="N2506" s="2" t="inlineStr">
        <is>
          <t>Australia</t>
        </is>
      </c>
      <c r="P2506" s="2" t="inlineStr">
        <is>
          <t>Revenue</t>
        </is>
      </c>
      <c r="Q2506" s="2" t="inlineStr">
        <is>
          <t>Revenue</t>
        </is>
      </c>
      <c r="R2506" s="2" t="inlineStr">
        <is>
          <t>Revenue</t>
        </is>
      </c>
      <c r="S2506" s="2" t="inlineStr">
        <is>
          <t>Downer</t>
        </is>
      </c>
      <c r="T2506" s="2" t="n">
        <v>100</v>
      </c>
      <c r="W2506" s="2" t="inlineStr">
        <is>
          <t>Portfolio</t>
        </is>
      </c>
    </row>
    <row r="2507">
      <c r="A2507" s="2" t="inlineStr">
        <is>
          <t>Downer</t>
        </is>
      </c>
      <c r="B2507" s="2" t="inlineStr">
        <is>
          <t>REV_Asset &amp; Development Services</t>
        </is>
      </c>
      <c r="C2507" s="2" t="inlineStr">
        <is>
          <t>Branch</t>
        </is>
      </c>
      <c r="D2507" s="2" t="inlineStr">
        <is>
          <t>L9.S.13001513</t>
        </is>
      </c>
      <c r="E2507" s="2" t="inlineStr">
        <is>
          <t>ADS3197S</t>
        </is>
      </c>
      <c r="M2507" s="2" t="inlineStr">
        <is>
          <t>New South Wales</t>
        </is>
      </c>
      <c r="N2507" s="2" t="inlineStr">
        <is>
          <t>Australia</t>
        </is>
      </c>
      <c r="P2507" s="2" t="inlineStr">
        <is>
          <t>Z_DIVESTED_Operational Control</t>
        </is>
      </c>
      <c r="Q2507" s="2" t="inlineStr">
        <is>
          <t>Z_DIVESTED_Operational Control</t>
        </is>
      </c>
      <c r="R2507" s="2" t="inlineStr">
        <is>
          <t>Asset &amp; Development Services (FY24 &amp; Beyond)</t>
        </is>
      </c>
      <c r="S2507" s="2" t="inlineStr">
        <is>
          <t>Downer</t>
        </is>
      </c>
      <c r="T2507" s="2" t="n">
        <v>100</v>
      </c>
      <c r="U2507" s="2" t="n">
        <v>45108</v>
      </c>
      <c r="W2507" s="2" t="inlineStr">
        <is>
          <t>Classification</t>
        </is>
      </c>
    </row>
    <row r="2508">
      <c r="A2508" s="2" t="inlineStr">
        <is>
          <t>Downer</t>
        </is>
      </c>
      <c r="B2508" s="2" t="inlineStr">
        <is>
          <t>REV_Asset &amp; Development Services (SAP)</t>
        </is>
      </c>
      <c r="C2508" s="2" t="inlineStr">
        <is>
          <t>Branch</t>
        </is>
      </c>
      <c r="D2508" s="2" t="inlineStr">
        <is>
          <t>L9.S.13000757</t>
        </is>
      </c>
      <c r="E2508" s="2" t="inlineStr">
        <is>
          <t>L9.S.13000757</t>
        </is>
      </c>
      <c r="M2508" s="2" t="inlineStr">
        <is>
          <t>North Ryde</t>
        </is>
      </c>
      <c r="N2508" s="2" t="inlineStr">
        <is>
          <t>Australia</t>
        </is>
      </c>
      <c r="P2508" s="2" t="inlineStr">
        <is>
          <t>ADS Backup</t>
        </is>
      </c>
      <c r="Q2508" s="2" t="inlineStr">
        <is>
          <t>ADS Backup</t>
        </is>
      </c>
      <c r="R2508" s="2" t="inlineStr">
        <is>
          <t>ADS Backup</t>
        </is>
      </c>
      <c r="S2508" s="2" t="inlineStr">
        <is>
          <t>Downer</t>
        </is>
      </c>
      <c r="T2508" s="2" t="n">
        <v>100</v>
      </c>
      <c r="W2508" s="2" t="inlineStr">
        <is>
          <t>Portfolio</t>
        </is>
      </c>
    </row>
    <row r="2509">
      <c r="A2509" s="2" t="inlineStr">
        <is>
          <t>Downer</t>
        </is>
      </c>
      <c r="B2509" s="2" t="inlineStr">
        <is>
          <t>REV_Asset &amp; Development Services (SAP)</t>
        </is>
      </c>
      <c r="C2509" s="2" t="inlineStr">
        <is>
          <t>Branch</t>
        </is>
      </c>
      <c r="D2509" s="2" t="inlineStr">
        <is>
          <t>L9.S.13000757</t>
        </is>
      </c>
      <c r="E2509" s="2" t="inlineStr">
        <is>
          <t>L9.S.13000757</t>
        </is>
      </c>
      <c r="M2509" s="2" t="inlineStr">
        <is>
          <t>North Ryde</t>
        </is>
      </c>
      <c r="N2509" s="2" t="inlineStr">
        <is>
          <t>Australia</t>
        </is>
      </c>
      <c r="P2509" s="2" t="inlineStr">
        <is>
          <t>Revenue</t>
        </is>
      </c>
      <c r="Q2509" s="2" t="inlineStr">
        <is>
          <t>Revenue</t>
        </is>
      </c>
      <c r="R2509" s="2" t="inlineStr">
        <is>
          <t>Revenue</t>
        </is>
      </c>
      <c r="S2509" s="2" t="inlineStr">
        <is>
          <t>Downer</t>
        </is>
      </c>
      <c r="T2509" s="2" t="n">
        <v>100</v>
      </c>
      <c r="W2509" s="2" t="inlineStr">
        <is>
          <t>Portfolio</t>
        </is>
      </c>
    </row>
    <row r="2510">
      <c r="A2510" s="2" t="inlineStr">
        <is>
          <t>Downer</t>
        </is>
      </c>
      <c r="B2510" s="2" t="inlineStr">
        <is>
          <t>REV_Asset &amp; Development Services (SAP)</t>
        </is>
      </c>
      <c r="C2510" s="2" t="inlineStr">
        <is>
          <t>Branch</t>
        </is>
      </c>
      <c r="D2510" s="2" t="inlineStr">
        <is>
          <t>L9.S.13000757</t>
        </is>
      </c>
      <c r="E2510" s="2" t="inlineStr">
        <is>
          <t>L9.S.13000757</t>
        </is>
      </c>
      <c r="M2510" s="2" t="inlineStr">
        <is>
          <t>North Ryde</t>
        </is>
      </c>
      <c r="N2510" s="2" t="inlineStr">
        <is>
          <t>Australia</t>
        </is>
      </c>
      <c r="P2510" s="2" t="inlineStr">
        <is>
          <t>Z_DIVESTED_Operational Control</t>
        </is>
      </c>
      <c r="Q2510" s="2" t="inlineStr">
        <is>
          <t>Z_DIVESTED_Operational Control</t>
        </is>
      </c>
      <c r="R2510" s="2" t="inlineStr">
        <is>
          <t>Asset &amp; Development Services (FY24 &amp; Beyond)</t>
        </is>
      </c>
      <c r="S2510" s="2" t="inlineStr">
        <is>
          <t>Downer</t>
        </is>
      </c>
      <c r="T2510" s="2" t="n">
        <v>100</v>
      </c>
      <c r="W2510" s="2" t="inlineStr">
        <is>
          <t>Classification</t>
        </is>
      </c>
    </row>
    <row r="2511">
      <c r="A2511" s="2" t="inlineStr">
        <is>
          <t>Downer</t>
        </is>
      </c>
      <c r="B2511" s="2" t="inlineStr">
        <is>
          <t>REV_AU Maintenance &amp; Pavements</t>
        </is>
      </c>
      <c r="C2511" s="2" t="inlineStr">
        <is>
          <t>Branch</t>
        </is>
      </c>
      <c r="D2511" s="2" t="inlineStr">
        <is>
          <t>L9.J.170238</t>
        </is>
      </c>
      <c r="E2511" s="2" t="inlineStr">
        <is>
          <t>TIAMP</t>
        </is>
      </c>
      <c r="M2511" s="2" t="inlineStr">
        <is>
          <t>North Ryde</t>
        </is>
      </c>
      <c r="N2511" s="2" t="inlineStr">
        <is>
          <t>Australia</t>
        </is>
      </c>
      <c r="P2511" s="2" t="inlineStr">
        <is>
          <t>Operational Control</t>
        </is>
      </c>
      <c r="Q2511" s="2" t="inlineStr">
        <is>
          <t>Operational Control</t>
        </is>
      </c>
      <c r="R2511" s="2" t="inlineStr">
        <is>
          <t>Transport &amp; Infrastructure (T&amp;I)</t>
        </is>
      </c>
      <c r="S2511" s="2" t="inlineStr">
        <is>
          <t>Downer</t>
        </is>
      </c>
      <c r="T2511" s="2" t="n">
        <v>100</v>
      </c>
      <c r="W2511" s="2" t="inlineStr">
        <is>
          <t>Classification</t>
        </is>
      </c>
    </row>
    <row r="2512">
      <c r="A2512" s="2" t="inlineStr">
        <is>
          <t>Downer</t>
        </is>
      </c>
      <c r="B2512" s="2" t="inlineStr">
        <is>
          <t>REV_AU Maintenance &amp; Pavements</t>
        </is>
      </c>
      <c r="C2512" s="2" t="inlineStr">
        <is>
          <t>Branch</t>
        </is>
      </c>
      <c r="D2512" s="2" t="inlineStr">
        <is>
          <t>L9.J.170238</t>
        </is>
      </c>
      <c r="E2512" s="2" t="inlineStr">
        <is>
          <t>TIAMP</t>
        </is>
      </c>
      <c r="M2512" s="2" t="inlineStr">
        <is>
          <t>North Ryde</t>
        </is>
      </c>
      <c r="N2512" s="2" t="inlineStr">
        <is>
          <t>Australia</t>
        </is>
      </c>
      <c r="P2512" s="2" t="inlineStr">
        <is>
          <t>Revenue</t>
        </is>
      </c>
      <c r="Q2512" s="2" t="inlineStr">
        <is>
          <t>Revenue</t>
        </is>
      </c>
      <c r="R2512" s="2" t="inlineStr">
        <is>
          <t>Revenue</t>
        </is>
      </c>
      <c r="S2512" s="2" t="inlineStr">
        <is>
          <t>Downer</t>
        </is>
      </c>
      <c r="T2512" s="2" t="n">
        <v>100</v>
      </c>
      <c r="W2512" s="2" t="inlineStr">
        <is>
          <t>Portfolio</t>
        </is>
      </c>
    </row>
    <row r="2513">
      <c r="A2513" s="2" t="inlineStr">
        <is>
          <t>Downer</t>
        </is>
      </c>
      <c r="B2513" s="2" t="inlineStr">
        <is>
          <t>REV_AU National Operations</t>
        </is>
      </c>
      <c r="C2513" s="2" t="inlineStr">
        <is>
          <t>Branch</t>
        </is>
      </c>
      <c r="D2513" s="2" t="inlineStr">
        <is>
          <t>L9.J.170938</t>
        </is>
      </c>
      <c r="E2513" s="2" t="inlineStr">
        <is>
          <t>TIANO</t>
        </is>
      </c>
      <c r="M2513" s="2" t="inlineStr">
        <is>
          <t>North Ryde</t>
        </is>
      </c>
      <c r="N2513" s="2" t="inlineStr">
        <is>
          <t>Australia</t>
        </is>
      </c>
      <c r="P2513" s="2" t="inlineStr">
        <is>
          <t>Operational Control</t>
        </is>
      </c>
      <c r="Q2513" s="2" t="inlineStr">
        <is>
          <t>Operational Control</t>
        </is>
      </c>
      <c r="R2513" s="2" t="inlineStr">
        <is>
          <t>Transport &amp; Infrastructure (T&amp;I)</t>
        </is>
      </c>
      <c r="S2513" s="2" t="inlineStr">
        <is>
          <t>Downer</t>
        </is>
      </c>
      <c r="T2513" s="2" t="n">
        <v>100</v>
      </c>
      <c r="W2513" s="2" t="inlineStr">
        <is>
          <t>Classification</t>
        </is>
      </c>
    </row>
    <row r="2514">
      <c r="A2514" s="2" t="inlineStr">
        <is>
          <t>Downer</t>
        </is>
      </c>
      <c r="B2514" s="2" t="inlineStr">
        <is>
          <t>REV_AU National Operations</t>
        </is>
      </c>
      <c r="C2514" s="2" t="inlineStr">
        <is>
          <t>Branch</t>
        </is>
      </c>
      <c r="D2514" s="2" t="inlineStr">
        <is>
          <t>L9.J.170938</t>
        </is>
      </c>
      <c r="E2514" s="2" t="inlineStr">
        <is>
          <t>TIANO</t>
        </is>
      </c>
      <c r="M2514" s="2" t="inlineStr">
        <is>
          <t>North Ryde</t>
        </is>
      </c>
      <c r="N2514" s="2" t="inlineStr">
        <is>
          <t>Australia</t>
        </is>
      </c>
      <c r="P2514" s="2" t="inlineStr">
        <is>
          <t>Revenue</t>
        </is>
      </c>
      <c r="Q2514" s="2" t="inlineStr">
        <is>
          <t>Revenue</t>
        </is>
      </c>
      <c r="R2514" s="2" t="inlineStr">
        <is>
          <t>Revenue</t>
        </is>
      </c>
      <c r="S2514" s="2" t="inlineStr">
        <is>
          <t>Downer</t>
        </is>
      </c>
      <c r="T2514" s="2" t="n">
        <v>100</v>
      </c>
      <c r="W2514" s="2" t="inlineStr">
        <is>
          <t>Portfolio</t>
        </is>
      </c>
    </row>
    <row r="2515">
      <c r="A2515" s="2" t="inlineStr">
        <is>
          <t>Downer</t>
        </is>
      </c>
      <c r="B2515" s="2" t="inlineStr">
        <is>
          <t>REV_Base &amp; Estate Management</t>
        </is>
      </c>
      <c r="C2515" s="2" t="inlineStr">
        <is>
          <t>Branch</t>
        </is>
      </c>
      <c r="D2515" s="2" t="inlineStr">
        <is>
          <t>L9.S.13000771</t>
        </is>
      </c>
      <c r="E2515" s="2" t="inlineStr">
        <is>
          <t>SICSBEM</t>
        </is>
      </c>
      <c r="M2515" s="2" t="inlineStr">
        <is>
          <t>North Ryde</t>
        </is>
      </c>
      <c r="N2515" s="2" t="inlineStr">
        <is>
          <t>Australia</t>
        </is>
      </c>
      <c r="P2515" s="2" t="inlineStr">
        <is>
          <t>Operational Control</t>
        </is>
      </c>
      <c r="Q2515" s="2" t="inlineStr">
        <is>
          <t>Operational Control</t>
        </is>
      </c>
      <c r="R2515" s="2" t="inlineStr">
        <is>
          <t>Social Infra &amp; Citizen Serv (SICS)</t>
        </is>
      </c>
      <c r="S2515" s="2" t="inlineStr">
        <is>
          <t>Downer</t>
        </is>
      </c>
      <c r="T2515" s="2" t="n">
        <v>100</v>
      </c>
      <c r="W2515" s="2" t="inlineStr">
        <is>
          <t>Classification</t>
        </is>
      </c>
    </row>
    <row r="2516">
      <c r="A2516" s="2" t="inlineStr">
        <is>
          <t>Downer</t>
        </is>
      </c>
      <c r="B2516" s="2" t="inlineStr">
        <is>
          <t>REV_Base &amp; Estate Management</t>
        </is>
      </c>
      <c r="C2516" s="2" t="inlineStr">
        <is>
          <t>Branch</t>
        </is>
      </c>
      <c r="D2516" s="2" t="inlineStr">
        <is>
          <t>L9.S.13000771</t>
        </is>
      </c>
      <c r="E2516" s="2" t="inlineStr">
        <is>
          <t>SICSBEM</t>
        </is>
      </c>
      <c r="M2516" s="2" t="inlineStr">
        <is>
          <t>North Ryde</t>
        </is>
      </c>
      <c r="N2516" s="2" t="inlineStr">
        <is>
          <t>Australia</t>
        </is>
      </c>
      <c r="P2516" s="2" t="inlineStr">
        <is>
          <t>Revenue</t>
        </is>
      </c>
      <c r="Q2516" s="2" t="inlineStr">
        <is>
          <t>Revenue</t>
        </is>
      </c>
      <c r="R2516" s="2" t="inlineStr">
        <is>
          <t>Revenue</t>
        </is>
      </c>
      <c r="S2516" s="2" t="inlineStr">
        <is>
          <t>Downer</t>
        </is>
      </c>
      <c r="T2516" s="2" t="n">
        <v>100</v>
      </c>
      <c r="W2516" s="2" t="inlineStr">
        <is>
          <t>Portfolio</t>
        </is>
      </c>
    </row>
    <row r="2517">
      <c r="A2517" s="2" t="inlineStr">
        <is>
          <t>Downer</t>
        </is>
      </c>
      <c r="B2517" s="2" t="inlineStr">
        <is>
          <t>REV_Corporate Australia</t>
        </is>
      </c>
      <c r="C2517" s="2" t="inlineStr">
        <is>
          <t>Branch</t>
        </is>
      </c>
      <c r="D2517" s="2" t="inlineStr">
        <is>
          <t>L9.J.100151</t>
        </is>
      </c>
      <c r="E2517" s="2" t="inlineStr">
        <is>
          <t>CORAU</t>
        </is>
      </c>
      <c r="M2517" s="2" t="inlineStr">
        <is>
          <t>North Ryde</t>
        </is>
      </c>
      <c r="N2517" s="2" t="inlineStr">
        <is>
          <t>Australia</t>
        </is>
      </c>
      <c r="P2517" s="2" t="inlineStr">
        <is>
          <t>Operational Control</t>
        </is>
      </c>
      <c r="Q2517" s="2" t="inlineStr">
        <is>
          <t>Operational Control</t>
        </is>
      </c>
      <c r="R2517" s="2" t="inlineStr">
        <is>
          <t>Corporate</t>
        </is>
      </c>
      <c r="S2517" s="2" t="inlineStr">
        <is>
          <t>Downer</t>
        </is>
      </c>
      <c r="T2517" s="2" t="n">
        <v>100</v>
      </c>
      <c r="W2517" s="2" t="inlineStr">
        <is>
          <t>Classification</t>
        </is>
      </c>
    </row>
    <row r="2518">
      <c r="A2518" s="2" t="inlineStr">
        <is>
          <t>Downer</t>
        </is>
      </c>
      <c r="B2518" s="2" t="inlineStr">
        <is>
          <t>REV_Corporate Australia</t>
        </is>
      </c>
      <c r="C2518" s="2" t="inlineStr">
        <is>
          <t>Branch</t>
        </is>
      </c>
      <c r="D2518" s="2" t="inlineStr">
        <is>
          <t>L9.J.100151</t>
        </is>
      </c>
      <c r="E2518" s="2" t="inlineStr">
        <is>
          <t>CORAU</t>
        </is>
      </c>
      <c r="M2518" s="2" t="inlineStr">
        <is>
          <t>North Ryde</t>
        </is>
      </c>
      <c r="N2518" s="2" t="inlineStr">
        <is>
          <t>Australia</t>
        </is>
      </c>
      <c r="P2518" s="2" t="inlineStr">
        <is>
          <t>Revenue</t>
        </is>
      </c>
      <c r="Q2518" s="2" t="inlineStr">
        <is>
          <t>Revenue</t>
        </is>
      </c>
      <c r="R2518" s="2" t="inlineStr">
        <is>
          <t>Revenue</t>
        </is>
      </c>
      <c r="S2518" s="2" t="inlineStr">
        <is>
          <t>Downer</t>
        </is>
      </c>
      <c r="T2518" s="2" t="n">
        <v>100</v>
      </c>
      <c r="W2518" s="2" t="inlineStr">
        <is>
          <t>Portfolio</t>
        </is>
      </c>
    </row>
    <row r="2519">
      <c r="A2519" s="2" t="inlineStr">
        <is>
          <t>Downer</t>
        </is>
      </c>
      <c r="B2519" s="2" t="inlineStr">
        <is>
          <t>REV_Downer Professional Services</t>
        </is>
      </c>
      <c r="C2519" s="2" t="inlineStr">
        <is>
          <t>Branch</t>
        </is>
      </c>
      <c r="D2519" s="2" t="inlineStr">
        <is>
          <t>L9.J.505011</t>
        </is>
      </c>
      <c r="E2519" s="2" t="inlineStr">
        <is>
          <t>SICSDPS</t>
        </is>
      </c>
      <c r="M2519" s="2" t="inlineStr">
        <is>
          <t>North Ryde</t>
        </is>
      </c>
      <c r="N2519" s="2" t="inlineStr">
        <is>
          <t>Australia</t>
        </is>
      </c>
      <c r="P2519" s="2" t="inlineStr">
        <is>
          <t>Operational Control</t>
        </is>
      </c>
      <c r="Q2519" s="2" t="inlineStr">
        <is>
          <t>Operational Control</t>
        </is>
      </c>
      <c r="R2519" s="2" t="inlineStr">
        <is>
          <t>Social Infra &amp; Citizen Serv (SICS)</t>
        </is>
      </c>
      <c r="S2519" s="2" t="inlineStr">
        <is>
          <t>Downer</t>
        </is>
      </c>
      <c r="T2519" s="2" t="n">
        <v>100</v>
      </c>
      <c r="W2519" s="2" t="inlineStr">
        <is>
          <t>Classification</t>
        </is>
      </c>
    </row>
    <row r="2520">
      <c r="A2520" s="2" t="inlineStr">
        <is>
          <t>Downer</t>
        </is>
      </c>
      <c r="B2520" s="2" t="inlineStr">
        <is>
          <t>REV_Downer Professional Services</t>
        </is>
      </c>
      <c r="C2520" s="2" t="inlineStr">
        <is>
          <t>Branch</t>
        </is>
      </c>
      <c r="D2520" s="2" t="inlineStr">
        <is>
          <t>L9.J.505011</t>
        </is>
      </c>
      <c r="E2520" s="2" t="inlineStr">
        <is>
          <t>SICSDPS</t>
        </is>
      </c>
      <c r="M2520" s="2" t="inlineStr">
        <is>
          <t>North Ryde</t>
        </is>
      </c>
      <c r="N2520" s="2" t="inlineStr">
        <is>
          <t>Australia</t>
        </is>
      </c>
      <c r="P2520" s="2" t="inlineStr">
        <is>
          <t>Revenue</t>
        </is>
      </c>
      <c r="Q2520" s="2" t="inlineStr">
        <is>
          <t>Revenue</t>
        </is>
      </c>
      <c r="R2520" s="2" t="inlineStr">
        <is>
          <t>Revenue</t>
        </is>
      </c>
      <c r="S2520" s="2" t="inlineStr">
        <is>
          <t>Downer</t>
        </is>
      </c>
      <c r="T2520" s="2" t="n">
        <v>100</v>
      </c>
      <c r="W2520" s="2" t="inlineStr">
        <is>
          <t>Portfolio</t>
        </is>
      </c>
    </row>
    <row r="2521">
      <c r="A2521" s="2" t="inlineStr">
        <is>
          <t>Downer</t>
        </is>
      </c>
      <c r="B2521" s="2" t="inlineStr">
        <is>
          <t>REV_E&amp;C Legacy</t>
        </is>
      </c>
      <c r="C2521" s="2" t="inlineStr">
        <is>
          <t>Branch</t>
        </is>
      </c>
      <c r="D2521" s="2" t="inlineStr">
        <is>
          <t>L9.J.362020</t>
        </is>
      </c>
      <c r="E2521" s="2" t="inlineStr">
        <is>
          <t>L9.J.362020</t>
        </is>
      </c>
      <c r="M2521" s="2" t="inlineStr">
        <is>
          <t>North Ryde</t>
        </is>
      </c>
      <c r="N2521" s="2" t="inlineStr">
        <is>
          <t>Australia</t>
        </is>
      </c>
      <c r="P2521" s="2" t="inlineStr">
        <is>
          <t>Operational Control</t>
        </is>
      </c>
      <c r="Q2521" s="2" t="inlineStr">
        <is>
          <t>Operational Control</t>
        </is>
      </c>
      <c r="R2521" s="2" t="inlineStr">
        <is>
          <t>Corporate</t>
        </is>
      </c>
      <c r="S2521" s="2" t="inlineStr">
        <is>
          <t>Downer</t>
        </is>
      </c>
      <c r="T2521" s="2" t="n">
        <v>100</v>
      </c>
      <c r="W2521" s="2" t="inlineStr">
        <is>
          <t>Classification</t>
        </is>
      </c>
    </row>
    <row r="2522">
      <c r="A2522" s="2" t="inlineStr">
        <is>
          <t>Downer</t>
        </is>
      </c>
      <c r="B2522" s="2" t="inlineStr">
        <is>
          <t>REV_E&amp;C Legacy</t>
        </is>
      </c>
      <c r="C2522" s="2" t="inlineStr">
        <is>
          <t>Branch</t>
        </is>
      </c>
      <c r="D2522" s="2" t="inlineStr">
        <is>
          <t>L9.J.362020</t>
        </is>
      </c>
      <c r="E2522" s="2" t="inlineStr">
        <is>
          <t>L9.J.362020</t>
        </is>
      </c>
      <c r="M2522" s="2" t="inlineStr">
        <is>
          <t>North Ryde</t>
        </is>
      </c>
      <c r="N2522" s="2" t="inlineStr">
        <is>
          <t>Australia</t>
        </is>
      </c>
      <c r="P2522" s="2" t="inlineStr">
        <is>
          <t>Revenue</t>
        </is>
      </c>
      <c r="Q2522" s="2" t="inlineStr">
        <is>
          <t>Revenue</t>
        </is>
      </c>
      <c r="R2522" s="2" t="inlineStr">
        <is>
          <t>Revenue</t>
        </is>
      </c>
      <c r="S2522" s="2" t="inlineStr">
        <is>
          <t>Downer</t>
        </is>
      </c>
      <c r="T2522" s="2" t="n">
        <v>100</v>
      </c>
      <c r="W2522" s="2" t="inlineStr">
        <is>
          <t>Portfolio</t>
        </is>
      </c>
    </row>
    <row r="2523">
      <c r="A2523" s="2" t="inlineStr">
        <is>
          <t>Downer</t>
        </is>
      </c>
      <c r="B2523" s="2" t="inlineStr">
        <is>
          <t>REV_Energy &amp; Industrial</t>
        </is>
      </c>
      <c r="C2523" s="2" t="inlineStr">
        <is>
          <t>Other</t>
        </is>
      </c>
      <c r="D2523" s="2" t="inlineStr">
        <is>
          <t>L9.J.381</t>
        </is>
      </c>
      <c r="E2523" s="2" t="inlineStr">
        <is>
          <t>L9.J.381</t>
        </is>
      </c>
      <c r="M2523" s="2" t="inlineStr">
        <is>
          <t>North Ryde</t>
        </is>
      </c>
      <c r="N2523" s="2" t="inlineStr">
        <is>
          <t>Australia</t>
        </is>
      </c>
      <c r="P2523" s="2" t="inlineStr">
        <is>
          <t>Operational Control</t>
        </is>
      </c>
      <c r="Q2523" s="2" t="inlineStr">
        <is>
          <t>Operational Control</t>
        </is>
      </c>
      <c r="R2523" s="2" t="inlineStr">
        <is>
          <t>Energy and Utilities (EU)</t>
        </is>
      </c>
      <c r="S2523" s="2" t="inlineStr">
        <is>
          <t>Downer</t>
        </is>
      </c>
      <c r="T2523" s="2" t="n">
        <v>100</v>
      </c>
      <c r="W2523" s="2" t="inlineStr">
        <is>
          <t>Classification</t>
        </is>
      </c>
    </row>
    <row r="2524">
      <c r="A2524" s="2" t="inlineStr">
        <is>
          <t>Downer</t>
        </is>
      </c>
      <c r="B2524" s="2" t="inlineStr">
        <is>
          <t>REV_Energy AU</t>
        </is>
      </c>
      <c r="C2524" s="2" t="inlineStr">
        <is>
          <t>Branch</t>
        </is>
      </c>
      <c r="D2524" s="2" t="inlineStr">
        <is>
          <t>L9.J.229500</t>
        </is>
      </c>
      <c r="E2524" s="2" t="inlineStr">
        <is>
          <t>UTLEAU</t>
        </is>
      </c>
      <c r="M2524" s="2" t="inlineStr">
        <is>
          <t>North Ryde</t>
        </is>
      </c>
      <c r="N2524" s="2" t="inlineStr">
        <is>
          <t>Australia</t>
        </is>
      </c>
      <c r="P2524" s="2" t="inlineStr">
        <is>
          <t>Operational Control</t>
        </is>
      </c>
      <c r="Q2524" s="2" t="inlineStr">
        <is>
          <t>Operational Control</t>
        </is>
      </c>
      <c r="R2524" s="2" t="inlineStr">
        <is>
          <t>Energy and Utilities (EU)</t>
        </is>
      </c>
      <c r="S2524" s="2" t="inlineStr">
        <is>
          <t>Downer</t>
        </is>
      </c>
      <c r="T2524" s="2" t="n">
        <v>100</v>
      </c>
      <c r="W2524" s="2" t="inlineStr">
        <is>
          <t>Classification</t>
        </is>
      </c>
    </row>
    <row r="2525">
      <c r="A2525" s="2" t="inlineStr">
        <is>
          <t>Downer</t>
        </is>
      </c>
      <c r="B2525" s="2" t="inlineStr">
        <is>
          <t>REV_Energy AU</t>
        </is>
      </c>
      <c r="C2525" s="2" t="inlineStr">
        <is>
          <t>Branch</t>
        </is>
      </c>
      <c r="D2525" s="2" t="inlineStr">
        <is>
          <t>L9.J.229500</t>
        </is>
      </c>
      <c r="E2525" s="2" t="inlineStr">
        <is>
          <t>UTLEAU</t>
        </is>
      </c>
      <c r="M2525" s="2" t="inlineStr">
        <is>
          <t>North Ryde</t>
        </is>
      </c>
      <c r="N2525" s="2" t="inlineStr">
        <is>
          <t>Australia</t>
        </is>
      </c>
      <c r="P2525" s="2" t="inlineStr">
        <is>
          <t>Revenue</t>
        </is>
      </c>
      <c r="Q2525" s="2" t="inlineStr">
        <is>
          <t>Revenue</t>
        </is>
      </c>
      <c r="R2525" s="2" t="inlineStr">
        <is>
          <t>Revenue</t>
        </is>
      </c>
      <c r="S2525" s="2" t="inlineStr">
        <is>
          <t>Downer</t>
        </is>
      </c>
      <c r="T2525" s="2" t="n">
        <v>100</v>
      </c>
      <c r="W2525" s="2" t="inlineStr">
        <is>
          <t>Portfolio</t>
        </is>
      </c>
    </row>
    <row r="2526">
      <c r="A2526" s="2" t="inlineStr">
        <is>
          <t>Downer</t>
        </is>
      </c>
      <c r="B2526" s="2" t="inlineStr">
        <is>
          <t>REV_Energy NZ</t>
        </is>
      </c>
      <c r="C2526" s="2" t="inlineStr">
        <is>
          <t>Branch</t>
        </is>
      </c>
      <c r="D2526" s="2" t="inlineStr">
        <is>
          <t>L9.DNZJ.1500</t>
        </is>
      </c>
      <c r="E2526" s="2" t="inlineStr">
        <is>
          <t>UTLENZ</t>
        </is>
      </c>
      <c r="M2526" s="2" t="inlineStr">
        <is>
          <t>North Ryde</t>
        </is>
      </c>
      <c r="N2526" s="2" t="inlineStr">
        <is>
          <t>Australia</t>
        </is>
      </c>
      <c r="P2526" s="2" t="inlineStr">
        <is>
          <t>Operational Control</t>
        </is>
      </c>
      <c r="Q2526" s="2" t="inlineStr">
        <is>
          <t>Operational Control</t>
        </is>
      </c>
      <c r="R2526" s="2" t="inlineStr">
        <is>
          <t>Energy and Utilities (EU)</t>
        </is>
      </c>
      <c r="S2526" s="2" t="inlineStr">
        <is>
          <t>Downer</t>
        </is>
      </c>
      <c r="T2526" s="2" t="n">
        <v>100</v>
      </c>
      <c r="W2526" s="2" t="inlineStr">
        <is>
          <t>Classification</t>
        </is>
      </c>
    </row>
    <row r="2527">
      <c r="A2527" s="2" t="inlineStr">
        <is>
          <t>Downer</t>
        </is>
      </c>
      <c r="B2527" s="2" t="inlineStr">
        <is>
          <t>REV_Energy NZ</t>
        </is>
      </c>
      <c r="C2527" s="2" t="inlineStr">
        <is>
          <t>Branch</t>
        </is>
      </c>
      <c r="D2527" s="2" t="inlineStr">
        <is>
          <t>L9.DNZJ.1500</t>
        </is>
      </c>
      <c r="E2527" s="2" t="inlineStr">
        <is>
          <t>UTLENZ</t>
        </is>
      </c>
      <c r="M2527" s="2" t="inlineStr">
        <is>
          <t>North Ryde</t>
        </is>
      </c>
      <c r="N2527" s="2" t="inlineStr">
        <is>
          <t>Australia</t>
        </is>
      </c>
      <c r="P2527" s="2" t="inlineStr">
        <is>
          <t>Revenue</t>
        </is>
      </c>
      <c r="Q2527" s="2" t="inlineStr">
        <is>
          <t>Revenue</t>
        </is>
      </c>
      <c r="R2527" s="2" t="inlineStr">
        <is>
          <t>Revenue</t>
        </is>
      </c>
      <c r="S2527" s="2" t="inlineStr">
        <is>
          <t>Downer</t>
        </is>
      </c>
      <c r="T2527" s="2" t="n">
        <v>100</v>
      </c>
      <c r="W2527" s="2" t="inlineStr">
        <is>
          <t>Portfolio</t>
        </is>
      </c>
    </row>
    <row r="2528">
      <c r="A2528" s="2" t="inlineStr">
        <is>
          <t>Downer</t>
        </is>
      </c>
      <c r="B2528" s="2" t="inlineStr">
        <is>
          <t>REV_EU Gap</t>
        </is>
      </c>
      <c r="C2528" s="2" t="inlineStr">
        <is>
          <t>Other</t>
        </is>
      </c>
      <c r="D2528" s="2" t="inlineStr">
        <is>
          <t>L9.J.392150</t>
        </is>
      </c>
      <c r="E2528" s="2" t="inlineStr">
        <is>
          <t>L9.J.392150</t>
        </is>
      </c>
      <c r="M2528" s="2" t="inlineStr">
        <is>
          <t>North Ryde</t>
        </is>
      </c>
      <c r="N2528" s="2" t="inlineStr">
        <is>
          <t>Australia</t>
        </is>
      </c>
      <c r="P2528" s="2" t="inlineStr">
        <is>
          <t>Operational Control</t>
        </is>
      </c>
      <c r="Q2528" s="2" t="inlineStr">
        <is>
          <t>Operational Control</t>
        </is>
      </c>
      <c r="R2528" s="2" t="inlineStr">
        <is>
          <t>Energy and Utilities (EU)</t>
        </is>
      </c>
      <c r="S2528" s="2" t="inlineStr">
        <is>
          <t>Downer</t>
        </is>
      </c>
      <c r="T2528" s="2" t="n">
        <v>100</v>
      </c>
      <c r="W2528" s="2" t="inlineStr">
        <is>
          <t>Classification</t>
        </is>
      </c>
    </row>
    <row r="2529">
      <c r="A2529" s="2" t="inlineStr">
        <is>
          <t>Downer</t>
        </is>
      </c>
      <c r="B2529" s="2" t="inlineStr">
        <is>
          <t>REV_EU Gap</t>
        </is>
      </c>
      <c r="C2529" s="2" t="inlineStr">
        <is>
          <t>Other</t>
        </is>
      </c>
      <c r="D2529" s="2" t="inlineStr">
        <is>
          <t>L9.J.392150</t>
        </is>
      </c>
      <c r="E2529" s="2" t="inlineStr">
        <is>
          <t>L9.J.392150</t>
        </is>
      </c>
      <c r="M2529" s="2" t="inlineStr">
        <is>
          <t>North Ryde</t>
        </is>
      </c>
      <c r="N2529" s="2" t="inlineStr">
        <is>
          <t>Australia</t>
        </is>
      </c>
      <c r="P2529" s="2" t="inlineStr">
        <is>
          <t>Revenue</t>
        </is>
      </c>
      <c r="Q2529" s="2" t="inlineStr">
        <is>
          <t>Revenue</t>
        </is>
      </c>
      <c r="R2529" s="2" t="inlineStr">
        <is>
          <t>Revenue</t>
        </is>
      </c>
      <c r="S2529" s="2" t="inlineStr">
        <is>
          <t>Downer</t>
        </is>
      </c>
      <c r="T2529" s="2" t="n">
        <v>100</v>
      </c>
      <c r="W2529" s="2" t="inlineStr">
        <is>
          <t>Portfolio</t>
        </is>
      </c>
    </row>
    <row r="2530">
      <c r="A2530" s="2" t="inlineStr">
        <is>
          <t>Downer</t>
        </is>
      </c>
      <c r="B2530" s="2" t="inlineStr">
        <is>
          <t>REV_EU Support</t>
        </is>
      </c>
      <c r="C2530" s="2" t="inlineStr">
        <is>
          <t>Other</t>
        </is>
      </c>
      <c r="D2530" s="2" t="inlineStr">
        <is>
          <t>L9.DUA.30172800</t>
        </is>
      </c>
      <c r="E2530" s="2" t="inlineStr">
        <is>
          <t>L9.DUA.30172800</t>
        </is>
      </c>
      <c r="M2530" s="2" t="inlineStr">
        <is>
          <t>North Ryde</t>
        </is>
      </c>
      <c r="N2530" s="2" t="inlineStr">
        <is>
          <t>Australia</t>
        </is>
      </c>
      <c r="P2530" s="2" t="inlineStr">
        <is>
          <t>Operational Control</t>
        </is>
      </c>
      <c r="Q2530" s="2" t="inlineStr">
        <is>
          <t>Operational Control</t>
        </is>
      </c>
      <c r="R2530" s="2" t="inlineStr">
        <is>
          <t>Energy and Utilities (EU)</t>
        </is>
      </c>
      <c r="S2530" s="2" t="inlineStr">
        <is>
          <t>Downer</t>
        </is>
      </c>
      <c r="T2530" s="2" t="n">
        <v>100</v>
      </c>
      <c r="W2530" s="2" t="inlineStr">
        <is>
          <t>Classification</t>
        </is>
      </c>
    </row>
    <row r="2531">
      <c r="A2531" s="2" t="inlineStr">
        <is>
          <t>Downer</t>
        </is>
      </c>
      <c r="B2531" s="2" t="inlineStr">
        <is>
          <t>REV_EU Support</t>
        </is>
      </c>
      <c r="C2531" s="2" t="inlineStr">
        <is>
          <t>Other</t>
        </is>
      </c>
      <c r="D2531" s="2" t="inlineStr">
        <is>
          <t>L9.DUA.30172800</t>
        </is>
      </c>
      <c r="E2531" s="2" t="inlineStr">
        <is>
          <t>L9.DUA.30172800</t>
        </is>
      </c>
      <c r="M2531" s="2" t="inlineStr">
        <is>
          <t>North Ryde</t>
        </is>
      </c>
      <c r="N2531" s="2" t="inlineStr">
        <is>
          <t>Australia</t>
        </is>
      </c>
      <c r="P2531" s="2" t="inlineStr">
        <is>
          <t>Revenue</t>
        </is>
      </c>
      <c r="Q2531" s="2" t="inlineStr">
        <is>
          <t>Revenue</t>
        </is>
      </c>
      <c r="R2531" s="2" t="inlineStr">
        <is>
          <t>Revenue</t>
        </is>
      </c>
      <c r="S2531" s="2" t="inlineStr">
        <is>
          <t>Downer</t>
        </is>
      </c>
      <c r="T2531" s="2" t="n">
        <v>100</v>
      </c>
      <c r="W2531" s="2" t="inlineStr">
        <is>
          <t>Portfolio</t>
        </is>
      </c>
    </row>
    <row r="2532">
      <c r="A2532" s="2" t="inlineStr">
        <is>
          <t>Downer</t>
        </is>
      </c>
      <c r="B2532" s="2" t="inlineStr">
        <is>
          <t>REV_Fleet &amp; Assets</t>
        </is>
      </c>
      <c r="C2532" s="2" t="inlineStr">
        <is>
          <t>Other</t>
        </is>
      </c>
      <c r="D2532" s="2" t="inlineStr">
        <is>
          <t>L9.DNZJ.1937</t>
        </is>
      </c>
      <c r="E2532" s="2" t="inlineStr">
        <is>
          <t>L9.DNZJ.1937</t>
        </is>
      </c>
      <c r="M2532" s="2" t="inlineStr">
        <is>
          <t>North Ryde</t>
        </is>
      </c>
      <c r="N2532" s="2" t="inlineStr">
        <is>
          <t>Australia</t>
        </is>
      </c>
      <c r="P2532" s="2" t="inlineStr">
        <is>
          <t>Operational Control</t>
        </is>
      </c>
      <c r="Q2532" s="2" t="inlineStr">
        <is>
          <t>Operational Control</t>
        </is>
      </c>
      <c r="R2532" s="2" t="inlineStr">
        <is>
          <t>Transport &amp; Infrastructure (T&amp;I)</t>
        </is>
      </c>
      <c r="S2532" s="2" t="inlineStr">
        <is>
          <t>Downer</t>
        </is>
      </c>
      <c r="T2532" s="2" t="n">
        <v>100</v>
      </c>
      <c r="W2532" s="2" t="inlineStr">
        <is>
          <t>Classification</t>
        </is>
      </c>
    </row>
    <row r="2533">
      <c r="A2533" s="2" t="inlineStr">
        <is>
          <t>Downer</t>
        </is>
      </c>
      <c r="B2533" s="2" t="inlineStr">
        <is>
          <t>REV_Fleet &amp; Assets</t>
        </is>
      </c>
      <c r="C2533" s="2" t="inlineStr">
        <is>
          <t>Other</t>
        </is>
      </c>
      <c r="D2533" s="2" t="inlineStr">
        <is>
          <t>L9.DNZJ.1937</t>
        </is>
      </c>
      <c r="E2533" s="2" t="inlineStr">
        <is>
          <t>L9.DNZJ.1937</t>
        </is>
      </c>
      <c r="M2533" s="2" t="inlineStr">
        <is>
          <t>North Ryde</t>
        </is>
      </c>
      <c r="N2533" s="2" t="inlineStr">
        <is>
          <t>Australia</t>
        </is>
      </c>
      <c r="P2533" s="2" t="inlineStr">
        <is>
          <t>Revenue</t>
        </is>
      </c>
      <c r="Q2533" s="2" t="inlineStr">
        <is>
          <t>Revenue</t>
        </is>
      </c>
      <c r="R2533" s="2" t="inlineStr">
        <is>
          <t>Revenue</t>
        </is>
      </c>
      <c r="S2533" s="2" t="inlineStr">
        <is>
          <t>Downer</t>
        </is>
      </c>
      <c r="T2533" s="2" t="n">
        <v>100</v>
      </c>
      <c r="W2533" s="2" t="inlineStr">
        <is>
          <t>Portfolio</t>
        </is>
      </c>
    </row>
    <row r="2534">
      <c r="A2534" s="2" t="inlineStr">
        <is>
          <t>Downer</t>
        </is>
      </c>
      <c r="B2534" s="2" t="inlineStr">
        <is>
          <t>REV_Future Energy Solutions</t>
        </is>
      </c>
      <c r="C2534" s="2" t="inlineStr">
        <is>
          <t>Branch</t>
        </is>
      </c>
      <c r="D2534" s="2" t="inlineStr">
        <is>
          <t>L9.J.382111</t>
        </is>
      </c>
      <c r="E2534" s="2" t="inlineStr">
        <is>
          <t>IEFES</t>
        </is>
      </c>
      <c r="M2534" s="2" t="inlineStr">
        <is>
          <t>North Ryde</t>
        </is>
      </c>
      <c r="N2534" s="2" t="inlineStr">
        <is>
          <t>Australia</t>
        </is>
      </c>
      <c r="P2534" s="2" t="inlineStr">
        <is>
          <t>Operational Control</t>
        </is>
      </c>
      <c r="Q2534" s="2" t="inlineStr">
        <is>
          <t>Operational Control</t>
        </is>
      </c>
      <c r="R2534" s="2" t="inlineStr">
        <is>
          <t>Energy and Utilities (EU)</t>
        </is>
      </c>
      <c r="S2534" s="2" t="inlineStr">
        <is>
          <t>Downer</t>
        </is>
      </c>
      <c r="T2534" s="2" t="n">
        <v>100</v>
      </c>
      <c r="W2534" s="2" t="inlineStr">
        <is>
          <t>Classification</t>
        </is>
      </c>
    </row>
    <row r="2535">
      <c r="A2535" s="2" t="inlineStr">
        <is>
          <t>Downer</t>
        </is>
      </c>
      <c r="B2535" s="2" t="inlineStr">
        <is>
          <t>REV_Future Energy Solutions</t>
        </is>
      </c>
      <c r="C2535" s="2" t="inlineStr">
        <is>
          <t>Branch</t>
        </is>
      </c>
      <c r="D2535" s="2" t="inlineStr">
        <is>
          <t>L9.J.382111</t>
        </is>
      </c>
      <c r="E2535" s="2" t="inlineStr">
        <is>
          <t>IEFES</t>
        </is>
      </c>
      <c r="M2535" s="2" t="inlineStr">
        <is>
          <t>North Ryde</t>
        </is>
      </c>
      <c r="N2535" s="2" t="inlineStr">
        <is>
          <t>Australia</t>
        </is>
      </c>
      <c r="P2535" s="2" t="inlineStr">
        <is>
          <t>Revenue</t>
        </is>
      </c>
      <c r="Q2535" s="2" t="inlineStr">
        <is>
          <t>Revenue</t>
        </is>
      </c>
      <c r="R2535" s="2" t="inlineStr">
        <is>
          <t>Revenue</t>
        </is>
      </c>
      <c r="S2535" s="2" t="inlineStr">
        <is>
          <t>Downer</t>
        </is>
      </c>
      <c r="T2535" s="2" t="n">
        <v>100</v>
      </c>
      <c r="W2535" s="2" t="inlineStr">
        <is>
          <t>Portfolio</t>
        </is>
      </c>
    </row>
    <row r="2536">
      <c r="A2536" s="2" t="inlineStr">
        <is>
          <t>Downer</t>
        </is>
      </c>
      <c r="B2536" s="2" t="inlineStr">
        <is>
          <t>REV_Government &amp; IFM</t>
        </is>
      </c>
      <c r="C2536" s="2" t="inlineStr">
        <is>
          <t>Branch</t>
        </is>
      </c>
      <c r="D2536" s="2" t="inlineStr">
        <is>
          <t>L9.S.13000747</t>
        </is>
      </c>
      <c r="E2536" s="2" t="inlineStr">
        <is>
          <t>SICSGIFM</t>
        </is>
      </c>
      <c r="M2536" s="2" t="inlineStr">
        <is>
          <t>North Ryde</t>
        </is>
      </c>
      <c r="N2536" s="2" t="inlineStr">
        <is>
          <t>Australia</t>
        </is>
      </c>
      <c r="P2536" s="2" t="inlineStr">
        <is>
          <t>Operational Control</t>
        </is>
      </c>
      <c r="Q2536" s="2" t="inlineStr">
        <is>
          <t>Operational Control</t>
        </is>
      </c>
      <c r="R2536" s="2" t="inlineStr">
        <is>
          <t>Social Infra &amp; Citizen Serv (SICS)</t>
        </is>
      </c>
      <c r="S2536" s="2" t="inlineStr">
        <is>
          <t>Downer</t>
        </is>
      </c>
      <c r="T2536" s="2" t="n">
        <v>100</v>
      </c>
      <c r="W2536" s="2" t="inlineStr">
        <is>
          <t>Classification</t>
        </is>
      </c>
    </row>
    <row r="2537">
      <c r="A2537" s="2" t="inlineStr">
        <is>
          <t>Downer</t>
        </is>
      </c>
      <c r="B2537" s="2" t="inlineStr">
        <is>
          <t>REV_Government &amp; IFM</t>
        </is>
      </c>
      <c r="C2537" s="2" t="inlineStr">
        <is>
          <t>Branch</t>
        </is>
      </c>
      <c r="D2537" s="2" t="inlineStr">
        <is>
          <t>L9.S.13000747</t>
        </is>
      </c>
      <c r="E2537" s="2" t="inlineStr">
        <is>
          <t>SICSGIFM</t>
        </is>
      </c>
      <c r="M2537" s="2" t="inlineStr">
        <is>
          <t>North Ryde</t>
        </is>
      </c>
      <c r="N2537" s="2" t="inlineStr">
        <is>
          <t>Australia</t>
        </is>
      </c>
      <c r="P2537" s="2" t="inlineStr">
        <is>
          <t>Revenue</t>
        </is>
      </c>
      <c r="Q2537" s="2" t="inlineStr">
        <is>
          <t>Revenue</t>
        </is>
      </c>
      <c r="R2537" s="2" t="inlineStr">
        <is>
          <t>Revenue</t>
        </is>
      </c>
      <c r="S2537" s="2" t="inlineStr">
        <is>
          <t>Downer</t>
        </is>
      </c>
      <c r="T2537" s="2" t="n">
        <v>100</v>
      </c>
      <c r="W2537" s="2" t="inlineStr">
        <is>
          <t>Portfolio</t>
        </is>
      </c>
    </row>
    <row r="2538">
      <c r="A2538" s="2" t="inlineStr">
        <is>
          <t>Downer</t>
        </is>
      </c>
      <c r="B2538" s="2" t="inlineStr">
        <is>
          <t>REV_Hawkins</t>
        </is>
      </c>
      <c r="C2538" s="2" t="inlineStr">
        <is>
          <t>Branch</t>
        </is>
      </c>
      <c r="D2538" s="2" t="inlineStr">
        <is>
          <t>L9.DNZ.CEN</t>
        </is>
      </c>
      <c r="E2538" s="2" t="inlineStr">
        <is>
          <t>TIHA</t>
        </is>
      </c>
      <c r="M2538" s="2" t="inlineStr">
        <is>
          <t>North Ryde</t>
        </is>
      </c>
      <c r="N2538" s="2" t="inlineStr">
        <is>
          <t>Australia</t>
        </is>
      </c>
      <c r="P2538" s="2" t="inlineStr">
        <is>
          <t>Operational Control</t>
        </is>
      </c>
      <c r="Q2538" s="2" t="inlineStr">
        <is>
          <t>Operational Control</t>
        </is>
      </c>
      <c r="R2538" s="2" t="inlineStr">
        <is>
          <t>Transport &amp; Infrastructure (T&amp;I)</t>
        </is>
      </c>
      <c r="S2538" s="2" t="inlineStr">
        <is>
          <t>Downer</t>
        </is>
      </c>
      <c r="T2538" s="2" t="n">
        <v>100</v>
      </c>
      <c r="W2538" s="2" t="inlineStr">
        <is>
          <t>Classification</t>
        </is>
      </c>
    </row>
    <row r="2539">
      <c r="A2539" s="2" t="inlineStr">
        <is>
          <t>Downer</t>
        </is>
      </c>
      <c r="B2539" s="2" t="inlineStr">
        <is>
          <t>REV_Hawkins</t>
        </is>
      </c>
      <c r="C2539" s="2" t="inlineStr">
        <is>
          <t>Branch</t>
        </is>
      </c>
      <c r="D2539" s="2" t="inlineStr">
        <is>
          <t>L9.DNZ.CEN</t>
        </is>
      </c>
      <c r="E2539" s="2" t="inlineStr">
        <is>
          <t>TIHA</t>
        </is>
      </c>
      <c r="M2539" s="2" t="inlineStr">
        <is>
          <t>North Ryde</t>
        </is>
      </c>
      <c r="N2539" s="2" t="inlineStr">
        <is>
          <t>Australia</t>
        </is>
      </c>
      <c r="P2539" s="2" t="inlineStr">
        <is>
          <t>Revenue</t>
        </is>
      </c>
      <c r="Q2539" s="2" t="inlineStr">
        <is>
          <t>Revenue</t>
        </is>
      </c>
      <c r="R2539" s="2" t="inlineStr">
        <is>
          <t>Revenue</t>
        </is>
      </c>
      <c r="S2539" s="2" t="inlineStr">
        <is>
          <t>Downer</t>
        </is>
      </c>
      <c r="T2539" s="2" t="n">
        <v>100</v>
      </c>
      <c r="W2539" s="2" t="inlineStr">
        <is>
          <t>Portfolio</t>
        </is>
      </c>
    </row>
    <row r="2540">
      <c r="A2540" s="2" t="inlineStr">
        <is>
          <t>Downer</t>
        </is>
      </c>
      <c r="B2540" s="2" t="inlineStr">
        <is>
          <t>REV_Health &amp; Education</t>
        </is>
      </c>
      <c r="C2540" s="2" t="inlineStr">
        <is>
          <t>Branch</t>
        </is>
      </c>
      <c r="D2540" s="2" t="inlineStr">
        <is>
          <t>L9.S.13000770</t>
        </is>
      </c>
      <c r="E2540" s="2" t="inlineStr">
        <is>
          <t>SICSHE</t>
        </is>
      </c>
      <c r="M2540" s="2" t="inlineStr">
        <is>
          <t>North Ryde</t>
        </is>
      </c>
      <c r="N2540" s="2" t="inlineStr">
        <is>
          <t>Australia</t>
        </is>
      </c>
      <c r="P2540" s="2" t="inlineStr">
        <is>
          <t>Operational Control</t>
        </is>
      </c>
      <c r="Q2540" s="2" t="inlineStr">
        <is>
          <t>Operational Control</t>
        </is>
      </c>
      <c r="R2540" s="2" t="inlineStr">
        <is>
          <t>Social Infra &amp; Citizen Serv (SICS)</t>
        </is>
      </c>
      <c r="S2540" s="2" t="inlineStr">
        <is>
          <t>Downer</t>
        </is>
      </c>
      <c r="T2540" s="2" t="n">
        <v>100</v>
      </c>
      <c r="W2540" s="2" t="inlineStr">
        <is>
          <t>Classification</t>
        </is>
      </c>
    </row>
    <row r="2541">
      <c r="A2541" s="2" t="inlineStr">
        <is>
          <t>Downer</t>
        </is>
      </c>
      <c r="B2541" s="2" t="inlineStr">
        <is>
          <t>REV_Health &amp; Education</t>
        </is>
      </c>
      <c r="C2541" s="2" t="inlineStr">
        <is>
          <t>Branch</t>
        </is>
      </c>
      <c r="D2541" s="2" t="inlineStr">
        <is>
          <t>L9.S.13000770</t>
        </is>
      </c>
      <c r="E2541" s="2" t="inlineStr">
        <is>
          <t>SICSHE</t>
        </is>
      </c>
      <c r="M2541" s="2" t="inlineStr">
        <is>
          <t>North Ryde</t>
        </is>
      </c>
      <c r="N2541" s="2" t="inlineStr">
        <is>
          <t>Australia</t>
        </is>
      </c>
      <c r="P2541" s="2" t="inlineStr">
        <is>
          <t>Revenue</t>
        </is>
      </c>
      <c r="Q2541" s="2" t="inlineStr">
        <is>
          <t>Revenue</t>
        </is>
      </c>
      <c r="R2541" s="2" t="inlineStr">
        <is>
          <t>Revenue</t>
        </is>
      </c>
      <c r="S2541" s="2" t="inlineStr">
        <is>
          <t>Downer</t>
        </is>
      </c>
      <c r="T2541" s="2" t="n">
        <v>100</v>
      </c>
      <c r="W2541" s="2" t="inlineStr">
        <is>
          <t>Portfolio</t>
        </is>
      </c>
    </row>
    <row r="2542">
      <c r="A2542" s="2" t="inlineStr">
        <is>
          <t>Downer</t>
        </is>
      </c>
      <c r="B2542" s="2" t="inlineStr">
        <is>
          <t>REV_Industrial &amp; Energy East</t>
        </is>
      </c>
      <c r="C2542" s="2" t="inlineStr">
        <is>
          <t>Branch</t>
        </is>
      </c>
      <c r="D2542" s="2" t="inlineStr">
        <is>
          <t>L9.J.38215096</t>
        </is>
      </c>
      <c r="E2542" s="2" t="inlineStr">
        <is>
          <t>IEIEE</t>
        </is>
      </c>
      <c r="M2542" s="2" t="inlineStr">
        <is>
          <t>North Ryde</t>
        </is>
      </c>
      <c r="N2542" s="2" t="inlineStr">
        <is>
          <t>Australia</t>
        </is>
      </c>
      <c r="P2542" s="2" t="inlineStr">
        <is>
          <t>Operational Control</t>
        </is>
      </c>
      <c r="Q2542" s="2" t="inlineStr">
        <is>
          <t>Operational Control</t>
        </is>
      </c>
      <c r="R2542" s="2" t="inlineStr">
        <is>
          <t>Energy and Utilities (EU)</t>
        </is>
      </c>
      <c r="S2542" s="2" t="inlineStr">
        <is>
          <t>Downer</t>
        </is>
      </c>
      <c r="T2542" s="2" t="n">
        <v>100</v>
      </c>
      <c r="W2542" s="2" t="inlineStr">
        <is>
          <t>Classification</t>
        </is>
      </c>
    </row>
    <row r="2543">
      <c r="A2543" s="2" t="inlineStr">
        <is>
          <t>Downer</t>
        </is>
      </c>
      <c r="B2543" s="2" t="inlineStr">
        <is>
          <t>REV_Industrial &amp; Energy East</t>
        </is>
      </c>
      <c r="C2543" s="2" t="inlineStr">
        <is>
          <t>Branch</t>
        </is>
      </c>
      <c r="D2543" s="2" t="inlineStr">
        <is>
          <t>L9.J.38215096</t>
        </is>
      </c>
      <c r="E2543" s="2" t="inlineStr">
        <is>
          <t>IEIEE</t>
        </is>
      </c>
      <c r="M2543" s="2" t="inlineStr">
        <is>
          <t>North Ryde</t>
        </is>
      </c>
      <c r="N2543" s="2" t="inlineStr">
        <is>
          <t>Australia</t>
        </is>
      </c>
      <c r="P2543" s="2" t="inlineStr">
        <is>
          <t>Revenue</t>
        </is>
      </c>
      <c r="Q2543" s="2" t="inlineStr">
        <is>
          <t>Revenue</t>
        </is>
      </c>
      <c r="R2543" s="2" t="inlineStr">
        <is>
          <t>Revenue</t>
        </is>
      </c>
      <c r="S2543" s="2" t="inlineStr">
        <is>
          <t>Downer</t>
        </is>
      </c>
      <c r="T2543" s="2" t="n">
        <v>100</v>
      </c>
      <c r="W2543" s="2" t="inlineStr">
        <is>
          <t>Portfolio</t>
        </is>
      </c>
    </row>
    <row r="2544">
      <c r="A2544" s="2" t="inlineStr">
        <is>
          <t>Downer</t>
        </is>
      </c>
      <c r="B2544" s="2" t="inlineStr">
        <is>
          <t>REV_Industrial &amp; Energy Support</t>
        </is>
      </c>
      <c r="C2544" s="2" t="inlineStr">
        <is>
          <t>Branch</t>
        </is>
      </c>
      <c r="D2544" s="2" t="inlineStr">
        <is>
          <t>L9.J.382160</t>
        </is>
      </c>
      <c r="E2544" s="2" t="inlineStr">
        <is>
          <t>IEIEW</t>
        </is>
      </c>
      <c r="M2544" s="2" t="inlineStr">
        <is>
          <t>North Ryde</t>
        </is>
      </c>
      <c r="N2544" s="2" t="inlineStr">
        <is>
          <t>Australia</t>
        </is>
      </c>
      <c r="P2544" s="2" t="inlineStr">
        <is>
          <t>Operational Control</t>
        </is>
      </c>
      <c r="Q2544" s="2" t="inlineStr">
        <is>
          <t>Operational Control</t>
        </is>
      </c>
      <c r="R2544" s="2" t="inlineStr">
        <is>
          <t>Energy and Utilities (EU)</t>
        </is>
      </c>
      <c r="S2544" s="2" t="inlineStr">
        <is>
          <t>Downer</t>
        </is>
      </c>
      <c r="T2544" s="2" t="n">
        <v>100</v>
      </c>
      <c r="W2544" s="2" t="inlineStr">
        <is>
          <t>Classification</t>
        </is>
      </c>
    </row>
    <row r="2545">
      <c r="A2545" s="2" t="inlineStr">
        <is>
          <t>Downer</t>
        </is>
      </c>
      <c r="B2545" s="2" t="inlineStr">
        <is>
          <t>REV_Industrial &amp; Energy Support</t>
        </is>
      </c>
      <c r="C2545" s="2" t="inlineStr">
        <is>
          <t>Branch</t>
        </is>
      </c>
      <c r="D2545" s="2" t="inlineStr">
        <is>
          <t>L9.J.382160</t>
        </is>
      </c>
      <c r="E2545" s="2" t="inlineStr">
        <is>
          <t>IEIEW</t>
        </is>
      </c>
      <c r="M2545" s="2" t="inlineStr">
        <is>
          <t>North Ryde</t>
        </is>
      </c>
      <c r="N2545" s="2" t="inlineStr">
        <is>
          <t>Australia</t>
        </is>
      </c>
      <c r="P2545" s="2" t="inlineStr">
        <is>
          <t>Revenue</t>
        </is>
      </c>
      <c r="Q2545" s="2" t="inlineStr">
        <is>
          <t>Revenue</t>
        </is>
      </c>
      <c r="R2545" s="2" t="inlineStr">
        <is>
          <t>Revenue</t>
        </is>
      </c>
      <c r="S2545" s="2" t="inlineStr">
        <is>
          <t>Downer</t>
        </is>
      </c>
      <c r="T2545" s="2" t="n">
        <v>100</v>
      </c>
      <c r="W2545" s="2" t="inlineStr">
        <is>
          <t>Portfolio</t>
        </is>
      </c>
    </row>
    <row r="2546">
      <c r="A2546" s="2" t="inlineStr">
        <is>
          <t>Downer</t>
        </is>
      </c>
      <c r="B2546" s="2" t="inlineStr">
        <is>
          <t>REV_Industrial &amp; Energy West</t>
        </is>
      </c>
      <c r="C2546" s="2" t="inlineStr">
        <is>
          <t>Branch</t>
        </is>
      </c>
      <c r="D2546" s="2" t="inlineStr">
        <is>
          <t>L9.J.38230093</t>
        </is>
      </c>
      <c r="E2546" s="2" t="inlineStr">
        <is>
          <t>IEIEW</t>
        </is>
      </c>
      <c r="M2546" s="2" t="inlineStr">
        <is>
          <t>North Ryde</t>
        </is>
      </c>
      <c r="N2546" s="2" t="inlineStr">
        <is>
          <t>Australia</t>
        </is>
      </c>
      <c r="P2546" s="2" t="inlineStr">
        <is>
          <t>Operational Control</t>
        </is>
      </c>
      <c r="Q2546" s="2" t="inlineStr">
        <is>
          <t>Operational Control</t>
        </is>
      </c>
      <c r="R2546" s="2" t="inlineStr">
        <is>
          <t>Energy and Utilities (EU)</t>
        </is>
      </c>
      <c r="S2546" s="2" t="inlineStr">
        <is>
          <t>Downer</t>
        </is>
      </c>
      <c r="T2546" s="2" t="n">
        <v>100</v>
      </c>
      <c r="W2546" s="2" t="inlineStr">
        <is>
          <t>Classification</t>
        </is>
      </c>
    </row>
    <row r="2547">
      <c r="A2547" s="2" t="inlineStr">
        <is>
          <t>Downer</t>
        </is>
      </c>
      <c r="B2547" s="2" t="inlineStr">
        <is>
          <t>REV_Industrial &amp; Energy West</t>
        </is>
      </c>
      <c r="C2547" s="2" t="inlineStr">
        <is>
          <t>Branch</t>
        </is>
      </c>
      <c r="D2547" s="2" t="inlineStr">
        <is>
          <t>L9.J.38230093</t>
        </is>
      </c>
      <c r="E2547" s="2" t="inlineStr">
        <is>
          <t>IEIEW</t>
        </is>
      </c>
      <c r="M2547" s="2" t="inlineStr">
        <is>
          <t>North Ryde</t>
        </is>
      </c>
      <c r="N2547" s="2" t="inlineStr">
        <is>
          <t>Australia</t>
        </is>
      </c>
      <c r="P2547" s="2" t="inlineStr">
        <is>
          <t>Revenue</t>
        </is>
      </c>
      <c r="Q2547" s="2" t="inlineStr">
        <is>
          <t>Revenue</t>
        </is>
      </c>
      <c r="R2547" s="2" t="inlineStr">
        <is>
          <t>Revenue</t>
        </is>
      </c>
      <c r="S2547" s="2" t="inlineStr">
        <is>
          <t>Downer</t>
        </is>
      </c>
      <c r="T2547" s="2" t="n">
        <v>100</v>
      </c>
      <c r="W2547" s="2" t="inlineStr">
        <is>
          <t>Portfolio</t>
        </is>
      </c>
    </row>
    <row r="2548">
      <c r="A2548" s="2" t="inlineStr">
        <is>
          <t>Downer</t>
        </is>
      </c>
      <c r="B2548" s="2" t="inlineStr">
        <is>
          <t>REV_Industrial &amp; Power Generation</t>
        </is>
      </c>
      <c r="C2548" s="2" t="inlineStr">
        <is>
          <t>Other</t>
        </is>
      </c>
      <c r="D2548" s="2" t="inlineStr">
        <is>
          <t>L9.ENG.360.84.105</t>
        </is>
      </c>
      <c r="E2548" s="2" t="inlineStr">
        <is>
          <t>L9.ENG.360.84.105</t>
        </is>
      </c>
      <c r="M2548" s="2" t="inlineStr">
        <is>
          <t>North Ryde</t>
        </is>
      </c>
      <c r="N2548" s="2" t="inlineStr">
        <is>
          <t>Australia</t>
        </is>
      </c>
      <c r="P2548" s="2" t="inlineStr">
        <is>
          <t>Operational Control</t>
        </is>
      </c>
      <c r="Q2548" s="2" t="inlineStr">
        <is>
          <t>Operational Control</t>
        </is>
      </c>
      <c r="R2548" s="2" t="inlineStr">
        <is>
          <t>Energy and Utilities (EU)</t>
        </is>
      </c>
      <c r="S2548" s="2" t="inlineStr">
        <is>
          <t>Downer</t>
        </is>
      </c>
      <c r="T2548" s="2" t="n">
        <v>100</v>
      </c>
      <c r="W2548" s="2" t="inlineStr">
        <is>
          <t>Classification</t>
        </is>
      </c>
    </row>
    <row r="2549">
      <c r="A2549" s="2" t="inlineStr">
        <is>
          <t>Downer</t>
        </is>
      </c>
      <c r="B2549" s="2" t="inlineStr">
        <is>
          <t>REV_Industrial &amp; Power Generation</t>
        </is>
      </c>
      <c r="C2549" s="2" t="inlineStr">
        <is>
          <t>Other</t>
        </is>
      </c>
      <c r="D2549" s="2" t="inlineStr">
        <is>
          <t>L9.ENG.360.84.105</t>
        </is>
      </c>
      <c r="E2549" s="2" t="inlineStr">
        <is>
          <t>L9.ENG.360.84.105</t>
        </is>
      </c>
      <c r="M2549" s="2" t="inlineStr">
        <is>
          <t>North Ryde</t>
        </is>
      </c>
      <c r="N2549" s="2" t="inlineStr">
        <is>
          <t>Australia</t>
        </is>
      </c>
      <c r="P2549" s="2" t="inlineStr">
        <is>
          <t>Revenue</t>
        </is>
      </c>
      <c r="Q2549" s="2" t="inlineStr">
        <is>
          <t>Revenue</t>
        </is>
      </c>
      <c r="R2549" s="2" t="inlineStr">
        <is>
          <t>Revenue</t>
        </is>
      </c>
      <c r="S2549" s="2" t="inlineStr">
        <is>
          <t>Downer</t>
        </is>
      </c>
      <c r="T2549" s="2" t="n">
        <v>100</v>
      </c>
      <c r="W2549" s="2" t="inlineStr">
        <is>
          <t>Portfolio</t>
        </is>
      </c>
    </row>
    <row r="2550">
      <c r="A2550" s="2" t="inlineStr">
        <is>
          <t>Downer</t>
        </is>
      </c>
      <c r="B2550" s="2" t="inlineStr">
        <is>
          <t>REV_Infrastructure Projects</t>
        </is>
      </c>
      <c r="C2550" s="2" t="inlineStr">
        <is>
          <t>Branch</t>
        </is>
      </c>
      <c r="D2550" s="2" t="inlineStr">
        <is>
          <t>L9.J.201</t>
        </is>
      </c>
      <c r="E2550" s="2" t="inlineStr">
        <is>
          <t>DTIP</t>
        </is>
      </c>
      <c r="M2550" s="2" t="inlineStr">
        <is>
          <t>North Ryde</t>
        </is>
      </c>
      <c r="N2550" s="2" t="inlineStr">
        <is>
          <t>Australia</t>
        </is>
      </c>
      <c r="P2550" s="2" t="inlineStr">
        <is>
          <t>Operational Control</t>
        </is>
      </c>
      <c r="Q2550" s="2" t="inlineStr">
        <is>
          <t>Operational Control</t>
        </is>
      </c>
      <c r="R2550" s="2" t="inlineStr">
        <is>
          <t>Corporate</t>
        </is>
      </c>
      <c r="S2550" s="2" t="inlineStr">
        <is>
          <t>Downer</t>
        </is>
      </c>
      <c r="T2550" s="2" t="n">
        <v>100</v>
      </c>
      <c r="W2550" s="2" t="inlineStr">
        <is>
          <t>Classification</t>
        </is>
      </c>
    </row>
    <row r="2551">
      <c r="A2551" s="2" t="inlineStr">
        <is>
          <t>Downer</t>
        </is>
      </c>
      <c r="B2551" s="2" t="inlineStr">
        <is>
          <t>REV_Infrastructure Projects</t>
        </is>
      </c>
      <c r="C2551" s="2" t="inlineStr">
        <is>
          <t>Branch</t>
        </is>
      </c>
      <c r="D2551" s="2" t="inlineStr">
        <is>
          <t>L9.J.201</t>
        </is>
      </c>
      <c r="E2551" s="2" t="inlineStr">
        <is>
          <t>DTIP</t>
        </is>
      </c>
      <c r="M2551" s="2" t="inlineStr">
        <is>
          <t>North Ryde</t>
        </is>
      </c>
      <c r="N2551" s="2" t="inlineStr">
        <is>
          <t>Australia</t>
        </is>
      </c>
      <c r="P2551" s="2" t="inlineStr">
        <is>
          <t>Revenue</t>
        </is>
      </c>
      <c r="Q2551" s="2" t="inlineStr">
        <is>
          <t>Revenue</t>
        </is>
      </c>
      <c r="R2551" s="2" t="inlineStr">
        <is>
          <t>Revenue</t>
        </is>
      </c>
      <c r="S2551" s="2" t="inlineStr">
        <is>
          <t>Downer</t>
        </is>
      </c>
      <c r="T2551" s="2" t="n">
        <v>100</v>
      </c>
      <c r="W2551" s="2" t="inlineStr">
        <is>
          <t>Portfolio</t>
        </is>
      </c>
    </row>
    <row r="2552">
      <c r="A2552" s="2" t="inlineStr">
        <is>
          <t>Downer</t>
        </is>
      </c>
      <c r="B2552" s="2" t="inlineStr">
        <is>
          <t>REV_Integrated Gas</t>
        </is>
      </c>
      <c r="C2552" s="2" t="inlineStr">
        <is>
          <t>Branch</t>
        </is>
      </c>
      <c r="D2552" s="2" t="inlineStr">
        <is>
          <t>L9.J.382761</t>
        </is>
      </c>
      <c r="E2552" s="2" t="inlineStr">
        <is>
          <t>IEIG</t>
        </is>
      </c>
      <c r="M2552" s="2" t="inlineStr">
        <is>
          <t>North Ryde</t>
        </is>
      </c>
      <c r="N2552" s="2" t="inlineStr">
        <is>
          <t>Australia</t>
        </is>
      </c>
      <c r="P2552" s="2" t="inlineStr">
        <is>
          <t>Operational Control</t>
        </is>
      </c>
      <c r="Q2552" s="2" t="inlineStr">
        <is>
          <t>Operational Control</t>
        </is>
      </c>
      <c r="R2552" s="2" t="inlineStr">
        <is>
          <t>Energy and Utilities (EU)</t>
        </is>
      </c>
      <c r="S2552" s="2" t="inlineStr">
        <is>
          <t>Downer</t>
        </is>
      </c>
      <c r="T2552" s="2" t="n">
        <v>100</v>
      </c>
      <c r="W2552" s="2" t="inlineStr">
        <is>
          <t>Classification</t>
        </is>
      </c>
    </row>
    <row r="2553">
      <c r="A2553" s="2" t="inlineStr">
        <is>
          <t>Downer</t>
        </is>
      </c>
      <c r="B2553" s="2" t="inlineStr">
        <is>
          <t>REV_Integrated Gas</t>
        </is>
      </c>
      <c r="C2553" s="2" t="inlineStr">
        <is>
          <t>Branch</t>
        </is>
      </c>
      <c r="D2553" s="2" t="inlineStr">
        <is>
          <t>L9.J.382761</t>
        </is>
      </c>
      <c r="E2553" s="2" t="inlineStr">
        <is>
          <t>IEIG</t>
        </is>
      </c>
      <c r="M2553" s="2" t="inlineStr">
        <is>
          <t>North Ryde</t>
        </is>
      </c>
      <c r="N2553" s="2" t="inlineStr">
        <is>
          <t>Australia</t>
        </is>
      </c>
      <c r="P2553" s="2" t="inlineStr">
        <is>
          <t>Revenue</t>
        </is>
      </c>
      <c r="Q2553" s="2" t="inlineStr">
        <is>
          <t>Revenue</t>
        </is>
      </c>
      <c r="R2553" s="2" t="inlineStr">
        <is>
          <t>Revenue</t>
        </is>
      </c>
      <c r="S2553" s="2" t="inlineStr">
        <is>
          <t>Downer</t>
        </is>
      </c>
      <c r="T2553" s="2" t="n">
        <v>100</v>
      </c>
      <c r="W2553" s="2" t="inlineStr">
        <is>
          <t>Portfolio</t>
        </is>
      </c>
    </row>
    <row r="2554">
      <c r="A2554" s="2" t="inlineStr">
        <is>
          <t>Downer</t>
        </is>
      </c>
      <c r="B2554" s="2" t="inlineStr">
        <is>
          <t>REV_Intra Elim</t>
        </is>
      </c>
      <c r="C2554" s="2" t="inlineStr">
        <is>
          <t>Branch</t>
        </is>
      </c>
      <c r="D2554" s="2" t="inlineStr">
        <is>
          <t>L9.J.100001</t>
        </is>
      </c>
      <c r="E2554" s="2" t="inlineStr">
        <is>
          <t>CORIE</t>
        </is>
      </c>
      <c r="M2554" s="2" t="inlineStr">
        <is>
          <t>North Ryde</t>
        </is>
      </c>
      <c r="N2554" s="2" t="inlineStr">
        <is>
          <t>Australia</t>
        </is>
      </c>
      <c r="P2554" s="2" t="inlineStr">
        <is>
          <t>Operational Control</t>
        </is>
      </c>
      <c r="Q2554" s="2" t="inlineStr">
        <is>
          <t>Operational Control</t>
        </is>
      </c>
      <c r="R2554" s="2" t="inlineStr">
        <is>
          <t>Corporate</t>
        </is>
      </c>
      <c r="S2554" s="2" t="inlineStr">
        <is>
          <t>Downer</t>
        </is>
      </c>
      <c r="T2554" s="2" t="n">
        <v>100</v>
      </c>
      <c r="W2554" s="2" t="inlineStr">
        <is>
          <t>Classification</t>
        </is>
      </c>
    </row>
    <row r="2555">
      <c r="A2555" s="2" t="inlineStr">
        <is>
          <t>Downer</t>
        </is>
      </c>
      <c r="B2555" s="2" t="inlineStr">
        <is>
          <t>REV_Intra Elim</t>
        </is>
      </c>
      <c r="C2555" s="2" t="inlineStr">
        <is>
          <t>Branch</t>
        </is>
      </c>
      <c r="D2555" s="2" t="inlineStr">
        <is>
          <t>L9.J.100001</t>
        </is>
      </c>
      <c r="E2555" s="2" t="inlineStr">
        <is>
          <t>CORIE</t>
        </is>
      </c>
      <c r="M2555" s="2" t="inlineStr">
        <is>
          <t>North Ryde</t>
        </is>
      </c>
      <c r="N2555" s="2" t="inlineStr">
        <is>
          <t>Australia</t>
        </is>
      </c>
      <c r="P2555" s="2" t="inlineStr">
        <is>
          <t>Revenue</t>
        </is>
      </c>
      <c r="Q2555" s="2" t="inlineStr">
        <is>
          <t>Revenue</t>
        </is>
      </c>
      <c r="R2555" s="2" t="inlineStr">
        <is>
          <t>Revenue</t>
        </is>
      </c>
      <c r="S2555" s="2" t="inlineStr">
        <is>
          <t>Downer</t>
        </is>
      </c>
      <c r="T2555" s="2" t="n">
        <v>100</v>
      </c>
      <c r="W2555" s="2" t="inlineStr">
        <is>
          <t>Portfolio</t>
        </is>
      </c>
    </row>
    <row r="2556">
      <c r="A2556" s="2" t="inlineStr">
        <is>
          <t>Downer</t>
        </is>
      </c>
      <c r="B2556" s="2" t="inlineStr">
        <is>
          <t>REV_Managing Contracts</t>
        </is>
      </c>
      <c r="C2556" s="2" t="inlineStr">
        <is>
          <t>Other</t>
        </is>
      </c>
      <c r="D2556" s="2" t="inlineStr">
        <is>
          <t>L9.S.16016670</t>
        </is>
      </c>
      <c r="E2556" s="2" t="inlineStr">
        <is>
          <t>L9.S.16016670</t>
        </is>
      </c>
      <c r="M2556" s="2" t="inlineStr">
        <is>
          <t>North Ryde</t>
        </is>
      </c>
      <c r="N2556" s="2" t="inlineStr">
        <is>
          <t>Australia</t>
        </is>
      </c>
      <c r="P2556" s="2" t="inlineStr">
        <is>
          <t>Operational Control</t>
        </is>
      </c>
      <c r="Q2556" s="2" t="inlineStr">
        <is>
          <t>Operational Control</t>
        </is>
      </c>
      <c r="R2556" s="2" t="inlineStr">
        <is>
          <t>Social Infra &amp; Citizen Serv (SICS)</t>
        </is>
      </c>
      <c r="S2556" s="2" t="inlineStr">
        <is>
          <t>Downer</t>
        </is>
      </c>
      <c r="T2556" s="2" t="n">
        <v>100</v>
      </c>
      <c r="W2556" s="2" t="inlineStr">
        <is>
          <t>Classification</t>
        </is>
      </c>
    </row>
    <row r="2557">
      <c r="A2557" s="2" t="inlineStr">
        <is>
          <t>Downer</t>
        </is>
      </c>
      <c r="B2557" s="2" t="inlineStr">
        <is>
          <t>REV_Managing Contracts</t>
        </is>
      </c>
      <c r="C2557" s="2" t="inlineStr">
        <is>
          <t>Other</t>
        </is>
      </c>
      <c r="D2557" s="2" t="inlineStr">
        <is>
          <t>L9.S.16016670</t>
        </is>
      </c>
      <c r="E2557" s="2" t="inlineStr">
        <is>
          <t>L9.S.16016670</t>
        </is>
      </c>
      <c r="M2557" s="2" t="inlineStr">
        <is>
          <t>North Ryde</t>
        </is>
      </c>
      <c r="N2557" s="2" t="inlineStr">
        <is>
          <t>Australia</t>
        </is>
      </c>
      <c r="P2557" s="2" t="inlineStr">
        <is>
          <t>Revenue</t>
        </is>
      </c>
      <c r="Q2557" s="2" t="inlineStr">
        <is>
          <t>Revenue</t>
        </is>
      </c>
      <c r="R2557" s="2" t="inlineStr">
        <is>
          <t>Revenue</t>
        </is>
      </c>
      <c r="S2557" s="2" t="inlineStr">
        <is>
          <t>Downer</t>
        </is>
      </c>
      <c r="T2557" s="2" t="n">
        <v>100</v>
      </c>
      <c r="W2557" s="2" t="inlineStr">
        <is>
          <t>Portfolio</t>
        </is>
      </c>
    </row>
    <row r="2558">
      <c r="A2558" s="2" t="inlineStr">
        <is>
          <t>Downer</t>
        </is>
      </c>
      <c r="B2558" s="2" t="inlineStr">
        <is>
          <t>REV_Mineral Technologies</t>
        </is>
      </c>
      <c r="C2558" s="2" t="inlineStr">
        <is>
          <t>Branch</t>
        </is>
      </c>
      <c r="D2558" s="2" t="inlineStr">
        <is>
          <t>L9.J.395101</t>
        </is>
      </c>
      <c r="E2558" s="2" t="inlineStr">
        <is>
          <t>IEMT</t>
        </is>
      </c>
      <c r="M2558" s="2" t="inlineStr">
        <is>
          <t>North Ryde</t>
        </is>
      </c>
      <c r="N2558" s="2" t="inlineStr">
        <is>
          <t>Australia</t>
        </is>
      </c>
      <c r="P2558" s="2" t="inlineStr">
        <is>
          <t>Operational Control</t>
        </is>
      </c>
      <c r="Q2558" s="2" t="inlineStr">
        <is>
          <t>Operational Control</t>
        </is>
      </c>
      <c r="R2558" s="2" t="inlineStr">
        <is>
          <t>Energy and Utilities (EU)</t>
        </is>
      </c>
      <c r="S2558" s="2" t="inlineStr">
        <is>
          <t>Downer</t>
        </is>
      </c>
      <c r="T2558" s="2" t="n">
        <v>100</v>
      </c>
      <c r="W2558" s="2" t="inlineStr">
        <is>
          <t>Classification</t>
        </is>
      </c>
    </row>
    <row r="2559">
      <c r="A2559" s="2" t="inlineStr">
        <is>
          <t>Downer</t>
        </is>
      </c>
      <c r="B2559" s="2" t="inlineStr">
        <is>
          <t>REV_Mineral Technologies</t>
        </is>
      </c>
      <c r="C2559" s="2" t="inlineStr">
        <is>
          <t>Branch</t>
        </is>
      </c>
      <c r="D2559" s="2" t="inlineStr">
        <is>
          <t>L9.J.395101</t>
        </is>
      </c>
      <c r="E2559" s="2" t="inlineStr">
        <is>
          <t>IEMT</t>
        </is>
      </c>
      <c r="M2559" s="2" t="inlineStr">
        <is>
          <t>North Ryde</t>
        </is>
      </c>
      <c r="N2559" s="2" t="inlineStr">
        <is>
          <t>Australia</t>
        </is>
      </c>
      <c r="P2559" s="2" t="inlineStr">
        <is>
          <t>Revenue</t>
        </is>
      </c>
      <c r="Q2559" s="2" t="inlineStr">
        <is>
          <t>Revenue</t>
        </is>
      </c>
      <c r="R2559" s="2" t="inlineStr">
        <is>
          <t>Revenue</t>
        </is>
      </c>
      <c r="S2559" s="2" t="inlineStr">
        <is>
          <t>Downer</t>
        </is>
      </c>
      <c r="T2559" s="2" t="n">
        <v>100</v>
      </c>
      <c r="W2559" s="2" t="inlineStr">
        <is>
          <t>Portfolio</t>
        </is>
      </c>
    </row>
    <row r="2560">
      <c r="A2560" s="2" t="inlineStr">
        <is>
          <t>Downer</t>
        </is>
      </c>
      <c r="B2560" s="2" t="inlineStr">
        <is>
          <t>REV_Mining</t>
        </is>
      </c>
      <c r="C2560" s="2" t="inlineStr">
        <is>
          <t>Other</t>
        </is>
      </c>
      <c r="D2560" s="2" t="inlineStr">
        <is>
          <t>L9.COR.130.02151</t>
        </is>
      </c>
      <c r="E2560" s="2" t="inlineStr">
        <is>
          <t>L9.COR.130.02151</t>
        </is>
      </c>
      <c r="M2560" s="2" t="inlineStr">
        <is>
          <t>North Ryde</t>
        </is>
      </c>
      <c r="N2560" s="2" t="inlineStr">
        <is>
          <t>Australia</t>
        </is>
      </c>
      <c r="P2560" s="2" t="inlineStr">
        <is>
          <t>Operational Control</t>
        </is>
      </c>
      <c r="Q2560" s="2" t="inlineStr">
        <is>
          <t>Operational Control</t>
        </is>
      </c>
      <c r="R2560" s="2" t="inlineStr">
        <is>
          <t>Corporate</t>
        </is>
      </c>
      <c r="S2560" s="2" t="inlineStr">
        <is>
          <t>Downer</t>
        </is>
      </c>
      <c r="T2560" s="2" t="n">
        <v>100</v>
      </c>
      <c r="W2560" s="2" t="inlineStr">
        <is>
          <t>Classification</t>
        </is>
      </c>
    </row>
    <row r="2561">
      <c r="A2561" s="2" t="inlineStr">
        <is>
          <t>Downer</t>
        </is>
      </c>
      <c r="B2561" s="2" t="inlineStr">
        <is>
          <t>REV_Mining</t>
        </is>
      </c>
      <c r="C2561" s="2" t="inlineStr">
        <is>
          <t>Other</t>
        </is>
      </c>
      <c r="D2561" s="2" t="inlineStr">
        <is>
          <t>L9.COR.130.02151</t>
        </is>
      </c>
      <c r="E2561" s="2" t="inlineStr">
        <is>
          <t>L9.COR.130.02151</t>
        </is>
      </c>
      <c r="M2561" s="2" t="inlineStr">
        <is>
          <t>North Ryde</t>
        </is>
      </c>
      <c r="N2561" s="2" t="inlineStr">
        <is>
          <t>Australia</t>
        </is>
      </c>
      <c r="P2561" s="2" t="inlineStr">
        <is>
          <t>Revenue</t>
        </is>
      </c>
      <c r="Q2561" s="2" t="inlineStr">
        <is>
          <t>Revenue</t>
        </is>
      </c>
      <c r="R2561" s="2" t="inlineStr">
        <is>
          <t>Revenue</t>
        </is>
      </c>
      <c r="S2561" s="2" t="inlineStr">
        <is>
          <t>Downer</t>
        </is>
      </c>
      <c r="T2561" s="2" t="n">
        <v>100</v>
      </c>
      <c r="W2561" s="2" t="inlineStr">
        <is>
          <t>Portfolio</t>
        </is>
      </c>
    </row>
    <row r="2562">
      <c r="A2562" s="2" t="inlineStr">
        <is>
          <t>Downer</t>
        </is>
      </c>
      <c r="B2562" s="2" t="inlineStr">
        <is>
          <t>REV_Network Services</t>
        </is>
      </c>
      <c r="C2562" s="2" t="inlineStr">
        <is>
          <t>Other</t>
        </is>
      </c>
      <c r="D2562" s="2" t="inlineStr">
        <is>
          <t>L9.S.WPSTLSTH00</t>
        </is>
      </c>
      <c r="E2562" s="2" t="inlineStr">
        <is>
          <t>L9.S.WPSTLSTH00</t>
        </is>
      </c>
      <c r="M2562" s="2" t="inlineStr">
        <is>
          <t>North Ryde</t>
        </is>
      </c>
      <c r="N2562" s="2" t="inlineStr">
        <is>
          <t>Australia</t>
        </is>
      </c>
      <c r="P2562" s="2" t="inlineStr">
        <is>
          <t>Operational Control</t>
        </is>
      </c>
      <c r="Q2562" s="2" t="inlineStr">
        <is>
          <t>Operational Control</t>
        </is>
      </c>
      <c r="R2562" s="2" t="inlineStr">
        <is>
          <t>Energy and Utilities (EU)</t>
        </is>
      </c>
      <c r="S2562" s="2" t="inlineStr">
        <is>
          <t>Downer</t>
        </is>
      </c>
      <c r="T2562" s="2" t="n">
        <v>100</v>
      </c>
      <c r="W2562" s="2" t="inlineStr">
        <is>
          <t>Classification</t>
        </is>
      </c>
    </row>
    <row r="2563">
      <c r="A2563" s="2" t="inlineStr">
        <is>
          <t>Downer</t>
        </is>
      </c>
      <c r="B2563" s="2" t="inlineStr">
        <is>
          <t>REV_Network Services</t>
        </is>
      </c>
      <c r="C2563" s="2" t="inlineStr">
        <is>
          <t>Other</t>
        </is>
      </c>
      <c r="D2563" s="2" t="inlineStr">
        <is>
          <t>L9.S.WPSTLSTH00</t>
        </is>
      </c>
      <c r="E2563" s="2" t="inlineStr">
        <is>
          <t>L9.S.WPSTLSTH00</t>
        </is>
      </c>
      <c r="M2563" s="2" t="inlineStr">
        <is>
          <t>North Ryde</t>
        </is>
      </c>
      <c r="N2563" s="2" t="inlineStr">
        <is>
          <t>Australia</t>
        </is>
      </c>
      <c r="P2563" s="2" t="inlineStr">
        <is>
          <t>Revenue</t>
        </is>
      </c>
      <c r="Q2563" s="2" t="inlineStr">
        <is>
          <t>Revenue</t>
        </is>
      </c>
      <c r="R2563" s="2" t="inlineStr">
        <is>
          <t>Revenue</t>
        </is>
      </c>
      <c r="S2563" s="2" t="inlineStr">
        <is>
          <t>Downer</t>
        </is>
      </c>
      <c r="T2563" s="2" t="n">
        <v>100</v>
      </c>
      <c r="W2563" s="2" t="inlineStr">
        <is>
          <t>Portfolio</t>
        </is>
      </c>
    </row>
    <row r="2564">
      <c r="A2564" s="2" t="inlineStr">
        <is>
          <t>Downer</t>
        </is>
      </c>
      <c r="B2564" s="2" t="inlineStr">
        <is>
          <t>REV_New Zealand Transport &amp; Infrastructure</t>
        </is>
      </c>
      <c r="C2564" s="2" t="inlineStr">
        <is>
          <t>Branch</t>
        </is>
      </c>
      <c r="D2564" s="2" t="inlineStr">
        <is>
          <t>L9.DNZJ.8501</t>
        </is>
      </c>
      <c r="E2564" s="2" t="inlineStr">
        <is>
          <t>TINZTI</t>
        </is>
      </c>
      <c r="M2564" s="2" t="inlineStr">
        <is>
          <t>North Ryde</t>
        </is>
      </c>
      <c r="N2564" s="2" t="inlineStr">
        <is>
          <t>Australia</t>
        </is>
      </c>
      <c r="P2564" s="2" t="inlineStr">
        <is>
          <t>Operational Control</t>
        </is>
      </c>
      <c r="Q2564" s="2" t="inlineStr">
        <is>
          <t>Operational Control</t>
        </is>
      </c>
      <c r="R2564" s="2" t="inlineStr">
        <is>
          <t>Transport &amp; Infrastructure (T&amp;I)</t>
        </is>
      </c>
      <c r="S2564" s="2" t="inlineStr">
        <is>
          <t>Downer</t>
        </is>
      </c>
      <c r="T2564" s="2" t="n">
        <v>100</v>
      </c>
      <c r="W2564" s="2" t="inlineStr">
        <is>
          <t>Classification</t>
        </is>
      </c>
    </row>
    <row r="2565">
      <c r="A2565" s="2" t="inlineStr">
        <is>
          <t>Downer</t>
        </is>
      </c>
      <c r="B2565" s="2" t="inlineStr">
        <is>
          <t>REV_New Zealand Transport &amp; Infrastructure</t>
        </is>
      </c>
      <c r="C2565" s="2" t="inlineStr">
        <is>
          <t>Branch</t>
        </is>
      </c>
      <c r="D2565" s="2" t="inlineStr">
        <is>
          <t>L9.DNZJ.8501</t>
        </is>
      </c>
      <c r="E2565" s="2" t="inlineStr">
        <is>
          <t>TINZTI</t>
        </is>
      </c>
      <c r="M2565" s="2" t="inlineStr">
        <is>
          <t>North Ryde</t>
        </is>
      </c>
      <c r="N2565" s="2" t="inlineStr">
        <is>
          <t>Australia</t>
        </is>
      </c>
      <c r="P2565" s="2" t="inlineStr">
        <is>
          <t>Revenue</t>
        </is>
      </c>
      <c r="Q2565" s="2" t="inlineStr">
        <is>
          <t>Revenue</t>
        </is>
      </c>
      <c r="R2565" s="2" t="inlineStr">
        <is>
          <t>Revenue</t>
        </is>
      </c>
      <c r="S2565" s="2" t="inlineStr">
        <is>
          <t>Downer</t>
        </is>
      </c>
      <c r="T2565" s="2" t="n">
        <v>100</v>
      </c>
      <c r="W2565" s="2" t="inlineStr">
        <is>
          <t>Portfolio</t>
        </is>
      </c>
    </row>
    <row r="2566">
      <c r="A2566" s="2" t="inlineStr">
        <is>
          <t>Downer</t>
        </is>
      </c>
      <c r="B2566" s="2" t="inlineStr">
        <is>
          <t>REV_NZ NSC IT Property WF and Elins</t>
        </is>
      </c>
      <c r="C2566" s="2" t="inlineStr">
        <is>
          <t>Branch</t>
        </is>
      </c>
      <c r="D2566" s="2" t="inlineStr">
        <is>
          <t>L9.DNZJ.9003</t>
        </is>
      </c>
      <c r="E2566" s="2" t="inlineStr">
        <is>
          <t>CORNZ</t>
        </is>
      </c>
      <c r="M2566" s="2" t="inlineStr">
        <is>
          <t>North Ryde</t>
        </is>
      </c>
      <c r="N2566" s="2" t="inlineStr">
        <is>
          <t>Australia</t>
        </is>
      </c>
      <c r="P2566" s="2" t="inlineStr">
        <is>
          <t>Operational Control</t>
        </is>
      </c>
      <c r="Q2566" s="2" t="inlineStr">
        <is>
          <t>Operational Control</t>
        </is>
      </c>
      <c r="R2566" s="2" t="inlineStr">
        <is>
          <t>Corporate</t>
        </is>
      </c>
      <c r="S2566" s="2" t="inlineStr">
        <is>
          <t>Downer</t>
        </is>
      </c>
      <c r="T2566" s="2" t="n">
        <v>100</v>
      </c>
      <c r="W2566" s="2" t="inlineStr">
        <is>
          <t>Classification</t>
        </is>
      </c>
    </row>
    <row r="2567">
      <c r="A2567" s="2" t="inlineStr">
        <is>
          <t>Downer</t>
        </is>
      </c>
      <c r="B2567" s="2" t="inlineStr">
        <is>
          <t>REV_NZ NSC IT Property WF and Elins</t>
        </is>
      </c>
      <c r="C2567" s="2" t="inlineStr">
        <is>
          <t>Branch</t>
        </is>
      </c>
      <c r="D2567" s="2" t="inlineStr">
        <is>
          <t>L9.DNZJ.9003</t>
        </is>
      </c>
      <c r="E2567" s="2" t="inlineStr">
        <is>
          <t>CORNZ</t>
        </is>
      </c>
      <c r="M2567" s="2" t="inlineStr">
        <is>
          <t>North Ryde</t>
        </is>
      </c>
      <c r="N2567" s="2" t="inlineStr">
        <is>
          <t>Australia</t>
        </is>
      </c>
      <c r="P2567" s="2" t="inlineStr">
        <is>
          <t>Revenue</t>
        </is>
      </c>
      <c r="Q2567" s="2" t="inlineStr">
        <is>
          <t>Revenue</t>
        </is>
      </c>
      <c r="R2567" s="2" t="inlineStr">
        <is>
          <t>Revenue</t>
        </is>
      </c>
      <c r="S2567" s="2" t="inlineStr">
        <is>
          <t>Downer</t>
        </is>
      </c>
      <c r="T2567" s="2" t="n">
        <v>100</v>
      </c>
      <c r="W2567" s="2" t="inlineStr">
        <is>
          <t>Portfolio</t>
        </is>
      </c>
    </row>
    <row r="2568">
      <c r="A2568" s="2" t="inlineStr">
        <is>
          <t>Downer</t>
        </is>
      </c>
      <c r="B2568" s="2" t="inlineStr">
        <is>
          <t>REV_NZ NSC, IT, Property, WF &amp; Elins</t>
        </is>
      </c>
      <c r="C2568" s="2" t="inlineStr">
        <is>
          <t>Depot</t>
        </is>
      </c>
      <c r="D2568" s="2" t="inlineStr">
        <is>
          <t>L9.DNZJ.9003</t>
        </is>
      </c>
      <c r="E2568" s="2" t="inlineStr">
        <is>
          <t>RNZIPWE</t>
        </is>
      </c>
      <c r="M2568" s="2" t="inlineStr">
        <is>
          <t>North Ryde</t>
        </is>
      </c>
      <c r="N2568" s="2" t="inlineStr">
        <is>
          <t>Australia</t>
        </is>
      </c>
      <c r="P2568" s="2" t="inlineStr">
        <is>
          <t>Operational Control</t>
        </is>
      </c>
      <c r="Q2568" s="2" t="inlineStr">
        <is>
          <t>Operational Control</t>
        </is>
      </c>
      <c r="R2568" s="2" t="inlineStr">
        <is>
          <t>Corporate</t>
        </is>
      </c>
      <c r="S2568" s="2" t="inlineStr">
        <is>
          <t>Downer</t>
        </is>
      </c>
      <c r="T2568" s="2" t="n">
        <v>100</v>
      </c>
      <c r="W2568" s="2" t="inlineStr">
        <is>
          <t>Classification</t>
        </is>
      </c>
    </row>
    <row r="2569">
      <c r="A2569" s="2" t="inlineStr">
        <is>
          <t>Downer</t>
        </is>
      </c>
      <c r="B2569" s="2" t="inlineStr">
        <is>
          <t>REV_NZ NSC, IT, Property, WF &amp; Elins</t>
        </is>
      </c>
      <c r="C2569" s="2" t="inlineStr">
        <is>
          <t>Depot</t>
        </is>
      </c>
      <c r="D2569" s="2" t="inlineStr">
        <is>
          <t>L9.DNZJ.9003</t>
        </is>
      </c>
      <c r="E2569" s="2" t="inlineStr">
        <is>
          <t>RNZIPWE</t>
        </is>
      </c>
      <c r="M2569" s="2" t="inlineStr">
        <is>
          <t>North Ryde</t>
        </is>
      </c>
      <c r="N2569" s="2" t="inlineStr">
        <is>
          <t>Australia</t>
        </is>
      </c>
      <c r="P2569" s="2" t="inlineStr">
        <is>
          <t>Revenue</t>
        </is>
      </c>
      <c r="Q2569" s="2" t="inlineStr">
        <is>
          <t>Revenue</t>
        </is>
      </c>
      <c r="R2569" s="2" t="inlineStr">
        <is>
          <t>Revenue</t>
        </is>
      </c>
      <c r="S2569" s="2" t="inlineStr">
        <is>
          <t>Downer</t>
        </is>
      </c>
      <c r="T2569" s="2" t="n">
        <v>100</v>
      </c>
      <c r="W2569" s="2" t="inlineStr">
        <is>
          <t>Portfolio</t>
        </is>
      </c>
    </row>
    <row r="2570">
      <c r="A2570" s="2" t="inlineStr">
        <is>
          <t>Downer</t>
        </is>
      </c>
      <c r="B2570" s="2" t="inlineStr">
        <is>
          <t>REV_Passenger North</t>
        </is>
      </c>
      <c r="C2570" s="2" t="inlineStr">
        <is>
          <t>Other</t>
        </is>
      </c>
      <c r="D2570" s="2" t="inlineStr">
        <is>
          <t>L9.J.709250</t>
        </is>
      </c>
      <c r="E2570" s="2" t="inlineStr">
        <is>
          <t>L9.J.709250</t>
        </is>
      </c>
      <c r="M2570" s="2" t="inlineStr">
        <is>
          <t>North Ryde</t>
        </is>
      </c>
      <c r="N2570" s="2" t="inlineStr">
        <is>
          <t>Australia</t>
        </is>
      </c>
      <c r="P2570" s="2" t="inlineStr">
        <is>
          <t>Operational Control</t>
        </is>
      </c>
      <c r="Q2570" s="2" t="inlineStr">
        <is>
          <t>Operational Control</t>
        </is>
      </c>
      <c r="R2570" s="2" t="inlineStr">
        <is>
          <t>Rail &amp; Transit Systems (RTS)</t>
        </is>
      </c>
      <c r="S2570" s="2" t="inlineStr">
        <is>
          <t>Downer</t>
        </is>
      </c>
      <c r="T2570" s="2" t="n">
        <v>100</v>
      </c>
      <c r="W2570" s="2" t="inlineStr">
        <is>
          <t>Classification</t>
        </is>
      </c>
    </row>
    <row r="2571">
      <c r="A2571" s="2" t="inlineStr">
        <is>
          <t>Downer</t>
        </is>
      </c>
      <c r="B2571" s="2" t="inlineStr">
        <is>
          <t>REV_Passenger North</t>
        </is>
      </c>
      <c r="C2571" s="2" t="inlineStr">
        <is>
          <t>Other</t>
        </is>
      </c>
      <c r="D2571" s="2" t="inlineStr">
        <is>
          <t>L9.J.709250</t>
        </is>
      </c>
      <c r="E2571" s="2" t="inlineStr">
        <is>
          <t>L9.J.709250</t>
        </is>
      </c>
      <c r="M2571" s="2" t="inlineStr">
        <is>
          <t>North Ryde</t>
        </is>
      </c>
      <c r="N2571" s="2" t="inlineStr">
        <is>
          <t>Australia</t>
        </is>
      </c>
      <c r="P2571" s="2" t="inlineStr">
        <is>
          <t>Revenue</t>
        </is>
      </c>
      <c r="Q2571" s="2" t="inlineStr">
        <is>
          <t>Revenue</t>
        </is>
      </c>
      <c r="R2571" s="2" t="inlineStr">
        <is>
          <t>Revenue</t>
        </is>
      </c>
      <c r="S2571" s="2" t="inlineStr">
        <is>
          <t>Downer</t>
        </is>
      </c>
      <c r="T2571" s="2" t="n">
        <v>100</v>
      </c>
      <c r="W2571" s="2" t="inlineStr">
        <is>
          <t>Portfolio</t>
        </is>
      </c>
    </row>
    <row r="2572">
      <c r="A2572" s="2" t="inlineStr">
        <is>
          <t>Downer</t>
        </is>
      </c>
      <c r="B2572" s="2" t="inlineStr">
        <is>
          <t>REV_Passenger South</t>
        </is>
      </c>
      <c r="C2572" s="2" t="inlineStr">
        <is>
          <t>Other</t>
        </is>
      </c>
      <c r="D2572" s="2" t="inlineStr">
        <is>
          <t>L9.J.709506</t>
        </is>
      </c>
      <c r="E2572" s="2" t="inlineStr">
        <is>
          <t>L9.J.709506</t>
        </is>
      </c>
      <c r="M2572" s="2" t="inlineStr">
        <is>
          <t>North Ryde</t>
        </is>
      </c>
      <c r="N2572" s="2" t="inlineStr">
        <is>
          <t>Australia</t>
        </is>
      </c>
      <c r="P2572" s="2" t="inlineStr">
        <is>
          <t>Operational Control</t>
        </is>
      </c>
      <c r="Q2572" s="2" t="inlineStr">
        <is>
          <t>Operational Control</t>
        </is>
      </c>
      <c r="R2572" s="2" t="inlineStr">
        <is>
          <t>Rail &amp; Transit Systems (RTS)</t>
        </is>
      </c>
      <c r="S2572" s="2" t="inlineStr">
        <is>
          <t>Downer</t>
        </is>
      </c>
      <c r="T2572" s="2" t="n">
        <v>100</v>
      </c>
      <c r="W2572" s="2" t="inlineStr">
        <is>
          <t>Classification</t>
        </is>
      </c>
    </row>
    <row r="2573">
      <c r="A2573" s="2" t="inlineStr">
        <is>
          <t>Downer</t>
        </is>
      </c>
      <c r="B2573" s="2" t="inlineStr">
        <is>
          <t>REV_Passenger South</t>
        </is>
      </c>
      <c r="C2573" s="2" t="inlineStr">
        <is>
          <t>Other</t>
        </is>
      </c>
      <c r="D2573" s="2" t="inlineStr">
        <is>
          <t>L9.J.709506</t>
        </is>
      </c>
      <c r="E2573" s="2" t="inlineStr">
        <is>
          <t>L9.J.709506</t>
        </is>
      </c>
      <c r="M2573" s="2" t="inlineStr">
        <is>
          <t>North Ryde</t>
        </is>
      </c>
      <c r="N2573" s="2" t="inlineStr">
        <is>
          <t>Australia</t>
        </is>
      </c>
      <c r="P2573" s="2" t="inlineStr">
        <is>
          <t>Revenue</t>
        </is>
      </c>
      <c r="Q2573" s="2" t="inlineStr">
        <is>
          <t>Revenue</t>
        </is>
      </c>
      <c r="R2573" s="2" t="inlineStr">
        <is>
          <t>Revenue</t>
        </is>
      </c>
      <c r="S2573" s="2" t="inlineStr">
        <is>
          <t>Downer</t>
        </is>
      </c>
      <c r="T2573" s="2" t="n">
        <v>100</v>
      </c>
      <c r="W2573" s="2" t="inlineStr">
        <is>
          <t>Portfolio</t>
        </is>
      </c>
    </row>
    <row r="2574">
      <c r="A2574" s="2" t="inlineStr">
        <is>
          <t>Downer</t>
        </is>
      </c>
      <c r="B2574" s="2" t="inlineStr">
        <is>
          <t>REV_Power Projects</t>
        </is>
      </c>
      <c r="C2574" s="2" t="inlineStr">
        <is>
          <t>Depot</t>
        </is>
      </c>
      <c r="D2574" s="2" t="inlineStr">
        <is>
          <t>L9.J.240116</t>
        </is>
      </c>
      <c r="E2574" s="2" t="inlineStr">
        <is>
          <t>RPP</t>
        </is>
      </c>
      <c r="M2574" s="2" t="inlineStr">
        <is>
          <t>North Ryde</t>
        </is>
      </c>
      <c r="N2574" s="2" t="inlineStr">
        <is>
          <t>Australia</t>
        </is>
      </c>
      <c r="P2574" s="2" t="inlineStr">
        <is>
          <t>Operational Control</t>
        </is>
      </c>
      <c r="Q2574" s="2" t="inlineStr">
        <is>
          <t>Operational Control</t>
        </is>
      </c>
      <c r="R2574" s="2" t="inlineStr">
        <is>
          <t>Energy and Utilities (EU)</t>
        </is>
      </c>
      <c r="S2574" s="2" t="inlineStr">
        <is>
          <t>Downer</t>
        </is>
      </c>
      <c r="T2574" s="2" t="n">
        <v>100</v>
      </c>
      <c r="W2574" s="2" t="inlineStr">
        <is>
          <t>Classification</t>
        </is>
      </c>
    </row>
    <row r="2575">
      <c r="A2575" s="2" t="inlineStr">
        <is>
          <t>Downer</t>
        </is>
      </c>
      <c r="B2575" s="2" t="inlineStr">
        <is>
          <t>REV_Power Projects</t>
        </is>
      </c>
      <c r="C2575" s="2" t="inlineStr">
        <is>
          <t>Depot</t>
        </is>
      </c>
      <c r="D2575" s="2" t="inlineStr">
        <is>
          <t>L9.J.240116</t>
        </is>
      </c>
      <c r="E2575" s="2" t="inlineStr">
        <is>
          <t>RPP</t>
        </is>
      </c>
      <c r="M2575" s="2" t="inlineStr">
        <is>
          <t>North Ryde</t>
        </is>
      </c>
      <c r="N2575" s="2" t="inlineStr">
        <is>
          <t>Australia</t>
        </is>
      </c>
      <c r="P2575" s="2" t="inlineStr">
        <is>
          <t>Revenue</t>
        </is>
      </c>
      <c r="Q2575" s="2" t="inlineStr">
        <is>
          <t>Revenue</t>
        </is>
      </c>
      <c r="R2575" s="2" t="inlineStr">
        <is>
          <t>Revenue</t>
        </is>
      </c>
      <c r="S2575" s="2" t="inlineStr">
        <is>
          <t>Downer</t>
        </is>
      </c>
      <c r="T2575" s="2" t="n">
        <v>100</v>
      </c>
      <c r="W2575" s="2" t="inlineStr">
        <is>
          <t>Portfolio</t>
        </is>
      </c>
    </row>
    <row r="2576">
      <c r="A2576" s="2" t="inlineStr">
        <is>
          <t>Downer</t>
        </is>
      </c>
      <c r="B2576" s="2" t="inlineStr">
        <is>
          <t>REV_Precinct Upgrade &amp; New Energy</t>
        </is>
      </c>
      <c r="C2576" s="2" t="inlineStr">
        <is>
          <t>Branch</t>
        </is>
      </c>
      <c r="D2576" s="2" t="inlineStr">
        <is>
          <t>L9.J.234249</t>
        </is>
      </c>
      <c r="E2576" s="2" t="inlineStr">
        <is>
          <t>SICSPUNE</t>
        </is>
      </c>
      <c r="M2576" s="2" t="inlineStr">
        <is>
          <t>North Ryde</t>
        </is>
      </c>
      <c r="N2576" s="2" t="inlineStr">
        <is>
          <t>Australia</t>
        </is>
      </c>
      <c r="P2576" s="2" t="inlineStr">
        <is>
          <t>Operational Control</t>
        </is>
      </c>
      <c r="Q2576" s="2" t="inlineStr">
        <is>
          <t>Operational Control</t>
        </is>
      </c>
      <c r="R2576" s="2" t="inlineStr">
        <is>
          <t>Social Infra &amp; Citizen Serv (SICS)</t>
        </is>
      </c>
      <c r="S2576" s="2" t="inlineStr">
        <is>
          <t>Downer</t>
        </is>
      </c>
      <c r="T2576" s="2" t="n">
        <v>100</v>
      </c>
      <c r="W2576" s="2" t="inlineStr">
        <is>
          <t>Classification</t>
        </is>
      </c>
    </row>
    <row r="2577">
      <c r="A2577" s="2" t="inlineStr">
        <is>
          <t>Downer</t>
        </is>
      </c>
      <c r="B2577" s="2" t="inlineStr">
        <is>
          <t>REV_Precinct Upgrade &amp; New Energy</t>
        </is>
      </c>
      <c r="C2577" s="2" t="inlineStr">
        <is>
          <t>Branch</t>
        </is>
      </c>
      <c r="D2577" s="2" t="inlineStr">
        <is>
          <t>L9.J.234249</t>
        </is>
      </c>
      <c r="E2577" s="2" t="inlineStr">
        <is>
          <t>SICSPUNE</t>
        </is>
      </c>
      <c r="M2577" s="2" t="inlineStr">
        <is>
          <t>North Ryde</t>
        </is>
      </c>
      <c r="N2577" s="2" t="inlineStr">
        <is>
          <t>Australia</t>
        </is>
      </c>
      <c r="P2577" s="2" t="inlineStr">
        <is>
          <t>Revenue</t>
        </is>
      </c>
      <c r="Q2577" s="2" t="inlineStr">
        <is>
          <t>Revenue</t>
        </is>
      </c>
      <c r="R2577" s="2" t="inlineStr">
        <is>
          <t>Revenue</t>
        </is>
      </c>
      <c r="S2577" s="2" t="inlineStr">
        <is>
          <t>Downer</t>
        </is>
      </c>
      <c r="T2577" s="2" t="n">
        <v>100</v>
      </c>
      <c r="W2577" s="2" t="inlineStr">
        <is>
          <t>Portfolio</t>
        </is>
      </c>
    </row>
    <row r="2578">
      <c r="A2578" s="2" t="inlineStr">
        <is>
          <t>Downer</t>
        </is>
      </c>
      <c r="B2578" s="2" t="inlineStr">
        <is>
          <t>REV_Rail Services Victoria Pty Ltd</t>
        </is>
      </c>
      <c r="C2578" s="2" t="inlineStr">
        <is>
          <t>Branch</t>
        </is>
      </c>
      <c r="D2578" s="2" t="inlineStr">
        <is>
          <t>L9.J.10920022</t>
        </is>
      </c>
      <c r="E2578" s="2" t="inlineStr">
        <is>
          <t>RTSRSV</t>
        </is>
      </c>
      <c r="M2578" s="2" t="inlineStr">
        <is>
          <t>North Ryde</t>
        </is>
      </c>
      <c r="N2578" s="2" t="inlineStr">
        <is>
          <t>Australia</t>
        </is>
      </c>
      <c r="P2578" s="2" t="inlineStr">
        <is>
          <t>Operational Control</t>
        </is>
      </c>
      <c r="Q2578" s="2" t="inlineStr">
        <is>
          <t>Operational Control</t>
        </is>
      </c>
      <c r="R2578" s="2" t="inlineStr">
        <is>
          <t>Rail &amp; Transit Systems (RTS)</t>
        </is>
      </c>
      <c r="S2578" s="2" t="inlineStr">
        <is>
          <t>Downer</t>
        </is>
      </c>
      <c r="T2578" s="2" t="n">
        <v>100</v>
      </c>
      <c r="W2578" s="2" t="inlineStr">
        <is>
          <t>Classification</t>
        </is>
      </c>
    </row>
    <row r="2579">
      <c r="A2579" s="2" t="inlineStr">
        <is>
          <t>Downer</t>
        </is>
      </c>
      <c r="B2579" s="2" t="inlineStr">
        <is>
          <t>REV_Rail Services Victoria Pty Ltd</t>
        </is>
      </c>
      <c r="C2579" s="2" t="inlineStr">
        <is>
          <t>Branch</t>
        </is>
      </c>
      <c r="D2579" s="2" t="inlineStr">
        <is>
          <t>L9.J.10920022</t>
        </is>
      </c>
      <c r="E2579" s="2" t="inlineStr">
        <is>
          <t>RTSRSV</t>
        </is>
      </c>
      <c r="M2579" s="2" t="inlineStr">
        <is>
          <t>North Ryde</t>
        </is>
      </c>
      <c r="N2579" s="2" t="inlineStr">
        <is>
          <t>Australia</t>
        </is>
      </c>
      <c r="P2579" s="2" t="inlineStr">
        <is>
          <t>Revenue</t>
        </is>
      </c>
      <c r="Q2579" s="2" t="inlineStr">
        <is>
          <t>Revenue</t>
        </is>
      </c>
      <c r="R2579" s="2" t="inlineStr">
        <is>
          <t>Revenue</t>
        </is>
      </c>
      <c r="S2579" s="2" t="inlineStr">
        <is>
          <t>Downer</t>
        </is>
      </c>
      <c r="T2579" s="2" t="n">
        <v>100</v>
      </c>
      <c r="W2579" s="2" t="inlineStr">
        <is>
          <t>Portfolio</t>
        </is>
      </c>
    </row>
    <row r="2580">
      <c r="A2580" s="2" t="inlineStr">
        <is>
          <t>Downer</t>
        </is>
      </c>
      <c r="B2580" s="2" t="inlineStr">
        <is>
          <t>REV_Repurpose IT</t>
        </is>
      </c>
      <c r="C2580" s="2" t="inlineStr">
        <is>
          <t>Branch</t>
        </is>
      </c>
      <c r="D2580" s="2" t="inlineStr">
        <is>
          <t>L9.J.150505</t>
        </is>
      </c>
      <c r="E2580" s="2" t="inlineStr">
        <is>
          <t>TIRIT</t>
        </is>
      </c>
      <c r="M2580" s="2" t="inlineStr">
        <is>
          <t>North Ryde</t>
        </is>
      </c>
      <c r="N2580" s="2" t="inlineStr">
        <is>
          <t>Australia</t>
        </is>
      </c>
      <c r="P2580" s="2" t="inlineStr">
        <is>
          <t>Operational Control</t>
        </is>
      </c>
      <c r="Q2580" s="2" t="inlineStr">
        <is>
          <t>Operational Control</t>
        </is>
      </c>
      <c r="R2580" s="2" t="inlineStr">
        <is>
          <t>Transport &amp; Infrastructure (T&amp;I)</t>
        </is>
      </c>
      <c r="S2580" s="2" t="inlineStr">
        <is>
          <t>Downer</t>
        </is>
      </c>
      <c r="T2580" s="2" t="n">
        <v>100</v>
      </c>
      <c r="W2580" s="2" t="inlineStr">
        <is>
          <t>Classification</t>
        </is>
      </c>
    </row>
    <row r="2581">
      <c r="A2581" s="2" t="inlineStr">
        <is>
          <t>Downer</t>
        </is>
      </c>
      <c r="B2581" s="2" t="inlineStr">
        <is>
          <t>REV_Repurpose IT</t>
        </is>
      </c>
      <c r="C2581" s="2" t="inlineStr">
        <is>
          <t>Branch</t>
        </is>
      </c>
      <c r="D2581" s="2" t="inlineStr">
        <is>
          <t>L9.J.150505</t>
        </is>
      </c>
      <c r="E2581" s="2" t="inlineStr">
        <is>
          <t>TIRIT</t>
        </is>
      </c>
      <c r="M2581" s="2" t="inlineStr">
        <is>
          <t>North Ryde</t>
        </is>
      </c>
      <c r="N2581" s="2" t="inlineStr">
        <is>
          <t>Australia</t>
        </is>
      </c>
      <c r="P2581" s="2" t="inlineStr">
        <is>
          <t>Revenue</t>
        </is>
      </c>
      <c r="Q2581" s="2" t="inlineStr">
        <is>
          <t>Revenue</t>
        </is>
      </c>
      <c r="R2581" s="2" t="inlineStr">
        <is>
          <t>Revenue</t>
        </is>
      </c>
      <c r="S2581" s="2" t="inlineStr">
        <is>
          <t>Downer</t>
        </is>
      </c>
      <c r="T2581" s="2" t="n">
        <v>100</v>
      </c>
      <c r="W2581" s="2" t="inlineStr">
        <is>
          <t>Portfolio</t>
        </is>
      </c>
    </row>
    <row r="2582">
      <c r="A2582" s="2" t="inlineStr">
        <is>
          <t>Downer</t>
        </is>
      </c>
      <c r="B2582" s="2" t="inlineStr">
        <is>
          <t>REV_RTS Digital</t>
        </is>
      </c>
      <c r="C2582" s="2" t="inlineStr">
        <is>
          <t>Branch</t>
        </is>
      </c>
      <c r="D2582" s="2" t="inlineStr">
        <is>
          <t>L9.J.70620001</t>
        </is>
      </c>
      <c r="E2582" s="2" t="inlineStr">
        <is>
          <t>RTSDIG</t>
        </is>
      </c>
      <c r="M2582" s="2" t="inlineStr">
        <is>
          <t>North Ryde</t>
        </is>
      </c>
      <c r="N2582" s="2" t="inlineStr">
        <is>
          <t>Australia</t>
        </is>
      </c>
      <c r="P2582" s="2" t="inlineStr">
        <is>
          <t>Operational Control</t>
        </is>
      </c>
      <c r="Q2582" s="2" t="inlineStr">
        <is>
          <t>Operational Control</t>
        </is>
      </c>
      <c r="R2582" s="2" t="inlineStr">
        <is>
          <t>Rail &amp; Transit Systems (RTS)</t>
        </is>
      </c>
      <c r="S2582" s="2" t="inlineStr">
        <is>
          <t>Downer</t>
        </is>
      </c>
      <c r="T2582" s="2" t="n">
        <v>100</v>
      </c>
      <c r="W2582" s="2" t="inlineStr">
        <is>
          <t>Classification</t>
        </is>
      </c>
    </row>
    <row r="2583">
      <c r="A2583" s="2" t="inlineStr">
        <is>
          <t>Downer</t>
        </is>
      </c>
      <c r="B2583" s="2" t="inlineStr">
        <is>
          <t>REV_RTS Digital</t>
        </is>
      </c>
      <c r="C2583" s="2" t="inlineStr">
        <is>
          <t>Branch</t>
        </is>
      </c>
      <c r="D2583" s="2" t="inlineStr">
        <is>
          <t>L9.J.70620001</t>
        </is>
      </c>
      <c r="E2583" s="2" t="inlineStr">
        <is>
          <t>RTSDIG</t>
        </is>
      </c>
      <c r="M2583" s="2" t="inlineStr">
        <is>
          <t>North Ryde</t>
        </is>
      </c>
      <c r="N2583" s="2" t="inlineStr">
        <is>
          <t>Australia</t>
        </is>
      </c>
      <c r="P2583" s="2" t="inlineStr">
        <is>
          <t>Revenue</t>
        </is>
      </c>
      <c r="Q2583" s="2" t="inlineStr">
        <is>
          <t>Revenue</t>
        </is>
      </c>
      <c r="R2583" s="2" t="inlineStr">
        <is>
          <t>Revenue</t>
        </is>
      </c>
      <c r="S2583" s="2" t="inlineStr">
        <is>
          <t>Downer</t>
        </is>
      </c>
      <c r="T2583" s="2" t="n">
        <v>100</v>
      </c>
      <c r="W2583" s="2" t="inlineStr">
        <is>
          <t>Portfolio</t>
        </is>
      </c>
    </row>
    <row r="2584">
      <c r="A2584" s="2" t="inlineStr">
        <is>
          <t>Downer</t>
        </is>
      </c>
      <c r="B2584" s="2" t="inlineStr">
        <is>
          <t>REV_RTS FREIGHT</t>
        </is>
      </c>
      <c r="C2584" s="2" t="inlineStr">
        <is>
          <t>Branch</t>
        </is>
      </c>
      <c r="D2584" s="2" t="inlineStr">
        <is>
          <t>L9.J.70900047</t>
        </is>
      </c>
      <c r="E2584" s="2" t="inlineStr">
        <is>
          <t>RTSFREI</t>
        </is>
      </c>
      <c r="M2584" s="2" t="inlineStr">
        <is>
          <t>North Ryde</t>
        </is>
      </c>
      <c r="N2584" s="2" t="inlineStr">
        <is>
          <t>Australia</t>
        </is>
      </c>
      <c r="P2584" s="2" t="inlineStr">
        <is>
          <t>Operational Control</t>
        </is>
      </c>
      <c r="Q2584" s="2" t="inlineStr">
        <is>
          <t>Operational Control</t>
        </is>
      </c>
      <c r="R2584" s="2" t="inlineStr">
        <is>
          <t>Rail &amp; Transit Systems (RTS)</t>
        </is>
      </c>
      <c r="S2584" s="2" t="inlineStr">
        <is>
          <t>Downer</t>
        </is>
      </c>
      <c r="T2584" s="2" t="n">
        <v>100</v>
      </c>
      <c r="W2584" s="2" t="inlineStr">
        <is>
          <t>Classification</t>
        </is>
      </c>
    </row>
    <row r="2585">
      <c r="A2585" s="2" t="inlineStr">
        <is>
          <t>Downer</t>
        </is>
      </c>
      <c r="B2585" s="2" t="inlineStr">
        <is>
          <t>REV_RTS FREIGHT</t>
        </is>
      </c>
      <c r="C2585" s="2" t="inlineStr">
        <is>
          <t>Branch</t>
        </is>
      </c>
      <c r="D2585" s="2" t="inlineStr">
        <is>
          <t>L9.J.70900047</t>
        </is>
      </c>
      <c r="E2585" s="2" t="inlineStr">
        <is>
          <t>RTSFREI</t>
        </is>
      </c>
      <c r="M2585" s="2" t="inlineStr">
        <is>
          <t>North Ryde</t>
        </is>
      </c>
      <c r="N2585" s="2" t="inlineStr">
        <is>
          <t>Australia</t>
        </is>
      </c>
      <c r="P2585" s="2" t="inlineStr">
        <is>
          <t>Revenue</t>
        </is>
      </c>
      <c r="Q2585" s="2" t="inlineStr">
        <is>
          <t>Revenue</t>
        </is>
      </c>
      <c r="R2585" s="2" t="inlineStr">
        <is>
          <t>Revenue</t>
        </is>
      </c>
      <c r="S2585" s="2" t="inlineStr">
        <is>
          <t>Downer</t>
        </is>
      </c>
      <c r="T2585" s="2" t="n">
        <v>100</v>
      </c>
      <c r="W2585" s="2" t="inlineStr">
        <is>
          <t>Portfolio</t>
        </is>
      </c>
    </row>
    <row r="2586">
      <c r="A2586" s="2" t="inlineStr">
        <is>
          <t>Downer</t>
        </is>
      </c>
      <c r="B2586" s="2" t="inlineStr">
        <is>
          <t>REV_RTS Head Office</t>
        </is>
      </c>
      <c r="C2586" s="2" t="inlineStr">
        <is>
          <t>Other</t>
        </is>
      </c>
      <c r="D2586" s="2" t="inlineStr">
        <is>
          <t>L9.J.799999</t>
        </is>
      </c>
      <c r="E2586" s="2" t="inlineStr">
        <is>
          <t>L9.J.799999</t>
        </is>
      </c>
      <c r="M2586" s="2" t="inlineStr">
        <is>
          <t>North Ryde</t>
        </is>
      </c>
      <c r="N2586" s="2" t="inlineStr">
        <is>
          <t>Australia</t>
        </is>
      </c>
      <c r="P2586" s="2" t="inlineStr">
        <is>
          <t>Operational Control</t>
        </is>
      </c>
      <c r="Q2586" s="2" t="inlineStr">
        <is>
          <t>Operational Control</t>
        </is>
      </c>
      <c r="R2586" s="2" t="inlineStr">
        <is>
          <t>Rail &amp; Transit Systems (RTS)</t>
        </is>
      </c>
      <c r="S2586" s="2" t="inlineStr">
        <is>
          <t>Downer</t>
        </is>
      </c>
      <c r="T2586" s="2" t="n">
        <v>100</v>
      </c>
      <c r="W2586" s="2" t="inlineStr">
        <is>
          <t>Classification</t>
        </is>
      </c>
    </row>
    <row r="2587">
      <c r="A2587" s="2" t="inlineStr">
        <is>
          <t>Downer</t>
        </is>
      </c>
      <c r="B2587" s="2" t="inlineStr">
        <is>
          <t>REV_RTS Head Office</t>
        </is>
      </c>
      <c r="C2587" s="2" t="inlineStr">
        <is>
          <t>Other</t>
        </is>
      </c>
      <c r="D2587" s="2" t="inlineStr">
        <is>
          <t>L9.J.799999</t>
        </is>
      </c>
      <c r="E2587" s="2" t="inlineStr">
        <is>
          <t>L9.J.799999</t>
        </is>
      </c>
      <c r="M2587" s="2" t="inlineStr">
        <is>
          <t>North Ryde</t>
        </is>
      </c>
      <c r="N2587" s="2" t="inlineStr">
        <is>
          <t>Australia</t>
        </is>
      </c>
      <c r="P2587" s="2" t="inlineStr">
        <is>
          <t>Revenue</t>
        </is>
      </c>
      <c r="Q2587" s="2" t="inlineStr">
        <is>
          <t>Revenue</t>
        </is>
      </c>
      <c r="R2587" s="2" t="inlineStr">
        <is>
          <t>Revenue</t>
        </is>
      </c>
      <c r="S2587" s="2" t="inlineStr">
        <is>
          <t>Downer</t>
        </is>
      </c>
      <c r="T2587" s="2" t="n">
        <v>100</v>
      </c>
      <c r="W2587" s="2" t="inlineStr">
        <is>
          <t>Portfolio</t>
        </is>
      </c>
    </row>
    <row r="2588">
      <c r="A2588" s="2" t="inlineStr">
        <is>
          <t>Downer</t>
        </is>
      </c>
      <c r="B2588" s="2" t="inlineStr">
        <is>
          <t>REV_RTS NSW</t>
        </is>
      </c>
      <c r="C2588" s="2" t="inlineStr">
        <is>
          <t>Branch</t>
        </is>
      </c>
      <c r="D2588" s="2" t="inlineStr">
        <is>
          <t>L9.J.709601</t>
        </is>
      </c>
      <c r="E2588" s="2" t="inlineStr">
        <is>
          <t>RTSNSW</t>
        </is>
      </c>
      <c r="M2588" s="2" t="inlineStr">
        <is>
          <t>North Ryde</t>
        </is>
      </c>
      <c r="N2588" s="2" t="inlineStr">
        <is>
          <t>Australia</t>
        </is>
      </c>
      <c r="P2588" s="2" t="inlineStr">
        <is>
          <t>Operational Control</t>
        </is>
      </c>
      <c r="Q2588" s="2" t="inlineStr">
        <is>
          <t>Operational Control</t>
        </is>
      </c>
      <c r="R2588" s="2" t="inlineStr">
        <is>
          <t>Rail &amp; Transit Systems (RTS)</t>
        </is>
      </c>
      <c r="S2588" s="2" t="inlineStr">
        <is>
          <t>Downer</t>
        </is>
      </c>
      <c r="T2588" s="2" t="n">
        <v>100</v>
      </c>
      <c r="W2588" s="2" t="inlineStr">
        <is>
          <t>Classification</t>
        </is>
      </c>
    </row>
    <row r="2589">
      <c r="A2589" s="2" t="inlineStr">
        <is>
          <t>Downer</t>
        </is>
      </c>
      <c r="B2589" s="2" t="inlineStr">
        <is>
          <t>REV_RTS NSW</t>
        </is>
      </c>
      <c r="C2589" s="2" t="inlineStr">
        <is>
          <t>Branch</t>
        </is>
      </c>
      <c r="D2589" s="2" t="inlineStr">
        <is>
          <t>L9.J.709601</t>
        </is>
      </c>
      <c r="E2589" s="2" t="inlineStr">
        <is>
          <t>RTSNSW</t>
        </is>
      </c>
      <c r="M2589" s="2" t="inlineStr">
        <is>
          <t>North Ryde</t>
        </is>
      </c>
      <c r="N2589" s="2" t="inlineStr">
        <is>
          <t>Australia</t>
        </is>
      </c>
      <c r="P2589" s="2" t="inlineStr">
        <is>
          <t>Revenue</t>
        </is>
      </c>
      <c r="Q2589" s="2" t="inlineStr">
        <is>
          <t>Revenue</t>
        </is>
      </c>
      <c r="R2589" s="2" t="inlineStr">
        <is>
          <t>Revenue</t>
        </is>
      </c>
      <c r="S2589" s="2" t="inlineStr">
        <is>
          <t>Downer</t>
        </is>
      </c>
      <c r="T2589" s="2" t="n">
        <v>100</v>
      </c>
      <c r="W2589" s="2" t="inlineStr">
        <is>
          <t>Portfolio</t>
        </is>
      </c>
    </row>
    <row r="2590">
      <c r="A2590" s="2" t="inlineStr">
        <is>
          <t>Downer</t>
        </is>
      </c>
      <c r="B2590" s="2" t="inlineStr">
        <is>
          <t>REV_RTS Opportunities</t>
        </is>
      </c>
      <c r="C2590" s="2" t="inlineStr">
        <is>
          <t>Branch</t>
        </is>
      </c>
      <c r="D2590" s="2" t="inlineStr">
        <is>
          <t>L9.J.709010</t>
        </is>
      </c>
      <c r="E2590" s="2" t="inlineStr">
        <is>
          <t>RTSOPPS</t>
        </is>
      </c>
      <c r="M2590" s="2" t="inlineStr">
        <is>
          <t>North Ryde</t>
        </is>
      </c>
      <c r="N2590" s="2" t="inlineStr">
        <is>
          <t>Australia</t>
        </is>
      </c>
      <c r="P2590" s="2" t="inlineStr">
        <is>
          <t>Operational Control</t>
        </is>
      </c>
      <c r="Q2590" s="2" t="inlineStr">
        <is>
          <t>Operational Control</t>
        </is>
      </c>
      <c r="R2590" s="2" t="inlineStr">
        <is>
          <t>Rail &amp; Transit Systems (RTS)</t>
        </is>
      </c>
      <c r="S2590" s="2" t="inlineStr">
        <is>
          <t>Downer</t>
        </is>
      </c>
      <c r="T2590" s="2" t="n">
        <v>100</v>
      </c>
      <c r="W2590" s="2" t="inlineStr">
        <is>
          <t>Classification</t>
        </is>
      </c>
    </row>
    <row r="2591">
      <c r="A2591" s="2" t="inlineStr">
        <is>
          <t>Downer</t>
        </is>
      </c>
      <c r="B2591" s="2" t="inlineStr">
        <is>
          <t>REV_RTS Opportunities</t>
        </is>
      </c>
      <c r="C2591" s="2" t="inlineStr">
        <is>
          <t>Branch</t>
        </is>
      </c>
      <c r="D2591" s="2" t="inlineStr">
        <is>
          <t>L9.J.709010</t>
        </is>
      </c>
      <c r="E2591" s="2" t="inlineStr">
        <is>
          <t>RTSOPPS</t>
        </is>
      </c>
      <c r="M2591" s="2" t="inlineStr">
        <is>
          <t>North Ryde</t>
        </is>
      </c>
      <c r="N2591" s="2" t="inlineStr">
        <is>
          <t>Australia</t>
        </is>
      </c>
      <c r="P2591" s="2" t="inlineStr">
        <is>
          <t>Revenue</t>
        </is>
      </c>
      <c r="Q2591" s="2" t="inlineStr">
        <is>
          <t>Revenue</t>
        </is>
      </c>
      <c r="R2591" s="2" t="inlineStr">
        <is>
          <t>Revenue</t>
        </is>
      </c>
      <c r="S2591" s="2" t="inlineStr">
        <is>
          <t>Downer</t>
        </is>
      </c>
      <c r="T2591" s="2" t="n">
        <v>100</v>
      </c>
      <c r="W2591" s="2" t="inlineStr">
        <is>
          <t>Portfolio</t>
        </is>
      </c>
    </row>
    <row r="2592">
      <c r="A2592" s="2" t="inlineStr">
        <is>
          <t>Downer</t>
        </is>
      </c>
      <c r="B2592" s="2" t="inlineStr">
        <is>
          <t>REV_RTS QLD</t>
        </is>
      </c>
      <c r="C2592" s="2" t="inlineStr">
        <is>
          <t>Branch</t>
        </is>
      </c>
      <c r="D2592" s="2" t="inlineStr">
        <is>
          <t>L9.J.709202</t>
        </is>
      </c>
      <c r="E2592" s="2" t="inlineStr">
        <is>
          <t>RTSQLD</t>
        </is>
      </c>
      <c r="M2592" s="2" t="inlineStr">
        <is>
          <t>North Ryde</t>
        </is>
      </c>
      <c r="N2592" s="2" t="inlineStr">
        <is>
          <t>Australia</t>
        </is>
      </c>
      <c r="P2592" s="2" t="inlineStr">
        <is>
          <t>Operational Control</t>
        </is>
      </c>
      <c r="Q2592" s="2" t="inlineStr">
        <is>
          <t>Operational Control</t>
        </is>
      </c>
      <c r="R2592" s="2" t="inlineStr">
        <is>
          <t>Rail &amp; Transit Systems (RTS)</t>
        </is>
      </c>
      <c r="S2592" s="2" t="inlineStr">
        <is>
          <t>Downer</t>
        </is>
      </c>
      <c r="T2592" s="2" t="n">
        <v>100</v>
      </c>
      <c r="W2592" s="2" t="inlineStr">
        <is>
          <t>Classification</t>
        </is>
      </c>
    </row>
    <row r="2593">
      <c r="A2593" s="2" t="inlineStr">
        <is>
          <t>Downer</t>
        </is>
      </c>
      <c r="B2593" s="2" t="inlineStr">
        <is>
          <t>REV_RTS QLD</t>
        </is>
      </c>
      <c r="C2593" s="2" t="inlineStr">
        <is>
          <t>Branch</t>
        </is>
      </c>
      <c r="D2593" s="2" t="inlineStr">
        <is>
          <t>L9.J.709202</t>
        </is>
      </c>
      <c r="E2593" s="2" t="inlineStr">
        <is>
          <t>RTSQLD</t>
        </is>
      </c>
      <c r="M2593" s="2" t="inlineStr">
        <is>
          <t>North Ryde</t>
        </is>
      </c>
      <c r="N2593" s="2" t="inlineStr">
        <is>
          <t>Australia</t>
        </is>
      </c>
      <c r="P2593" s="2" t="inlineStr">
        <is>
          <t>Revenue</t>
        </is>
      </c>
      <c r="Q2593" s="2" t="inlineStr">
        <is>
          <t>Revenue</t>
        </is>
      </c>
      <c r="R2593" s="2" t="inlineStr">
        <is>
          <t>Revenue</t>
        </is>
      </c>
      <c r="S2593" s="2" t="inlineStr">
        <is>
          <t>Downer</t>
        </is>
      </c>
      <c r="T2593" s="2" t="n">
        <v>100</v>
      </c>
      <c r="W2593" s="2" t="inlineStr">
        <is>
          <t>Portfolio</t>
        </is>
      </c>
    </row>
    <row r="2594">
      <c r="A2594" s="2" t="inlineStr">
        <is>
          <t>Downer</t>
        </is>
      </c>
      <c r="B2594" s="2" t="inlineStr">
        <is>
          <t>REV_RTS VIC</t>
        </is>
      </c>
      <c r="C2594" s="2" t="inlineStr">
        <is>
          <t>Branch</t>
        </is>
      </c>
      <c r="D2594" s="2" t="inlineStr">
        <is>
          <t>L9.J.709401</t>
        </is>
      </c>
      <c r="E2594" s="2" t="inlineStr">
        <is>
          <t>RTSVIC</t>
        </is>
      </c>
      <c r="M2594" s="2" t="inlineStr">
        <is>
          <t>North Ryde</t>
        </is>
      </c>
      <c r="N2594" s="2" t="inlineStr">
        <is>
          <t>Australia</t>
        </is>
      </c>
      <c r="P2594" s="2" t="inlineStr">
        <is>
          <t>Operational Control</t>
        </is>
      </c>
      <c r="Q2594" s="2" t="inlineStr">
        <is>
          <t>Operational Control</t>
        </is>
      </c>
      <c r="R2594" s="2" t="inlineStr">
        <is>
          <t>Rail &amp; Transit Systems (RTS)</t>
        </is>
      </c>
      <c r="S2594" s="2" t="inlineStr">
        <is>
          <t>Downer</t>
        </is>
      </c>
      <c r="T2594" s="2" t="n">
        <v>100</v>
      </c>
      <c r="W2594" s="2" t="inlineStr">
        <is>
          <t>Classification</t>
        </is>
      </c>
    </row>
    <row r="2595">
      <c r="A2595" s="2" t="inlineStr">
        <is>
          <t>Downer</t>
        </is>
      </c>
      <c r="B2595" s="2" t="inlineStr">
        <is>
          <t>REV_RTS VIC</t>
        </is>
      </c>
      <c r="C2595" s="2" t="inlineStr">
        <is>
          <t>Branch</t>
        </is>
      </c>
      <c r="D2595" s="2" t="inlineStr">
        <is>
          <t>L9.J.709401</t>
        </is>
      </c>
      <c r="E2595" s="2" t="inlineStr">
        <is>
          <t>RTSVIC</t>
        </is>
      </c>
      <c r="M2595" s="2" t="inlineStr">
        <is>
          <t>North Ryde</t>
        </is>
      </c>
      <c r="N2595" s="2" t="inlineStr">
        <is>
          <t>Australia</t>
        </is>
      </c>
      <c r="P2595" s="2" t="inlineStr">
        <is>
          <t>Revenue</t>
        </is>
      </c>
      <c r="Q2595" s="2" t="inlineStr">
        <is>
          <t>Revenue</t>
        </is>
      </c>
      <c r="R2595" s="2" t="inlineStr">
        <is>
          <t>Revenue</t>
        </is>
      </c>
      <c r="S2595" s="2" t="inlineStr">
        <is>
          <t>Downer</t>
        </is>
      </c>
      <c r="T2595" s="2" t="n">
        <v>100</v>
      </c>
      <c r="W2595" s="2" t="inlineStr">
        <is>
          <t>Portfolio</t>
        </is>
      </c>
    </row>
    <row r="2596">
      <c r="A2596" s="2" t="inlineStr">
        <is>
          <t>Downer</t>
        </is>
      </c>
      <c r="B2596" s="2" t="inlineStr">
        <is>
          <t>REV_RTS WA</t>
        </is>
      </c>
      <c r="C2596" s="2" t="inlineStr">
        <is>
          <t>Branch</t>
        </is>
      </c>
      <c r="D2596" s="2" t="inlineStr">
        <is>
          <t>L9.J.709002</t>
        </is>
      </c>
      <c r="E2596" s="2" t="inlineStr">
        <is>
          <t>RTSRSV</t>
        </is>
      </c>
      <c r="M2596" s="2" t="inlineStr">
        <is>
          <t>North Ryde</t>
        </is>
      </c>
      <c r="N2596" s="2" t="inlineStr">
        <is>
          <t>Australia</t>
        </is>
      </c>
      <c r="P2596" s="2" t="inlineStr">
        <is>
          <t>Operational Control</t>
        </is>
      </c>
      <c r="Q2596" s="2" t="inlineStr">
        <is>
          <t>Operational Control</t>
        </is>
      </c>
      <c r="R2596" s="2" t="inlineStr">
        <is>
          <t>Rail &amp; Transit Systems (RTS)</t>
        </is>
      </c>
      <c r="S2596" s="2" t="inlineStr">
        <is>
          <t>Downer</t>
        </is>
      </c>
      <c r="T2596" s="2" t="n">
        <v>100</v>
      </c>
      <c r="W2596" s="2" t="inlineStr">
        <is>
          <t>Classification</t>
        </is>
      </c>
    </row>
    <row r="2597">
      <c r="A2597" s="2" t="inlineStr">
        <is>
          <t>Downer</t>
        </is>
      </c>
      <c r="B2597" s="2" t="inlineStr">
        <is>
          <t>REV_RTS WA</t>
        </is>
      </c>
      <c r="C2597" s="2" t="inlineStr">
        <is>
          <t>Branch</t>
        </is>
      </c>
      <c r="D2597" s="2" t="inlineStr">
        <is>
          <t>L9.J.709002</t>
        </is>
      </c>
      <c r="E2597" s="2" t="inlineStr">
        <is>
          <t>RTSRSV</t>
        </is>
      </c>
      <c r="M2597" s="2" t="inlineStr">
        <is>
          <t>North Ryde</t>
        </is>
      </c>
      <c r="N2597" s="2" t="inlineStr">
        <is>
          <t>Australia</t>
        </is>
      </c>
      <c r="P2597" s="2" t="inlineStr">
        <is>
          <t>Revenue</t>
        </is>
      </c>
      <c r="Q2597" s="2" t="inlineStr">
        <is>
          <t>Revenue</t>
        </is>
      </c>
      <c r="R2597" s="2" t="inlineStr">
        <is>
          <t>Revenue</t>
        </is>
      </c>
      <c r="S2597" s="2" t="inlineStr">
        <is>
          <t>Downer</t>
        </is>
      </c>
      <c r="T2597" s="2" t="n">
        <v>100</v>
      </c>
      <c r="W2597" s="2" t="inlineStr">
        <is>
          <t>Portfolio</t>
        </is>
      </c>
    </row>
    <row r="2598">
      <c r="A2598" s="2" t="inlineStr">
        <is>
          <t>Downer</t>
        </is>
      </c>
      <c r="B2598" s="2" t="inlineStr">
        <is>
          <t>REV_Social Infrastructure &amp; Citizen Services Sup</t>
        </is>
      </c>
      <c r="C2598" s="2" t="inlineStr">
        <is>
          <t>Branch</t>
        </is>
      </c>
      <c r="D2598" s="2" t="inlineStr">
        <is>
          <t>L9.S.11001200</t>
        </is>
      </c>
      <c r="E2598" s="2" t="inlineStr">
        <is>
          <t>SICSSICSS</t>
        </is>
      </c>
      <c r="M2598" s="2" t="inlineStr">
        <is>
          <t>North Ryde</t>
        </is>
      </c>
      <c r="N2598" s="2" t="inlineStr">
        <is>
          <t>Australia</t>
        </is>
      </c>
      <c r="P2598" s="2" t="inlineStr">
        <is>
          <t>Operational Control</t>
        </is>
      </c>
      <c r="Q2598" s="2" t="inlineStr">
        <is>
          <t>Operational Control</t>
        </is>
      </c>
      <c r="R2598" s="2" t="inlineStr">
        <is>
          <t>Social Infra &amp; Citizen Serv (SICS)</t>
        </is>
      </c>
      <c r="S2598" s="2" t="inlineStr">
        <is>
          <t>Downer</t>
        </is>
      </c>
      <c r="T2598" s="2" t="n">
        <v>100</v>
      </c>
      <c r="W2598" s="2" t="inlineStr">
        <is>
          <t>Classification</t>
        </is>
      </c>
    </row>
    <row r="2599">
      <c r="A2599" s="2" t="inlineStr">
        <is>
          <t>Downer</t>
        </is>
      </c>
      <c r="B2599" s="2" t="inlineStr">
        <is>
          <t>REV_Social Infrastructure &amp; Citizen Services Sup</t>
        </is>
      </c>
      <c r="C2599" s="2" t="inlineStr">
        <is>
          <t>Branch</t>
        </is>
      </c>
      <c r="D2599" s="2" t="inlineStr">
        <is>
          <t>L9.S.11001200</t>
        </is>
      </c>
      <c r="E2599" s="2" t="inlineStr">
        <is>
          <t>SICSSICSS</t>
        </is>
      </c>
      <c r="M2599" s="2" t="inlineStr">
        <is>
          <t>North Ryde</t>
        </is>
      </c>
      <c r="N2599" s="2" t="inlineStr">
        <is>
          <t>Australia</t>
        </is>
      </c>
      <c r="P2599" s="2" t="inlineStr">
        <is>
          <t>Revenue</t>
        </is>
      </c>
      <c r="Q2599" s="2" t="inlineStr">
        <is>
          <t>Revenue</t>
        </is>
      </c>
      <c r="R2599" s="2" t="inlineStr">
        <is>
          <t>Revenue</t>
        </is>
      </c>
      <c r="S2599" s="2" t="inlineStr">
        <is>
          <t>Downer</t>
        </is>
      </c>
      <c r="T2599" s="2" t="n">
        <v>100</v>
      </c>
      <c r="W2599" s="2" t="inlineStr">
        <is>
          <t>Portfolio</t>
        </is>
      </c>
    </row>
    <row r="2600">
      <c r="A2600" s="2" t="inlineStr">
        <is>
          <t>Downer</t>
        </is>
      </c>
      <c r="B2600" s="2" t="inlineStr">
        <is>
          <t>REV_Social Infrastructure &amp; Citizen Services Support</t>
        </is>
      </c>
      <c r="C2600" s="2" t="inlineStr">
        <is>
          <t>Depot</t>
        </is>
      </c>
      <c r="D2600" s="2" t="inlineStr">
        <is>
          <t>L9.S.11001200</t>
        </is>
      </c>
      <c r="E2600" s="2" t="inlineStr">
        <is>
          <t>RSICSS</t>
        </is>
      </c>
      <c r="M2600" s="2" t="inlineStr">
        <is>
          <t>North Ryde</t>
        </is>
      </c>
      <c r="N2600" s="2" t="inlineStr">
        <is>
          <t>Australia</t>
        </is>
      </c>
      <c r="P2600" s="2" t="inlineStr">
        <is>
          <t>Operational Control</t>
        </is>
      </c>
      <c r="Q2600" s="2" t="inlineStr">
        <is>
          <t>Operational Control</t>
        </is>
      </c>
      <c r="R2600" s="2" t="inlineStr">
        <is>
          <t>Social Infra &amp; Citizen Serv (SICS)</t>
        </is>
      </c>
      <c r="S2600" s="2" t="inlineStr">
        <is>
          <t>Downer</t>
        </is>
      </c>
      <c r="T2600" s="2" t="n">
        <v>100</v>
      </c>
      <c r="W2600" s="2" t="inlineStr">
        <is>
          <t>Classification</t>
        </is>
      </c>
    </row>
    <row r="2601">
      <c r="A2601" s="2" t="inlineStr">
        <is>
          <t>Downer</t>
        </is>
      </c>
      <c r="B2601" s="2" t="inlineStr">
        <is>
          <t>REV_Social Infrastructure &amp; Citizen Services Support</t>
        </is>
      </c>
      <c r="C2601" s="2" t="inlineStr">
        <is>
          <t>Depot</t>
        </is>
      </c>
      <c r="D2601" s="2" t="inlineStr">
        <is>
          <t>L9.S.11001200</t>
        </is>
      </c>
      <c r="E2601" s="2" t="inlineStr">
        <is>
          <t>RSICSS</t>
        </is>
      </c>
      <c r="M2601" s="2" t="inlineStr">
        <is>
          <t>North Ryde</t>
        </is>
      </c>
      <c r="N2601" s="2" t="inlineStr">
        <is>
          <t>Australia</t>
        </is>
      </c>
      <c r="P2601" s="2" t="inlineStr">
        <is>
          <t>Revenue</t>
        </is>
      </c>
      <c r="Q2601" s="2" t="inlineStr">
        <is>
          <t>Revenue</t>
        </is>
      </c>
      <c r="R2601" s="2" t="inlineStr">
        <is>
          <t>Revenue</t>
        </is>
      </c>
      <c r="S2601" s="2" t="inlineStr">
        <is>
          <t>Downer</t>
        </is>
      </c>
      <c r="T2601" s="2" t="n">
        <v>100</v>
      </c>
      <c r="W2601" s="2" t="inlineStr">
        <is>
          <t>Portfolio</t>
        </is>
      </c>
    </row>
    <row r="2602">
      <c r="A2602" s="2" t="inlineStr">
        <is>
          <t>Downer</t>
        </is>
      </c>
      <c r="B2602" s="2" t="inlineStr">
        <is>
          <t>REV_T&amp;I Gap</t>
        </is>
      </c>
      <c r="C2602" s="2" t="inlineStr">
        <is>
          <t>Other</t>
        </is>
      </c>
      <c r="D2602" s="2" t="inlineStr">
        <is>
          <t>L9.J.259103</t>
        </is>
      </c>
      <c r="E2602" s="2" t="inlineStr">
        <is>
          <t>L9.J.259103</t>
        </is>
      </c>
      <c r="M2602" s="2" t="inlineStr">
        <is>
          <t>North Ryde</t>
        </is>
      </c>
      <c r="N2602" s="2" t="inlineStr">
        <is>
          <t>Australia</t>
        </is>
      </c>
      <c r="P2602" s="2" t="inlineStr">
        <is>
          <t>Operational Control</t>
        </is>
      </c>
      <c r="Q2602" s="2" t="inlineStr">
        <is>
          <t>Operational Control</t>
        </is>
      </c>
      <c r="R2602" s="2" t="inlineStr">
        <is>
          <t>Transport &amp; Infrastructure (T&amp;I)</t>
        </is>
      </c>
      <c r="S2602" s="2" t="inlineStr">
        <is>
          <t>Downer</t>
        </is>
      </c>
      <c r="T2602" s="2" t="n">
        <v>100</v>
      </c>
      <c r="W2602" s="2" t="inlineStr">
        <is>
          <t>Classification</t>
        </is>
      </c>
    </row>
    <row r="2603">
      <c r="A2603" s="2" t="inlineStr">
        <is>
          <t>Downer</t>
        </is>
      </c>
      <c r="B2603" s="2" t="inlineStr">
        <is>
          <t>REV_T&amp;I Gap</t>
        </is>
      </c>
      <c r="C2603" s="2" t="inlineStr">
        <is>
          <t>Other</t>
        </is>
      </c>
      <c r="D2603" s="2" t="inlineStr">
        <is>
          <t>L9.J.259103</t>
        </is>
      </c>
      <c r="E2603" s="2" t="inlineStr">
        <is>
          <t>L9.J.259103</t>
        </is>
      </c>
      <c r="M2603" s="2" t="inlineStr">
        <is>
          <t>North Ryde</t>
        </is>
      </c>
      <c r="N2603" s="2" t="inlineStr">
        <is>
          <t>Australia</t>
        </is>
      </c>
      <c r="P2603" s="2" t="inlineStr">
        <is>
          <t>Revenue</t>
        </is>
      </c>
      <c r="Q2603" s="2" t="inlineStr">
        <is>
          <t>Revenue</t>
        </is>
      </c>
      <c r="R2603" s="2" t="inlineStr">
        <is>
          <t>Revenue</t>
        </is>
      </c>
      <c r="S2603" s="2" t="inlineStr">
        <is>
          <t>Downer</t>
        </is>
      </c>
      <c r="T2603" s="2" t="n">
        <v>100</v>
      </c>
      <c r="W2603" s="2" t="inlineStr">
        <is>
          <t>Portfolio</t>
        </is>
      </c>
    </row>
    <row r="2604">
      <c r="A2604" s="2" t="inlineStr">
        <is>
          <t>Downer</t>
        </is>
      </c>
      <c r="B2604" s="2" t="inlineStr">
        <is>
          <t>REV_T&amp;I Head Office</t>
        </is>
      </c>
      <c r="C2604" s="2" t="inlineStr">
        <is>
          <t>Branch</t>
        </is>
      </c>
      <c r="D2604" s="2" t="inlineStr">
        <is>
          <t>L9.J.170833</t>
        </is>
      </c>
      <c r="E2604" s="2" t="inlineStr">
        <is>
          <t>TITIHO</t>
        </is>
      </c>
      <c r="M2604" s="2" t="inlineStr">
        <is>
          <t>North Ryde</t>
        </is>
      </c>
      <c r="N2604" s="2" t="inlineStr">
        <is>
          <t>Australia</t>
        </is>
      </c>
      <c r="P2604" s="2" t="inlineStr">
        <is>
          <t>Operational Control</t>
        </is>
      </c>
      <c r="Q2604" s="2" t="inlineStr">
        <is>
          <t>Operational Control</t>
        </is>
      </c>
      <c r="R2604" s="2" t="inlineStr">
        <is>
          <t>Transport &amp; Infrastructure (T&amp;I)</t>
        </is>
      </c>
      <c r="S2604" s="2" t="inlineStr">
        <is>
          <t>Downer</t>
        </is>
      </c>
      <c r="T2604" s="2" t="n">
        <v>100</v>
      </c>
      <c r="W2604" s="2" t="inlineStr">
        <is>
          <t>Classification</t>
        </is>
      </c>
    </row>
    <row r="2605">
      <c r="A2605" s="2" t="inlineStr">
        <is>
          <t>Downer</t>
        </is>
      </c>
      <c r="B2605" s="2" t="inlineStr">
        <is>
          <t>REV_T&amp;I Head Office</t>
        </is>
      </c>
      <c r="C2605" s="2" t="inlineStr">
        <is>
          <t>Branch</t>
        </is>
      </c>
      <c r="D2605" s="2" t="inlineStr">
        <is>
          <t>L9.J.170833</t>
        </is>
      </c>
      <c r="E2605" s="2" t="inlineStr">
        <is>
          <t>TITIHO</t>
        </is>
      </c>
      <c r="M2605" s="2" t="inlineStr">
        <is>
          <t>North Ryde</t>
        </is>
      </c>
      <c r="N2605" s="2" t="inlineStr">
        <is>
          <t>Australia</t>
        </is>
      </c>
      <c r="P2605" s="2" t="inlineStr">
        <is>
          <t>Revenue</t>
        </is>
      </c>
      <c r="Q2605" s="2" t="inlineStr">
        <is>
          <t>Revenue</t>
        </is>
      </c>
      <c r="R2605" s="2" t="inlineStr">
        <is>
          <t>Revenue</t>
        </is>
      </c>
      <c r="S2605" s="2" t="inlineStr">
        <is>
          <t>Downer</t>
        </is>
      </c>
      <c r="T2605" s="2" t="n">
        <v>100</v>
      </c>
      <c r="W2605" s="2" t="inlineStr">
        <is>
          <t>Portfolio</t>
        </is>
      </c>
    </row>
    <row r="2606">
      <c r="A2606" s="2" t="inlineStr">
        <is>
          <t>Downer</t>
        </is>
      </c>
      <c r="B2606" s="2" t="inlineStr">
        <is>
          <t>REV_Telco AU</t>
        </is>
      </c>
      <c r="C2606" s="2" t="inlineStr">
        <is>
          <t>Branch</t>
        </is>
      </c>
      <c r="D2606" s="2" t="inlineStr">
        <is>
          <t>L9.S.TSTELWA00</t>
        </is>
      </c>
      <c r="E2606" s="2" t="inlineStr">
        <is>
          <t>UTLTAU</t>
        </is>
      </c>
      <c r="M2606" s="2" t="inlineStr">
        <is>
          <t>North Ryde</t>
        </is>
      </c>
      <c r="N2606" s="2" t="inlineStr">
        <is>
          <t>Australia</t>
        </is>
      </c>
      <c r="P2606" s="2" t="inlineStr">
        <is>
          <t>Operational Control</t>
        </is>
      </c>
      <c r="Q2606" s="2" t="inlineStr">
        <is>
          <t>Operational Control</t>
        </is>
      </c>
      <c r="R2606" s="2" t="inlineStr">
        <is>
          <t>Energy and Utilities (EU)</t>
        </is>
      </c>
      <c r="S2606" s="2" t="inlineStr">
        <is>
          <t>Downer</t>
        </is>
      </c>
      <c r="T2606" s="2" t="n">
        <v>100</v>
      </c>
      <c r="W2606" s="2" t="inlineStr">
        <is>
          <t>Classification</t>
        </is>
      </c>
    </row>
    <row r="2607">
      <c r="A2607" s="2" t="inlineStr">
        <is>
          <t>Downer</t>
        </is>
      </c>
      <c r="B2607" s="2" t="inlineStr">
        <is>
          <t>REV_Telco AU</t>
        </is>
      </c>
      <c r="C2607" s="2" t="inlineStr">
        <is>
          <t>Branch</t>
        </is>
      </c>
      <c r="D2607" s="2" t="inlineStr">
        <is>
          <t>L9.S.TSTELWA00</t>
        </is>
      </c>
      <c r="E2607" s="2" t="inlineStr">
        <is>
          <t>UTLTAU</t>
        </is>
      </c>
      <c r="M2607" s="2" t="inlineStr">
        <is>
          <t>North Ryde</t>
        </is>
      </c>
      <c r="N2607" s="2" t="inlineStr">
        <is>
          <t>Australia</t>
        </is>
      </c>
      <c r="P2607" s="2" t="inlineStr">
        <is>
          <t>Revenue</t>
        </is>
      </c>
      <c r="Q2607" s="2" t="inlineStr">
        <is>
          <t>Revenue</t>
        </is>
      </c>
      <c r="R2607" s="2" t="inlineStr">
        <is>
          <t>Revenue</t>
        </is>
      </c>
      <c r="S2607" s="2" t="inlineStr">
        <is>
          <t>Downer</t>
        </is>
      </c>
      <c r="T2607" s="2" t="n">
        <v>100</v>
      </c>
      <c r="W2607" s="2" t="inlineStr">
        <is>
          <t>Portfolio</t>
        </is>
      </c>
    </row>
    <row r="2608">
      <c r="A2608" s="2" t="inlineStr">
        <is>
          <t>Downer</t>
        </is>
      </c>
      <c r="B2608" s="2" t="inlineStr">
        <is>
          <t>REV_Telco NZ</t>
        </is>
      </c>
      <c r="C2608" s="2" t="inlineStr">
        <is>
          <t>Branch</t>
        </is>
      </c>
      <c r="D2608" s="2" t="inlineStr">
        <is>
          <t>L9.DNZ.810.10.057</t>
        </is>
      </c>
      <c r="E2608" s="2" t="inlineStr">
        <is>
          <t>UTLTNZ</t>
        </is>
      </c>
      <c r="M2608" s="2" t="inlineStr">
        <is>
          <t>North Ryde</t>
        </is>
      </c>
      <c r="N2608" s="2" t="inlineStr">
        <is>
          <t>Australia</t>
        </is>
      </c>
      <c r="P2608" s="2" t="inlineStr">
        <is>
          <t>Operational Control</t>
        </is>
      </c>
      <c r="Q2608" s="2" t="inlineStr">
        <is>
          <t>Operational Control</t>
        </is>
      </c>
      <c r="R2608" s="2" t="inlineStr">
        <is>
          <t>Energy and Utilities (EU)</t>
        </is>
      </c>
      <c r="S2608" s="2" t="inlineStr">
        <is>
          <t>Downer</t>
        </is>
      </c>
      <c r="T2608" s="2" t="n">
        <v>100</v>
      </c>
      <c r="W2608" s="2" t="inlineStr">
        <is>
          <t>Classification</t>
        </is>
      </c>
    </row>
    <row r="2609">
      <c r="A2609" s="2" t="inlineStr">
        <is>
          <t>Downer</t>
        </is>
      </c>
      <c r="B2609" s="2" t="inlineStr">
        <is>
          <t>REV_Telco NZ</t>
        </is>
      </c>
      <c r="C2609" s="2" t="inlineStr">
        <is>
          <t>Branch</t>
        </is>
      </c>
      <c r="D2609" s="2" t="inlineStr">
        <is>
          <t>L9.DNZ.810.10.057</t>
        </is>
      </c>
      <c r="E2609" s="2" t="inlineStr">
        <is>
          <t>UTLTNZ</t>
        </is>
      </c>
      <c r="M2609" s="2" t="inlineStr">
        <is>
          <t>North Ryde</t>
        </is>
      </c>
      <c r="N2609" s="2" t="inlineStr">
        <is>
          <t>Australia</t>
        </is>
      </c>
      <c r="P2609" s="2" t="inlineStr">
        <is>
          <t>Revenue</t>
        </is>
      </c>
      <c r="Q2609" s="2" t="inlineStr">
        <is>
          <t>Revenue</t>
        </is>
      </c>
      <c r="R2609" s="2" t="inlineStr">
        <is>
          <t>Revenue</t>
        </is>
      </c>
      <c r="S2609" s="2" t="inlineStr">
        <is>
          <t>Downer</t>
        </is>
      </c>
      <c r="T2609" s="2" t="n">
        <v>100</v>
      </c>
      <c r="W2609" s="2" t="inlineStr">
        <is>
          <t>Portfolio</t>
        </is>
      </c>
    </row>
    <row r="2610">
      <c r="A2610" s="2" t="inlineStr">
        <is>
          <t>Downer</t>
        </is>
      </c>
      <c r="B2610" s="2" t="inlineStr">
        <is>
          <t>REV_Telecommunications</t>
        </is>
      </c>
      <c r="C2610" s="2" t="inlineStr">
        <is>
          <t>Other</t>
        </is>
      </c>
      <c r="D2610" s="2" t="inlineStr">
        <is>
          <t>L9.DNZJ.56900</t>
        </is>
      </c>
      <c r="E2610" s="2" t="inlineStr">
        <is>
          <t>L9.DNZJ.56900</t>
        </is>
      </c>
      <c r="M2610" s="2" t="inlineStr">
        <is>
          <t>North Ryde</t>
        </is>
      </c>
      <c r="N2610" s="2" t="inlineStr">
        <is>
          <t>Australia</t>
        </is>
      </c>
      <c r="P2610" s="2" t="inlineStr">
        <is>
          <t>Operational Control</t>
        </is>
      </c>
      <c r="Q2610" s="2" t="inlineStr">
        <is>
          <t>Operational Control</t>
        </is>
      </c>
      <c r="R2610" s="2" t="inlineStr">
        <is>
          <t>Energy and Utilities (EU)</t>
        </is>
      </c>
      <c r="S2610" s="2" t="inlineStr">
        <is>
          <t>Downer</t>
        </is>
      </c>
      <c r="T2610" s="2" t="n">
        <v>100</v>
      </c>
      <c r="W2610" s="2" t="inlineStr">
        <is>
          <t>Classification</t>
        </is>
      </c>
    </row>
    <row r="2611">
      <c r="A2611" s="2" t="inlineStr">
        <is>
          <t>Downer</t>
        </is>
      </c>
      <c r="B2611" s="2" t="inlineStr">
        <is>
          <t>REV_Telecommunications</t>
        </is>
      </c>
      <c r="C2611" s="2" t="inlineStr">
        <is>
          <t>Other</t>
        </is>
      </c>
      <c r="D2611" s="2" t="inlineStr">
        <is>
          <t>L9.DNZJ.56900</t>
        </is>
      </c>
      <c r="E2611" s="2" t="inlineStr">
        <is>
          <t>L9.DNZJ.56900</t>
        </is>
      </c>
      <c r="M2611" s="2" t="inlineStr">
        <is>
          <t>North Ryde</t>
        </is>
      </c>
      <c r="N2611" s="2" t="inlineStr">
        <is>
          <t>Australia</t>
        </is>
      </c>
      <c r="P2611" s="2" t="inlineStr">
        <is>
          <t>Revenue</t>
        </is>
      </c>
      <c r="Q2611" s="2" t="inlineStr">
        <is>
          <t>Revenue</t>
        </is>
      </c>
      <c r="R2611" s="2" t="inlineStr">
        <is>
          <t>Revenue</t>
        </is>
      </c>
      <c r="S2611" s="2" t="inlineStr">
        <is>
          <t>Downer</t>
        </is>
      </c>
      <c r="T2611" s="2" t="n">
        <v>100</v>
      </c>
      <c r="W2611" s="2" t="inlineStr">
        <is>
          <t>Portfolio</t>
        </is>
      </c>
    </row>
    <row r="2612">
      <c r="A2612" s="2" t="inlineStr">
        <is>
          <t>Downer</t>
        </is>
      </c>
      <c r="B2612" s="2" t="inlineStr">
        <is>
          <t>REV_Telecommunications &amp; Networks</t>
        </is>
      </c>
      <c r="C2612" s="2" t="inlineStr">
        <is>
          <t>Other</t>
        </is>
      </c>
      <c r="D2612" s="2" t="inlineStr">
        <is>
          <t>L9.J.234</t>
        </is>
      </c>
      <c r="E2612" s="2" t="inlineStr">
        <is>
          <t>L9.J.234</t>
        </is>
      </c>
      <c r="M2612" s="2" t="inlineStr">
        <is>
          <t>North Ryde</t>
        </is>
      </c>
      <c r="N2612" s="2" t="inlineStr">
        <is>
          <t>Australia</t>
        </is>
      </c>
      <c r="P2612" s="2" t="inlineStr">
        <is>
          <t>Operational Control</t>
        </is>
      </c>
      <c r="Q2612" s="2" t="inlineStr">
        <is>
          <t>Operational Control</t>
        </is>
      </c>
      <c r="R2612" s="2" t="inlineStr">
        <is>
          <t>Energy and Utilities (EU)</t>
        </is>
      </c>
      <c r="S2612" s="2" t="inlineStr">
        <is>
          <t>Downer</t>
        </is>
      </c>
      <c r="T2612" s="2" t="n">
        <v>100</v>
      </c>
      <c r="W2612" s="2" t="inlineStr">
        <is>
          <t>Classification</t>
        </is>
      </c>
    </row>
    <row r="2613">
      <c r="A2613" s="2" t="inlineStr">
        <is>
          <t>Downer</t>
        </is>
      </c>
      <c r="B2613" s="2" t="inlineStr">
        <is>
          <t>REV_Transport &amp; Infrastructure AU</t>
        </is>
      </c>
      <c r="C2613" s="2" t="inlineStr">
        <is>
          <t>Other</t>
        </is>
      </c>
      <c r="D2613" s="2" t="inlineStr">
        <is>
          <t>L9.J.170615</t>
        </is>
      </c>
      <c r="E2613" s="2" t="inlineStr">
        <is>
          <t>L9.J.170615</t>
        </is>
      </c>
      <c r="M2613" s="2" t="inlineStr">
        <is>
          <t>North Ryde</t>
        </is>
      </c>
      <c r="N2613" s="2" t="inlineStr">
        <is>
          <t>Australia</t>
        </is>
      </c>
      <c r="P2613" s="2" t="inlineStr">
        <is>
          <t>Operational Control</t>
        </is>
      </c>
      <c r="Q2613" s="2" t="inlineStr">
        <is>
          <t>Operational Control</t>
        </is>
      </c>
      <c r="R2613" s="2" t="inlineStr">
        <is>
          <t>Transport &amp; Infrastructure (T&amp;I)</t>
        </is>
      </c>
      <c r="S2613" s="2" t="inlineStr">
        <is>
          <t>Downer</t>
        </is>
      </c>
      <c r="T2613" s="2" t="n">
        <v>100</v>
      </c>
      <c r="W2613" s="2" t="inlineStr">
        <is>
          <t>Classification</t>
        </is>
      </c>
    </row>
    <row r="2614">
      <c r="A2614" s="2" t="inlineStr">
        <is>
          <t>Downer</t>
        </is>
      </c>
      <c r="B2614" s="2" t="inlineStr">
        <is>
          <t>REV_Transport &amp; Infrastructure AU</t>
        </is>
      </c>
      <c r="C2614" s="2" t="inlineStr">
        <is>
          <t>Other</t>
        </is>
      </c>
      <c r="D2614" s="2" t="inlineStr">
        <is>
          <t>L9.J.170615</t>
        </is>
      </c>
      <c r="E2614" s="2" t="inlineStr">
        <is>
          <t>L9.J.170615</t>
        </is>
      </c>
      <c r="M2614" s="2" t="inlineStr">
        <is>
          <t>North Ryde</t>
        </is>
      </c>
      <c r="N2614" s="2" t="inlineStr">
        <is>
          <t>Australia</t>
        </is>
      </c>
      <c r="P2614" s="2" t="inlineStr">
        <is>
          <t>Revenue</t>
        </is>
      </c>
      <c r="Q2614" s="2" t="inlineStr">
        <is>
          <t>Revenue</t>
        </is>
      </c>
      <c r="R2614" s="2" t="inlineStr">
        <is>
          <t>Revenue</t>
        </is>
      </c>
      <c r="S2614" s="2" t="inlineStr">
        <is>
          <t>Downer</t>
        </is>
      </c>
      <c r="T2614" s="2" t="n">
        <v>100</v>
      </c>
      <c r="W2614" s="2" t="inlineStr">
        <is>
          <t>Portfolio</t>
        </is>
      </c>
    </row>
    <row r="2615">
      <c r="A2615" s="2" t="inlineStr">
        <is>
          <t>Downer</t>
        </is>
      </c>
      <c r="B2615" s="2" t="inlineStr">
        <is>
          <t>REV_Transport &amp; Infrastructure NZ</t>
        </is>
      </c>
      <c r="C2615" s="2" t="inlineStr">
        <is>
          <t>Other</t>
        </is>
      </c>
      <c r="D2615" s="2" t="inlineStr">
        <is>
          <t>L9.DNZJ.8134</t>
        </is>
      </c>
      <c r="E2615" s="2" t="inlineStr">
        <is>
          <t>L9.DNZJ.8134</t>
        </is>
      </c>
      <c r="M2615" s="2" t="inlineStr">
        <is>
          <t>North Ryde</t>
        </is>
      </c>
      <c r="N2615" s="2" t="inlineStr">
        <is>
          <t>Australia</t>
        </is>
      </c>
      <c r="P2615" s="2" t="inlineStr">
        <is>
          <t>Operational Control</t>
        </is>
      </c>
      <c r="Q2615" s="2" t="inlineStr">
        <is>
          <t>Operational Control</t>
        </is>
      </c>
      <c r="R2615" s="2" t="inlineStr">
        <is>
          <t>Transport &amp; Infrastructure (T&amp;I)</t>
        </is>
      </c>
      <c r="S2615" s="2" t="inlineStr">
        <is>
          <t>Downer</t>
        </is>
      </c>
      <c r="T2615" s="2" t="n">
        <v>100</v>
      </c>
      <c r="W2615" s="2" t="inlineStr">
        <is>
          <t>Classification</t>
        </is>
      </c>
    </row>
    <row r="2616">
      <c r="A2616" s="2" t="inlineStr">
        <is>
          <t>Downer</t>
        </is>
      </c>
      <c r="B2616" s="2" t="inlineStr">
        <is>
          <t>REV_Transport &amp; Infrastructure NZ</t>
        </is>
      </c>
      <c r="C2616" s="2" t="inlineStr">
        <is>
          <t>Other</t>
        </is>
      </c>
      <c r="D2616" s="2" t="inlineStr">
        <is>
          <t>L9.DNZJ.8134</t>
        </is>
      </c>
      <c r="E2616" s="2" t="inlineStr">
        <is>
          <t>L9.DNZJ.8134</t>
        </is>
      </c>
      <c r="M2616" s="2" t="inlineStr">
        <is>
          <t>North Ryde</t>
        </is>
      </c>
      <c r="N2616" s="2" t="inlineStr">
        <is>
          <t>Australia</t>
        </is>
      </c>
      <c r="P2616" s="2" t="inlineStr">
        <is>
          <t>Revenue</t>
        </is>
      </c>
      <c r="Q2616" s="2" t="inlineStr">
        <is>
          <t>Revenue</t>
        </is>
      </c>
      <c r="R2616" s="2" t="inlineStr">
        <is>
          <t>Revenue</t>
        </is>
      </c>
      <c r="S2616" s="2" t="inlineStr">
        <is>
          <t>Downer</t>
        </is>
      </c>
      <c r="T2616" s="2" t="n">
        <v>100</v>
      </c>
      <c r="W2616" s="2" t="inlineStr">
        <is>
          <t>Portfolio</t>
        </is>
      </c>
    </row>
    <row r="2617">
      <c r="A2617" s="2" t="inlineStr">
        <is>
          <t>Downer</t>
        </is>
      </c>
      <c r="B2617" s="2" t="inlineStr">
        <is>
          <t>REV_Utilites Gap</t>
        </is>
      </c>
      <c r="C2617" s="2" t="inlineStr">
        <is>
          <t>Depot</t>
        </is>
      </c>
      <c r="D2617" s="2" t="inlineStr">
        <is>
          <t>L9.J.24110010</t>
        </is>
      </c>
      <c r="E2617" s="2" t="inlineStr">
        <is>
          <t>RUG</t>
        </is>
      </c>
      <c r="M2617" s="2" t="inlineStr">
        <is>
          <t>North Ryde</t>
        </is>
      </c>
      <c r="N2617" s="2" t="inlineStr">
        <is>
          <t>Australia</t>
        </is>
      </c>
      <c r="P2617" s="2" t="inlineStr">
        <is>
          <t>Operational Control</t>
        </is>
      </c>
      <c r="Q2617" s="2" t="inlineStr">
        <is>
          <t>Operational Control</t>
        </is>
      </c>
      <c r="R2617" s="2" t="inlineStr">
        <is>
          <t>Energy and Utilities (EU)</t>
        </is>
      </c>
      <c r="S2617" s="2" t="inlineStr">
        <is>
          <t>Downer</t>
        </is>
      </c>
      <c r="T2617" s="2" t="n">
        <v>100</v>
      </c>
      <c r="W2617" s="2" t="inlineStr">
        <is>
          <t>Classification</t>
        </is>
      </c>
    </row>
    <row r="2618">
      <c r="A2618" s="2" t="inlineStr">
        <is>
          <t>Downer</t>
        </is>
      </c>
      <c r="B2618" s="2" t="inlineStr">
        <is>
          <t>REV_Utilites Gap</t>
        </is>
      </c>
      <c r="C2618" s="2" t="inlineStr">
        <is>
          <t>Depot</t>
        </is>
      </c>
      <c r="D2618" s="2" t="inlineStr">
        <is>
          <t>L9.J.24110010</t>
        </is>
      </c>
      <c r="E2618" s="2" t="inlineStr">
        <is>
          <t>RUG</t>
        </is>
      </c>
      <c r="M2618" s="2" t="inlineStr">
        <is>
          <t>North Ryde</t>
        </is>
      </c>
      <c r="N2618" s="2" t="inlineStr">
        <is>
          <t>Australia</t>
        </is>
      </c>
      <c r="P2618" s="2" t="inlineStr">
        <is>
          <t>Revenue</t>
        </is>
      </c>
      <c r="Q2618" s="2" t="inlineStr">
        <is>
          <t>Revenue</t>
        </is>
      </c>
      <c r="R2618" s="2" t="inlineStr">
        <is>
          <t>Revenue</t>
        </is>
      </c>
      <c r="S2618" s="2" t="inlineStr">
        <is>
          <t>Downer</t>
        </is>
      </c>
      <c r="T2618" s="2" t="n">
        <v>100</v>
      </c>
      <c r="W2618" s="2" t="inlineStr">
        <is>
          <t>Portfolio</t>
        </is>
      </c>
    </row>
    <row r="2619">
      <c r="A2619" s="2" t="inlineStr">
        <is>
          <t>Downer</t>
        </is>
      </c>
      <c r="B2619" s="2" t="inlineStr">
        <is>
          <t>REV_Utilities Gap</t>
        </is>
      </c>
      <c r="C2619" s="2" t="inlineStr">
        <is>
          <t>Branch</t>
        </is>
      </c>
      <c r="D2619" s="2" t="inlineStr">
        <is>
          <t>L9.J.24110010</t>
        </is>
      </c>
      <c r="E2619" s="2" t="inlineStr">
        <is>
          <t>UTLGAP</t>
        </is>
      </c>
      <c r="M2619" s="2" t="inlineStr">
        <is>
          <t>North Ryde</t>
        </is>
      </c>
      <c r="N2619" s="2" t="inlineStr">
        <is>
          <t>Australia</t>
        </is>
      </c>
      <c r="P2619" s="2" t="inlineStr">
        <is>
          <t>Operational Control</t>
        </is>
      </c>
      <c r="Q2619" s="2" t="inlineStr">
        <is>
          <t>Operational Control</t>
        </is>
      </c>
      <c r="R2619" s="2" t="inlineStr">
        <is>
          <t>Energy and Utilities (EU)</t>
        </is>
      </c>
      <c r="S2619" s="2" t="inlineStr">
        <is>
          <t>Downer</t>
        </is>
      </c>
      <c r="T2619" s="2" t="n">
        <v>100</v>
      </c>
      <c r="W2619" s="2" t="inlineStr">
        <is>
          <t>Classification</t>
        </is>
      </c>
    </row>
    <row r="2620">
      <c r="A2620" s="2" t="inlineStr">
        <is>
          <t>Downer</t>
        </is>
      </c>
      <c r="B2620" s="2" t="inlineStr">
        <is>
          <t>REV_Utilities Gap</t>
        </is>
      </c>
      <c r="C2620" s="2" t="inlineStr">
        <is>
          <t>Branch</t>
        </is>
      </c>
      <c r="D2620" s="2" t="inlineStr">
        <is>
          <t>L9.J.24110010</t>
        </is>
      </c>
      <c r="E2620" s="2" t="inlineStr">
        <is>
          <t>UTLGAP</t>
        </is>
      </c>
      <c r="M2620" s="2" t="inlineStr">
        <is>
          <t>North Ryde</t>
        </is>
      </c>
      <c r="N2620" s="2" t="inlineStr">
        <is>
          <t>Australia</t>
        </is>
      </c>
      <c r="P2620" s="2" t="inlineStr">
        <is>
          <t>Revenue</t>
        </is>
      </c>
      <c r="Q2620" s="2" t="inlineStr">
        <is>
          <t>Revenue</t>
        </is>
      </c>
      <c r="R2620" s="2" t="inlineStr">
        <is>
          <t>Revenue</t>
        </is>
      </c>
      <c r="S2620" s="2" t="inlineStr">
        <is>
          <t>Downer</t>
        </is>
      </c>
      <c r="T2620" s="2" t="n">
        <v>100</v>
      </c>
      <c r="W2620" s="2" t="inlineStr">
        <is>
          <t>Portfolio</t>
        </is>
      </c>
    </row>
    <row r="2621">
      <c r="A2621" s="2" t="inlineStr">
        <is>
          <t>Downer</t>
        </is>
      </c>
      <c r="B2621" s="2" t="inlineStr">
        <is>
          <t>REV_Utilities Legacy &amp; Other</t>
        </is>
      </c>
      <c r="C2621" s="2" t="inlineStr">
        <is>
          <t>Branch</t>
        </is>
      </c>
      <c r="D2621" s="2" t="inlineStr">
        <is>
          <t>L9.J.241120</t>
        </is>
      </c>
      <c r="E2621" s="2" t="inlineStr">
        <is>
          <t>UTLLEGO</t>
        </is>
      </c>
      <c r="M2621" s="2" t="inlineStr">
        <is>
          <t>North Ryde</t>
        </is>
      </c>
      <c r="N2621" s="2" t="inlineStr">
        <is>
          <t>Australia</t>
        </is>
      </c>
      <c r="P2621" s="2" t="inlineStr">
        <is>
          <t>Operational Control</t>
        </is>
      </c>
      <c r="Q2621" s="2" t="inlineStr">
        <is>
          <t>Operational Control</t>
        </is>
      </c>
      <c r="R2621" s="2" t="inlineStr">
        <is>
          <t>Energy and Utilities (EU)</t>
        </is>
      </c>
      <c r="S2621" s="2" t="inlineStr">
        <is>
          <t>Downer</t>
        </is>
      </c>
      <c r="T2621" s="2" t="n">
        <v>100</v>
      </c>
      <c r="W2621" s="2" t="inlineStr">
        <is>
          <t>Classification</t>
        </is>
      </c>
    </row>
    <row r="2622">
      <c r="A2622" s="2" t="inlineStr">
        <is>
          <t>Downer</t>
        </is>
      </c>
      <c r="B2622" s="2" t="inlineStr">
        <is>
          <t>REV_Utilities Legacy &amp; Other</t>
        </is>
      </c>
      <c r="C2622" s="2" t="inlineStr">
        <is>
          <t>Branch</t>
        </is>
      </c>
      <c r="D2622" s="2" t="inlineStr">
        <is>
          <t>L9.J.241120</t>
        </is>
      </c>
      <c r="E2622" s="2" t="inlineStr">
        <is>
          <t>UTLLEGO</t>
        </is>
      </c>
      <c r="M2622" s="2" t="inlineStr">
        <is>
          <t>North Ryde</t>
        </is>
      </c>
      <c r="N2622" s="2" t="inlineStr">
        <is>
          <t>Australia</t>
        </is>
      </c>
      <c r="P2622" s="2" t="inlineStr">
        <is>
          <t>Revenue</t>
        </is>
      </c>
      <c r="Q2622" s="2" t="inlineStr">
        <is>
          <t>Revenue</t>
        </is>
      </c>
      <c r="R2622" s="2" t="inlineStr">
        <is>
          <t>Revenue</t>
        </is>
      </c>
      <c r="S2622" s="2" t="inlineStr">
        <is>
          <t>Downer</t>
        </is>
      </c>
      <c r="T2622" s="2" t="n">
        <v>100</v>
      </c>
      <c r="W2622" s="2" t="inlineStr">
        <is>
          <t>Portfolio</t>
        </is>
      </c>
    </row>
    <row r="2623">
      <c r="A2623" s="2" t="inlineStr">
        <is>
          <t>Downer</t>
        </is>
      </c>
      <c r="B2623" s="2" t="inlineStr">
        <is>
          <t>REV_Utilities Legacy &amp; Other AU</t>
        </is>
      </c>
      <c r="C2623" s="2" t="inlineStr">
        <is>
          <t>Depot</t>
        </is>
      </c>
      <c r="D2623" s="2" t="inlineStr">
        <is>
          <t>L9.J.241120</t>
        </is>
      </c>
      <c r="E2623" s="2" t="inlineStr">
        <is>
          <t>RULO</t>
        </is>
      </c>
      <c r="M2623" s="2" t="inlineStr">
        <is>
          <t>North Ryde</t>
        </is>
      </c>
      <c r="N2623" s="2" t="inlineStr">
        <is>
          <t>Australia</t>
        </is>
      </c>
      <c r="P2623" s="2" t="inlineStr">
        <is>
          <t>Operational Control</t>
        </is>
      </c>
      <c r="Q2623" s="2" t="inlineStr">
        <is>
          <t>Operational Control</t>
        </is>
      </c>
      <c r="R2623" s="2" t="inlineStr">
        <is>
          <t>Energy and Utilities (EU)</t>
        </is>
      </c>
      <c r="S2623" s="2" t="inlineStr">
        <is>
          <t>Downer</t>
        </is>
      </c>
      <c r="T2623" s="2" t="n">
        <v>100</v>
      </c>
      <c r="W2623" s="2" t="inlineStr">
        <is>
          <t>Classification</t>
        </is>
      </c>
    </row>
    <row r="2624">
      <c r="A2624" s="2" t="inlineStr">
        <is>
          <t>Downer</t>
        </is>
      </c>
      <c r="B2624" s="2" t="inlineStr">
        <is>
          <t>REV_Utilities Legacy &amp; Other AU</t>
        </is>
      </c>
      <c r="C2624" s="2" t="inlineStr">
        <is>
          <t>Depot</t>
        </is>
      </c>
      <c r="D2624" s="2" t="inlineStr">
        <is>
          <t>L9.J.241120</t>
        </is>
      </c>
      <c r="E2624" s="2" t="inlineStr">
        <is>
          <t>RULO</t>
        </is>
      </c>
      <c r="M2624" s="2" t="inlineStr">
        <is>
          <t>North Ryde</t>
        </is>
      </c>
      <c r="N2624" s="2" t="inlineStr">
        <is>
          <t>Australia</t>
        </is>
      </c>
      <c r="P2624" s="2" t="inlineStr">
        <is>
          <t>Revenue</t>
        </is>
      </c>
      <c r="Q2624" s="2" t="inlineStr">
        <is>
          <t>Revenue</t>
        </is>
      </c>
      <c r="R2624" s="2" t="inlineStr">
        <is>
          <t>Revenue</t>
        </is>
      </c>
      <c r="S2624" s="2" t="inlineStr">
        <is>
          <t>Downer</t>
        </is>
      </c>
      <c r="T2624" s="2" t="n">
        <v>100</v>
      </c>
      <c r="W2624" s="2" t="inlineStr">
        <is>
          <t>Portfolio</t>
        </is>
      </c>
    </row>
    <row r="2625">
      <c r="A2625" s="2" t="inlineStr">
        <is>
          <t>Downer</t>
        </is>
      </c>
      <c r="B2625" s="2" t="inlineStr">
        <is>
          <t>REV_Utilities Projects NZ</t>
        </is>
      </c>
      <c r="C2625" s="2" t="inlineStr">
        <is>
          <t>Branch</t>
        </is>
      </c>
      <c r="D2625" s="2" t="inlineStr">
        <is>
          <t>L9.DNZJ.63920</t>
        </is>
      </c>
      <c r="E2625" s="2" t="inlineStr">
        <is>
          <t>UTLPRONZ</t>
        </is>
      </c>
      <c r="M2625" s="2" t="inlineStr">
        <is>
          <t>North Ryde</t>
        </is>
      </c>
      <c r="N2625" s="2" t="inlineStr">
        <is>
          <t>Australia</t>
        </is>
      </c>
      <c r="P2625" s="2" t="inlineStr">
        <is>
          <t>Operational Control</t>
        </is>
      </c>
      <c r="Q2625" s="2" t="inlineStr">
        <is>
          <t>Operational Control</t>
        </is>
      </c>
      <c r="R2625" s="2" t="inlineStr">
        <is>
          <t>Energy and Utilities (EU)</t>
        </is>
      </c>
      <c r="S2625" s="2" t="inlineStr">
        <is>
          <t>Downer</t>
        </is>
      </c>
      <c r="T2625" s="2" t="n">
        <v>100</v>
      </c>
      <c r="W2625" s="2" t="inlineStr">
        <is>
          <t>Classification</t>
        </is>
      </c>
    </row>
    <row r="2626">
      <c r="A2626" s="2" t="inlineStr">
        <is>
          <t>Downer</t>
        </is>
      </c>
      <c r="B2626" s="2" t="inlineStr">
        <is>
          <t>REV_Utilities Projects NZ</t>
        </is>
      </c>
      <c r="C2626" s="2" t="inlineStr">
        <is>
          <t>Branch</t>
        </is>
      </c>
      <c r="D2626" s="2" t="inlineStr">
        <is>
          <t>L9.DNZJ.63920</t>
        </is>
      </c>
      <c r="E2626" s="2" t="inlineStr">
        <is>
          <t>UTLPRONZ</t>
        </is>
      </c>
      <c r="M2626" s="2" t="inlineStr">
        <is>
          <t>North Ryde</t>
        </is>
      </c>
      <c r="N2626" s="2" t="inlineStr">
        <is>
          <t>Australia</t>
        </is>
      </c>
      <c r="P2626" s="2" t="inlineStr">
        <is>
          <t>Revenue</t>
        </is>
      </c>
      <c r="Q2626" s="2" t="inlineStr">
        <is>
          <t>Revenue</t>
        </is>
      </c>
      <c r="R2626" s="2" t="inlineStr">
        <is>
          <t>Revenue</t>
        </is>
      </c>
      <c r="S2626" s="2" t="inlineStr">
        <is>
          <t>Downer</t>
        </is>
      </c>
      <c r="T2626" s="2" t="n">
        <v>100</v>
      </c>
      <c r="W2626" s="2" t="inlineStr">
        <is>
          <t>Portfolio</t>
        </is>
      </c>
    </row>
    <row r="2627">
      <c r="A2627" s="2" t="inlineStr">
        <is>
          <t>Downer</t>
        </is>
      </c>
      <c r="B2627" s="2" t="inlineStr">
        <is>
          <t>REV_Utilities Support</t>
        </is>
      </c>
      <c r="C2627" s="2" t="inlineStr">
        <is>
          <t>Branch</t>
        </is>
      </c>
      <c r="D2627" s="2" t="inlineStr">
        <is>
          <t>L9.DNZJ.63990</t>
        </is>
      </c>
      <c r="E2627" s="2" t="inlineStr">
        <is>
          <t>UTLSUPP</t>
        </is>
      </c>
      <c r="M2627" s="2" t="inlineStr">
        <is>
          <t>North Ryde</t>
        </is>
      </c>
      <c r="N2627" s="2" t="inlineStr">
        <is>
          <t>Australia</t>
        </is>
      </c>
      <c r="P2627" s="2" t="inlineStr">
        <is>
          <t>Operational Control</t>
        </is>
      </c>
      <c r="Q2627" s="2" t="inlineStr">
        <is>
          <t>Operational Control</t>
        </is>
      </c>
      <c r="R2627" s="2" t="inlineStr">
        <is>
          <t>Energy and Utilities (EU)</t>
        </is>
      </c>
      <c r="S2627" s="2" t="inlineStr">
        <is>
          <t>Downer</t>
        </is>
      </c>
      <c r="T2627" s="2" t="n">
        <v>100</v>
      </c>
      <c r="W2627" s="2" t="inlineStr">
        <is>
          <t>Classification</t>
        </is>
      </c>
    </row>
    <row r="2628">
      <c r="A2628" s="2" t="inlineStr">
        <is>
          <t>Downer</t>
        </is>
      </c>
      <c r="B2628" s="2" t="inlineStr">
        <is>
          <t>REV_Utilities Support</t>
        </is>
      </c>
      <c r="C2628" s="2" t="inlineStr">
        <is>
          <t>Branch</t>
        </is>
      </c>
      <c r="D2628" s="2" t="inlineStr">
        <is>
          <t>L9.DNZJ.63990</t>
        </is>
      </c>
      <c r="E2628" s="2" t="inlineStr">
        <is>
          <t>UTLSUPP</t>
        </is>
      </c>
      <c r="M2628" s="2" t="inlineStr">
        <is>
          <t>North Ryde</t>
        </is>
      </c>
      <c r="N2628" s="2" t="inlineStr">
        <is>
          <t>Australia</t>
        </is>
      </c>
      <c r="P2628" s="2" t="inlineStr">
        <is>
          <t>Revenue</t>
        </is>
      </c>
      <c r="Q2628" s="2" t="inlineStr">
        <is>
          <t>Revenue</t>
        </is>
      </c>
      <c r="R2628" s="2" t="inlineStr">
        <is>
          <t>Revenue</t>
        </is>
      </c>
      <c r="S2628" s="2" t="inlineStr">
        <is>
          <t>Downer</t>
        </is>
      </c>
      <c r="T2628" s="2" t="n">
        <v>100</v>
      </c>
      <c r="W2628" s="2" t="inlineStr">
        <is>
          <t>Portfolio</t>
        </is>
      </c>
    </row>
    <row r="2629">
      <c r="A2629" s="2" t="inlineStr">
        <is>
          <t>Downer</t>
        </is>
      </c>
      <c r="B2629" s="2" t="inlineStr">
        <is>
          <t>REV_VEC Contracting</t>
        </is>
      </c>
      <c r="C2629" s="2" t="inlineStr">
        <is>
          <t>Branch</t>
        </is>
      </c>
      <c r="D2629" s="2" t="inlineStr">
        <is>
          <t>L9.J.170833</t>
        </is>
      </c>
      <c r="E2629" s="2" t="inlineStr">
        <is>
          <t>TIVEC</t>
        </is>
      </c>
      <c r="M2629" s="2" t="inlineStr">
        <is>
          <t>North Ryde</t>
        </is>
      </c>
      <c r="N2629" s="2" t="inlineStr">
        <is>
          <t>Australia</t>
        </is>
      </c>
      <c r="P2629" s="2" t="inlineStr">
        <is>
          <t>Operational Control</t>
        </is>
      </c>
      <c r="Q2629" s="2" t="inlineStr">
        <is>
          <t>Operational Control</t>
        </is>
      </c>
      <c r="R2629" s="2" t="inlineStr">
        <is>
          <t>Transport &amp; Infrastructure (T&amp;I)</t>
        </is>
      </c>
      <c r="S2629" s="2" t="inlineStr">
        <is>
          <t>Downer</t>
        </is>
      </c>
      <c r="T2629" s="2" t="n">
        <v>100</v>
      </c>
      <c r="W2629" s="2" t="inlineStr">
        <is>
          <t>Classification</t>
        </is>
      </c>
    </row>
    <row r="2630">
      <c r="A2630" s="2" t="inlineStr">
        <is>
          <t>Downer</t>
        </is>
      </c>
      <c r="B2630" s="2" t="inlineStr">
        <is>
          <t>REV_VEC Contracting</t>
        </is>
      </c>
      <c r="C2630" s="2" t="inlineStr">
        <is>
          <t>Branch</t>
        </is>
      </c>
      <c r="D2630" s="2" t="inlineStr">
        <is>
          <t>L9.J.170833</t>
        </is>
      </c>
      <c r="E2630" s="2" t="inlineStr">
        <is>
          <t>TIVEC</t>
        </is>
      </c>
      <c r="M2630" s="2" t="inlineStr">
        <is>
          <t>North Ryde</t>
        </is>
      </c>
      <c r="N2630" s="2" t="inlineStr">
        <is>
          <t>Australia</t>
        </is>
      </c>
      <c r="P2630" s="2" t="inlineStr">
        <is>
          <t>Revenue</t>
        </is>
      </c>
      <c r="Q2630" s="2" t="inlineStr">
        <is>
          <t>Revenue</t>
        </is>
      </c>
      <c r="R2630" s="2" t="inlineStr">
        <is>
          <t>Revenue</t>
        </is>
      </c>
      <c r="S2630" s="2" t="inlineStr">
        <is>
          <t>Downer</t>
        </is>
      </c>
      <c r="T2630" s="2" t="n">
        <v>100</v>
      </c>
      <c r="W2630" s="2" t="inlineStr">
        <is>
          <t>Portfolio</t>
        </is>
      </c>
    </row>
    <row r="2631">
      <c r="A2631" s="2" t="inlineStr">
        <is>
          <t>Downer</t>
        </is>
      </c>
      <c r="B2631" s="2" t="inlineStr">
        <is>
          <t>REV_Water</t>
        </is>
      </c>
      <c r="C2631" s="2" t="inlineStr">
        <is>
          <t>Other</t>
        </is>
      </c>
      <c r="D2631" s="2" t="inlineStr">
        <is>
          <t>L9.J.39220126</t>
        </is>
      </c>
      <c r="E2631" s="2" t="inlineStr">
        <is>
          <t>L9.J.39220126</t>
        </is>
      </c>
      <c r="M2631" s="2" t="inlineStr">
        <is>
          <t>North Ryde</t>
        </is>
      </c>
      <c r="N2631" s="2" t="inlineStr">
        <is>
          <t>Australia</t>
        </is>
      </c>
      <c r="P2631" s="2" t="inlineStr">
        <is>
          <t>Operational Control</t>
        </is>
      </c>
      <c r="Q2631" s="2" t="inlineStr">
        <is>
          <t>Operational Control</t>
        </is>
      </c>
      <c r="R2631" s="2" t="inlineStr">
        <is>
          <t>Energy and Utilities (EU)</t>
        </is>
      </c>
      <c r="S2631" s="2" t="inlineStr">
        <is>
          <t>Downer</t>
        </is>
      </c>
      <c r="T2631" s="2" t="n">
        <v>100</v>
      </c>
      <c r="W2631" s="2" t="inlineStr">
        <is>
          <t>Classification</t>
        </is>
      </c>
    </row>
    <row r="2632">
      <c r="A2632" s="2" t="inlineStr">
        <is>
          <t>Downer</t>
        </is>
      </c>
      <c r="B2632" s="2" t="inlineStr">
        <is>
          <t>REV_Water</t>
        </is>
      </c>
      <c r="C2632" s="2" t="inlineStr">
        <is>
          <t>Other</t>
        </is>
      </c>
      <c r="D2632" s="2" t="inlineStr">
        <is>
          <t>L9.J.39220126</t>
        </is>
      </c>
      <c r="E2632" s="2" t="inlineStr">
        <is>
          <t>L9.J.39220126</t>
        </is>
      </c>
      <c r="M2632" s="2" t="inlineStr">
        <is>
          <t>North Ryde</t>
        </is>
      </c>
      <c r="N2632" s="2" t="inlineStr">
        <is>
          <t>Australia</t>
        </is>
      </c>
      <c r="P2632" s="2" t="inlineStr">
        <is>
          <t>Revenue</t>
        </is>
      </c>
      <c r="Q2632" s="2" t="inlineStr">
        <is>
          <t>Revenue</t>
        </is>
      </c>
      <c r="R2632" s="2" t="inlineStr">
        <is>
          <t>Revenue</t>
        </is>
      </c>
      <c r="S2632" s="2" t="inlineStr">
        <is>
          <t>Downer</t>
        </is>
      </c>
      <c r="T2632" s="2" t="n">
        <v>100</v>
      </c>
      <c r="W2632" s="2" t="inlineStr">
        <is>
          <t>Portfolio</t>
        </is>
      </c>
    </row>
    <row r="2633">
      <c r="A2633" s="2" t="inlineStr">
        <is>
          <t>Downer</t>
        </is>
      </c>
      <c r="B2633" s="2" t="inlineStr">
        <is>
          <t>REV_Water &amp; Automation NZ</t>
        </is>
      </c>
      <c r="C2633" s="2" t="inlineStr">
        <is>
          <t>Branch</t>
        </is>
      </c>
      <c r="D2633" s="2" t="inlineStr">
        <is>
          <t>L9.DNZJ.56906</t>
        </is>
      </c>
      <c r="E2633" s="2" t="inlineStr">
        <is>
          <t>UTLWANZ</t>
        </is>
      </c>
      <c r="M2633" s="2" t="inlineStr">
        <is>
          <t>North Ryde</t>
        </is>
      </c>
      <c r="N2633" s="2" t="inlineStr">
        <is>
          <t>Australia</t>
        </is>
      </c>
      <c r="P2633" s="2" t="inlineStr">
        <is>
          <t>Operational Control</t>
        </is>
      </c>
      <c r="Q2633" s="2" t="inlineStr">
        <is>
          <t>Operational Control</t>
        </is>
      </c>
      <c r="R2633" s="2" t="inlineStr">
        <is>
          <t>Energy and Utilities (EU)</t>
        </is>
      </c>
      <c r="S2633" s="2" t="inlineStr">
        <is>
          <t>Downer</t>
        </is>
      </c>
      <c r="T2633" s="2" t="n">
        <v>100</v>
      </c>
      <c r="W2633" s="2" t="inlineStr">
        <is>
          <t>Classification</t>
        </is>
      </c>
    </row>
    <row r="2634">
      <c r="A2634" s="2" t="inlineStr">
        <is>
          <t>Downer</t>
        </is>
      </c>
      <c r="B2634" s="2" t="inlineStr">
        <is>
          <t>REV_Water &amp; Automation NZ</t>
        </is>
      </c>
      <c r="C2634" s="2" t="inlineStr">
        <is>
          <t>Branch</t>
        </is>
      </c>
      <c r="D2634" s="2" t="inlineStr">
        <is>
          <t>L9.DNZJ.56906</t>
        </is>
      </c>
      <c r="E2634" s="2" t="inlineStr">
        <is>
          <t>UTLWANZ</t>
        </is>
      </c>
      <c r="M2634" s="2" t="inlineStr">
        <is>
          <t>North Ryde</t>
        </is>
      </c>
      <c r="N2634" s="2" t="inlineStr">
        <is>
          <t>Australia</t>
        </is>
      </c>
      <c r="P2634" s="2" t="inlineStr">
        <is>
          <t>Revenue</t>
        </is>
      </c>
      <c r="Q2634" s="2" t="inlineStr">
        <is>
          <t>Revenue</t>
        </is>
      </c>
      <c r="R2634" s="2" t="inlineStr">
        <is>
          <t>Revenue</t>
        </is>
      </c>
      <c r="S2634" s="2" t="inlineStr">
        <is>
          <t>Downer</t>
        </is>
      </c>
      <c r="T2634" s="2" t="n">
        <v>100</v>
      </c>
      <c r="W2634" s="2" t="inlineStr">
        <is>
          <t>Portfolio</t>
        </is>
      </c>
    </row>
    <row r="2635">
      <c r="A2635" s="2" t="inlineStr">
        <is>
          <t>Downer</t>
        </is>
      </c>
      <c r="B2635" s="2" t="inlineStr">
        <is>
          <t>REV_Water Services AU</t>
        </is>
      </c>
      <c r="C2635" s="2" t="inlineStr">
        <is>
          <t>Branch</t>
        </is>
      </c>
      <c r="D2635" s="2" t="inlineStr">
        <is>
          <t>L9.J.241210</t>
        </is>
      </c>
      <c r="E2635" s="2" t="inlineStr">
        <is>
          <t>UTLWSAU</t>
        </is>
      </c>
      <c r="M2635" s="2" t="inlineStr">
        <is>
          <t>North Ryde</t>
        </is>
      </c>
      <c r="N2635" s="2" t="inlineStr">
        <is>
          <t>Australia</t>
        </is>
      </c>
      <c r="P2635" s="2" t="inlineStr">
        <is>
          <t>Operational Control</t>
        </is>
      </c>
      <c r="Q2635" s="2" t="inlineStr">
        <is>
          <t>Operational Control</t>
        </is>
      </c>
      <c r="R2635" s="2" t="inlineStr">
        <is>
          <t>Energy and Utilities (EU)</t>
        </is>
      </c>
      <c r="S2635" s="2" t="inlineStr">
        <is>
          <t>Downer</t>
        </is>
      </c>
      <c r="T2635" s="2" t="n">
        <v>100</v>
      </c>
      <c r="W2635" s="2" t="inlineStr">
        <is>
          <t>Classification</t>
        </is>
      </c>
    </row>
    <row r="2636">
      <c r="A2636" s="2" t="inlineStr">
        <is>
          <t>Downer</t>
        </is>
      </c>
      <c r="B2636" s="2" t="inlineStr">
        <is>
          <t>REV_Water Services AU</t>
        </is>
      </c>
      <c r="C2636" s="2" t="inlineStr">
        <is>
          <t>Branch</t>
        </is>
      </c>
      <c r="D2636" s="2" t="inlineStr">
        <is>
          <t>L9.J.241210</t>
        </is>
      </c>
      <c r="E2636" s="2" t="inlineStr">
        <is>
          <t>UTLWSAU</t>
        </is>
      </c>
      <c r="M2636" s="2" t="inlineStr">
        <is>
          <t>North Ryde</t>
        </is>
      </c>
      <c r="N2636" s="2" t="inlineStr">
        <is>
          <t>Australia</t>
        </is>
      </c>
      <c r="P2636" s="2" t="inlineStr">
        <is>
          <t>Revenue</t>
        </is>
      </c>
      <c r="Q2636" s="2" t="inlineStr">
        <is>
          <t>Revenue</t>
        </is>
      </c>
      <c r="R2636" s="2" t="inlineStr">
        <is>
          <t>Revenue</t>
        </is>
      </c>
      <c r="S2636" s="2" t="inlineStr">
        <is>
          <t>Downer</t>
        </is>
      </c>
      <c r="T2636" s="2" t="n">
        <v>100</v>
      </c>
      <c r="W2636" s="2" t="inlineStr">
        <is>
          <t>Portfolio</t>
        </is>
      </c>
    </row>
    <row r="2637">
      <c r="B2637" s="2" t="inlineStr">
        <is>
          <t>REV_Passenger New Supply and Delivery</t>
        </is>
      </c>
      <c r="D2637" s="2" t="inlineStr">
        <is>
          <t>L9.J.709250</t>
        </is>
      </c>
      <c r="E2637" s="2" t="inlineStr">
        <is>
          <t>L9.J.709250</t>
        </is>
      </c>
    </row>
    <row r="2638">
      <c r="B2638" s="2" t="inlineStr">
        <is>
          <t>REV_Passenger Refurbishment</t>
        </is>
      </c>
      <c r="D2638" s="2" t="inlineStr">
        <is>
          <t>L9.J.709250</t>
        </is>
      </c>
      <c r="E2638" s="2" t="inlineStr">
        <is>
          <t>L9.J.709250</t>
        </is>
      </c>
    </row>
    <row r="2639">
      <c r="B2639" s="2" t="inlineStr">
        <is>
          <t>REV_Passenger Through Life Support</t>
        </is>
      </c>
      <c r="D2639" s="2" t="inlineStr">
        <is>
          <t>L9.J.709250</t>
        </is>
      </c>
      <c r="E2639" s="2" t="inlineStr">
        <is>
          <t>L9.J.709250</t>
        </is>
      </c>
    </row>
    <row r="2640">
      <c r="B2640" s="2" t="inlineStr">
        <is>
          <t>REV_Emerging Markets</t>
        </is>
      </c>
      <c r="D2640" s="2" t="inlineStr">
        <is>
          <t>RTSOPPS</t>
        </is>
      </c>
      <c r="E2640" s="2" t="inlineStr">
        <is>
          <t>RTSOPPS</t>
        </is>
      </c>
    </row>
    <row r="2641">
      <c r="B2641" s="2" t="inlineStr">
        <is>
          <t>REV_RTS Head Office</t>
        </is>
      </c>
      <c r="D2641" s="2" t="inlineStr">
        <is>
          <t>L9.J.799999</t>
        </is>
      </c>
      <c r="E2641" s="2" t="inlineStr">
        <is>
          <t>L9.J.799999</t>
        </is>
      </c>
    </row>
    <row r="2642">
      <c r="B2642" s="2" t="inlineStr">
        <is>
          <t>REV_Keolis Downer JV</t>
        </is>
      </c>
      <c r="D2642" s="2" t="inlineStr">
        <is>
          <t>L9.J.799999</t>
        </is>
      </c>
      <c r="E2642" s="2" t="inlineStr">
        <is>
          <t>L9.J.799999</t>
        </is>
      </c>
    </row>
    <row r="2643">
      <c r="B2643" s="2" t="inlineStr">
        <is>
          <t>REV_Intercompany Elimination</t>
        </is>
      </c>
      <c r="D2643" s="2" t="inlineStr">
        <is>
          <t>L9.J.799999</t>
        </is>
      </c>
      <c r="E2643" s="2" t="inlineStr">
        <is>
          <t>L9.J.799999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36"/>
  <sheetViews>
    <sheetView tabSelected="0" workbookViewId="0">
      <selection activeCell="A1" sqref="A1"/>
    </sheetView>
  </sheetViews>
  <sheetFormatPr baseColWidth="8" defaultRowHeight="15"/>
  <cols>
    <col width="47.140625" customWidth="1" min="4" max="4"/>
    <col width="51.28515625" customWidth="1" min="10" max="10"/>
  </cols>
  <sheetData>
    <row r="1">
      <c r="A1" s="2" t="inlineStr">
        <is>
          <t>Location Link</t>
        </is>
      </c>
      <c r="B1" s="2" t="inlineStr">
        <is>
          <t>Account Link</t>
        </is>
      </c>
      <c r="C1" s="2" t="inlineStr">
        <is>
          <t>Associate</t>
        </is>
      </c>
      <c r="D1" s="2" t="inlineStr">
        <is>
          <t>Location</t>
        </is>
      </c>
      <c r="E1" s="2" t="inlineStr">
        <is>
          <t>Location Account Ref</t>
        </is>
      </c>
      <c r="F1" s="2" t="inlineStr">
        <is>
          <t>Data Type</t>
        </is>
      </c>
      <c r="G1" s="2" t="inlineStr">
        <is>
          <t>Account Style</t>
        </is>
      </c>
      <c r="H1" s="2" t="inlineStr">
        <is>
          <t>Sub Type</t>
        </is>
      </c>
      <c r="I1" s="2" t="inlineStr">
        <is>
          <t>Supplier</t>
        </is>
      </c>
      <c r="J1" s="2" t="inlineStr">
        <is>
          <t>Account Number</t>
        </is>
      </c>
      <c r="K1" s="2" t="inlineStr">
        <is>
          <t>Account Reference</t>
        </is>
      </c>
      <c r="L1" s="2" t="inlineStr">
        <is>
          <t>Reader</t>
        </is>
      </c>
      <c r="M1" s="2" t="inlineStr">
        <is>
          <t>Serial_No</t>
        </is>
      </c>
      <c r="N1" s="2" t="inlineStr">
        <is>
          <t>Opened On</t>
        </is>
      </c>
      <c r="O1" s="2" t="inlineStr">
        <is>
          <t>Replaced On</t>
        </is>
      </c>
      <c r="P1" s="2" t="inlineStr">
        <is>
          <t>Usage Type</t>
        </is>
      </c>
      <c r="Q1" s="2" t="inlineStr">
        <is>
          <t>Use</t>
        </is>
      </c>
      <c r="R1" s="2" t="inlineStr">
        <is>
          <t>Apportionment</t>
        </is>
      </c>
      <c r="S1" s="2" t="inlineStr">
        <is>
          <t>Effective From</t>
        </is>
      </c>
      <c r="T1" s="2" t="inlineStr">
        <is>
          <t>Effective To</t>
        </is>
      </c>
      <c r="U1" s="2" t="inlineStr">
        <is>
          <t>Cost Centre Group Chain</t>
        </is>
      </c>
      <c r="V1" s="2" t="inlineStr">
        <is>
          <t>Cost Centre</t>
        </is>
      </c>
      <c r="W1" s="2" t="inlineStr">
        <is>
          <t>Report Percent</t>
        </is>
      </c>
      <c r="X1" s="2" t="inlineStr">
        <is>
          <t>Cost Centre Effective From</t>
        </is>
      </c>
      <c r="Y1" s="2" t="inlineStr">
        <is>
          <t>Cost Centre Effective To</t>
        </is>
      </c>
      <c r="Z1" s="2" t="inlineStr">
        <is>
          <t>Cost Centre Membership Description</t>
        </is>
      </c>
      <c r="AA1" s="2" t="inlineStr">
        <is>
          <t>Relationship</t>
        </is>
      </c>
      <c r="AB1" s="2" t="inlineStr">
        <is>
          <t>Related Account</t>
        </is>
      </c>
      <c r="AC1" s="2" t="inlineStr">
        <is>
          <t>Relationship Percent</t>
        </is>
      </c>
      <c r="AD1" s="2" t="inlineStr">
        <is>
          <t>Relationship Effective From</t>
        </is>
      </c>
      <c r="AE1" s="2" t="inlineStr">
        <is>
          <t>Relationship Effective To</t>
        </is>
      </c>
      <c r="AF1" s="2" t="inlineStr">
        <is>
          <t>Account Style Accrue Type</t>
        </is>
      </c>
      <c r="AG1" s="2" t="inlineStr">
        <is>
          <t>Account Style Consumption Accrue Method</t>
        </is>
      </c>
      <c r="AH1" s="2" t="inlineStr">
        <is>
          <t>Account Style Cost Accrue Method</t>
        </is>
      </c>
      <c r="AI1" s="2" t="inlineStr">
        <is>
          <t>Updated On</t>
        </is>
      </c>
    </row>
    <row r="2">
      <c r="A2" s="2" t="n">
        <v>6044548</v>
      </c>
      <c r="B2" s="2" t="n">
        <v>6325209</v>
      </c>
      <c r="C2" s="2" t="inlineStr">
        <is>
          <t>Downer</t>
        </is>
      </c>
      <c r="D2" s="2" t="inlineStr">
        <is>
          <t>REV_Asset &amp; Development Services</t>
        </is>
      </c>
      <c r="E2" s="2" t="inlineStr">
        <is>
          <t>ADS3197S</t>
        </is>
      </c>
      <c r="F2" s="2" t="inlineStr">
        <is>
          <t>Revenue [AUD Million]</t>
        </is>
      </c>
      <c r="G2" s="2" t="inlineStr">
        <is>
          <t>Revenue - AUD Million</t>
        </is>
      </c>
      <c r="I2" s="2" t="inlineStr">
        <is>
          <t>Downer</t>
        </is>
      </c>
      <c r="J2" s="2" t="inlineStr">
        <is>
          <t>FY25REV_Asset &amp; Development Services</t>
        </is>
      </c>
      <c r="K2" s="2" t="inlineStr">
        <is>
          <t>REV_Asset &amp; Development Services</t>
        </is>
      </c>
      <c r="L2" s="2" t="inlineStr">
        <is>
          <t>Revenue</t>
        </is>
      </c>
      <c r="AF2" s="2" t="inlineStr">
        <is>
          <t>Contiguous Data</t>
        </is>
      </c>
      <c r="AG2" s="2" t="inlineStr">
        <is>
          <t>Inherit Associate Settings</t>
        </is>
      </c>
      <c r="AH2" s="2" t="inlineStr">
        <is>
          <t>Inherit Associate Settings</t>
        </is>
      </c>
      <c r="AI2" s="12" t="n">
        <v>45735.80902777778</v>
      </c>
    </row>
    <row r="3">
      <c r="A3" s="2" t="n">
        <v>6044557</v>
      </c>
      <c r="B3" s="2" t="n">
        <v>6325210</v>
      </c>
      <c r="C3" s="2" t="inlineStr">
        <is>
          <t>Downer</t>
        </is>
      </c>
      <c r="D3" s="2" t="inlineStr">
        <is>
          <t>REV_Base &amp; Estate Management</t>
        </is>
      </c>
      <c r="E3" s="2" t="inlineStr">
        <is>
          <t>SICSBEM</t>
        </is>
      </c>
      <c r="F3" s="2" t="inlineStr">
        <is>
          <t>Revenue [AUD Million]</t>
        </is>
      </c>
      <c r="G3" s="2" t="inlineStr">
        <is>
          <t>Revenue - AUD Million</t>
        </is>
      </c>
      <c r="I3" s="2" t="inlineStr">
        <is>
          <t>Downer</t>
        </is>
      </c>
      <c r="J3" s="2" t="inlineStr">
        <is>
          <t>FY25REV_Base &amp; Estate Management</t>
        </is>
      </c>
      <c r="K3" s="2" t="inlineStr">
        <is>
          <t>REV_Base &amp; Estate Management</t>
        </is>
      </c>
      <c r="L3" s="2" t="inlineStr">
        <is>
          <t>Revenue</t>
        </is>
      </c>
      <c r="AF3" s="2" t="inlineStr">
        <is>
          <t>Contiguous Data</t>
        </is>
      </c>
      <c r="AG3" s="2" t="inlineStr">
        <is>
          <t>Inherit Associate Settings</t>
        </is>
      </c>
      <c r="AH3" s="2" t="inlineStr">
        <is>
          <t>Inherit Associate Settings</t>
        </is>
      </c>
      <c r="AI3" s="12" t="n">
        <v>45735.80902777778</v>
      </c>
    </row>
    <row r="4">
      <c r="A4" s="2" t="n">
        <v>6044537</v>
      </c>
      <c r="B4" s="2" t="n">
        <v>6325211</v>
      </c>
      <c r="C4" s="2" t="inlineStr">
        <is>
          <t>Downer</t>
        </is>
      </c>
      <c r="D4" s="2" t="inlineStr">
        <is>
          <t>REV_Corporate Australia</t>
        </is>
      </c>
      <c r="E4" s="2" t="inlineStr">
        <is>
          <t>CORAU</t>
        </is>
      </c>
      <c r="F4" s="2" t="inlineStr">
        <is>
          <t>Revenue [AUD Million]</t>
        </is>
      </c>
      <c r="G4" s="2" t="inlineStr">
        <is>
          <t>Revenue - AUD Million</t>
        </is>
      </c>
      <c r="I4" s="2" t="inlineStr">
        <is>
          <t>Downer</t>
        </is>
      </c>
      <c r="J4" s="2" t="inlineStr">
        <is>
          <t>FY25REV_Corporate Australia</t>
        </is>
      </c>
      <c r="K4" s="2" t="inlineStr">
        <is>
          <t>REV_Corporate Australia</t>
        </is>
      </c>
      <c r="L4" s="2" t="inlineStr">
        <is>
          <t>Revenue</t>
        </is>
      </c>
      <c r="AF4" s="2" t="inlineStr">
        <is>
          <t>Contiguous Data</t>
        </is>
      </c>
      <c r="AG4" s="2" t="inlineStr">
        <is>
          <t>Inherit Associate Settings</t>
        </is>
      </c>
      <c r="AH4" s="2" t="inlineStr">
        <is>
          <t>Inherit Associate Settings</t>
        </is>
      </c>
      <c r="AI4" s="12" t="n">
        <v>45735.80902777778</v>
      </c>
    </row>
    <row r="5">
      <c r="A5" s="2" t="n">
        <v>6044561</v>
      </c>
      <c r="B5" s="2" t="n">
        <v>6325212</v>
      </c>
      <c r="C5" s="2" t="inlineStr">
        <is>
          <t>Downer</t>
        </is>
      </c>
      <c r="D5" s="2" t="inlineStr">
        <is>
          <t>REV_Downer Professional Services</t>
        </is>
      </c>
      <c r="E5" s="2" t="inlineStr">
        <is>
          <t>SICSDPS</t>
        </is>
      </c>
      <c r="F5" s="2" t="inlineStr">
        <is>
          <t>Revenue [AUD Million]</t>
        </is>
      </c>
      <c r="G5" s="2" t="inlineStr">
        <is>
          <t>Revenue - AUD Million</t>
        </is>
      </c>
      <c r="I5" s="2" t="inlineStr">
        <is>
          <t>Downer</t>
        </is>
      </c>
      <c r="J5" s="2" t="inlineStr">
        <is>
          <t>FY25REV_Downer Professional Services</t>
        </is>
      </c>
      <c r="K5" s="2" t="inlineStr">
        <is>
          <t>REV_Downer Professional Services</t>
        </is>
      </c>
      <c r="L5" s="2" t="inlineStr">
        <is>
          <t>Revenue</t>
        </is>
      </c>
      <c r="AF5" s="2" t="inlineStr">
        <is>
          <t>Contiguous Data</t>
        </is>
      </c>
      <c r="AG5" s="2" t="inlineStr">
        <is>
          <t>Inherit Associate Settings</t>
        </is>
      </c>
      <c r="AH5" s="2" t="inlineStr">
        <is>
          <t>Inherit Associate Settings</t>
        </is>
      </c>
      <c r="AI5" s="12" t="n">
        <v>45735.80902777778</v>
      </c>
    </row>
    <row r="6">
      <c r="A6" s="2" t="n">
        <v>6046098</v>
      </c>
      <c r="B6" s="2" t="n">
        <v>6325213</v>
      </c>
      <c r="C6" s="2" t="inlineStr">
        <is>
          <t>Downer</t>
        </is>
      </c>
      <c r="D6" s="2" t="inlineStr">
        <is>
          <t>REV_E&amp;C Legacy</t>
        </is>
      </c>
      <c r="E6" s="2" t="inlineStr">
        <is>
          <t>L9.J.362020</t>
        </is>
      </c>
      <c r="F6" s="2" t="inlineStr">
        <is>
          <t>Revenue [AUD Million]</t>
        </is>
      </c>
      <c r="G6" s="2" t="inlineStr">
        <is>
          <t>Revenue - AUD Million</t>
        </is>
      </c>
      <c r="I6" s="2" t="inlineStr">
        <is>
          <t>Downer</t>
        </is>
      </c>
      <c r="J6" s="2" t="inlineStr">
        <is>
          <t>FY25REV_E&amp;C Legacy</t>
        </is>
      </c>
      <c r="K6" s="2" t="inlineStr">
        <is>
          <t>REV_E&amp;C Legacy</t>
        </is>
      </c>
      <c r="L6" s="2" t="inlineStr">
        <is>
          <t>Revenue</t>
        </is>
      </c>
      <c r="AF6" s="2" t="inlineStr">
        <is>
          <t>Contiguous Data</t>
        </is>
      </c>
      <c r="AG6" s="2" t="inlineStr">
        <is>
          <t>Inherit Associate Settings</t>
        </is>
      </c>
      <c r="AH6" s="2" t="inlineStr">
        <is>
          <t>Inherit Associate Settings</t>
        </is>
      </c>
      <c r="AI6" s="12" t="n">
        <v>45735.80902777778</v>
      </c>
    </row>
    <row r="7">
      <c r="A7" s="2" t="n">
        <v>6046337</v>
      </c>
      <c r="B7" s="2" t="n">
        <v>6325214</v>
      </c>
      <c r="C7" s="2" t="inlineStr">
        <is>
          <t>Downer</t>
        </is>
      </c>
      <c r="D7" s="2" t="inlineStr">
        <is>
          <t>REV_EU Gap</t>
        </is>
      </c>
      <c r="E7" s="2" t="inlineStr">
        <is>
          <t>L9.J.392150</t>
        </is>
      </c>
      <c r="F7" s="2" t="inlineStr">
        <is>
          <t>Revenue [AUD Million]</t>
        </is>
      </c>
      <c r="G7" s="2" t="inlineStr">
        <is>
          <t>Revenue - AUD Million</t>
        </is>
      </c>
      <c r="I7" s="2" t="inlineStr">
        <is>
          <t>Downer</t>
        </is>
      </c>
      <c r="J7" s="2" t="inlineStr">
        <is>
          <t>FY25REV_EU Gap</t>
        </is>
      </c>
      <c r="K7" s="2" t="inlineStr">
        <is>
          <t>REV_EU Gap</t>
        </is>
      </c>
      <c r="L7" s="2" t="inlineStr">
        <is>
          <t>Revenue</t>
        </is>
      </c>
      <c r="AF7" s="2" t="inlineStr">
        <is>
          <t>Contiguous Data</t>
        </is>
      </c>
      <c r="AG7" s="2" t="inlineStr">
        <is>
          <t>Inherit Associate Settings</t>
        </is>
      </c>
      <c r="AH7" s="2" t="inlineStr">
        <is>
          <t>Inherit Associate Settings</t>
        </is>
      </c>
      <c r="AI7" s="12" t="n">
        <v>45735.80902777778</v>
      </c>
    </row>
    <row r="8">
      <c r="A8" s="2" t="n">
        <v>6046339</v>
      </c>
      <c r="B8" s="2" t="n">
        <v>6325215</v>
      </c>
      <c r="C8" s="2" t="inlineStr">
        <is>
          <t>Downer</t>
        </is>
      </c>
      <c r="D8" s="2" t="inlineStr">
        <is>
          <t>REV_EU Support</t>
        </is>
      </c>
      <c r="E8" s="2" t="inlineStr">
        <is>
          <t>L9.DUA.30172800</t>
        </is>
      </c>
      <c r="F8" s="2" t="inlineStr">
        <is>
          <t>Revenue [AUD Million]</t>
        </is>
      </c>
      <c r="G8" s="2" t="inlineStr">
        <is>
          <t>Revenue - AUD Million</t>
        </is>
      </c>
      <c r="I8" s="2" t="inlineStr">
        <is>
          <t>Downer</t>
        </is>
      </c>
      <c r="J8" s="2" t="inlineStr">
        <is>
          <t>FY25REV_EU Support</t>
        </is>
      </c>
      <c r="K8" s="2" t="inlineStr">
        <is>
          <t>REV_EU Support</t>
        </is>
      </c>
      <c r="L8" s="2" t="inlineStr">
        <is>
          <t>Revenue</t>
        </is>
      </c>
      <c r="AF8" s="2" t="inlineStr">
        <is>
          <t>Contiguous Data</t>
        </is>
      </c>
      <c r="AG8" s="2" t="inlineStr">
        <is>
          <t>Inherit Associate Settings</t>
        </is>
      </c>
      <c r="AH8" s="2" t="inlineStr">
        <is>
          <t>Inherit Associate Settings</t>
        </is>
      </c>
      <c r="AI8" s="12" t="n">
        <v>45735.80902777778</v>
      </c>
    </row>
    <row r="9">
      <c r="A9" s="2" t="n">
        <v>6046332</v>
      </c>
      <c r="B9" s="2" t="n">
        <v>6325216</v>
      </c>
      <c r="C9" s="2" t="inlineStr">
        <is>
          <t>Downer</t>
        </is>
      </c>
      <c r="D9" s="2" t="inlineStr">
        <is>
          <t>REV_Fleet &amp; Assets</t>
        </is>
      </c>
      <c r="E9" s="2" t="inlineStr">
        <is>
          <t>L9.DNZJ.1937</t>
        </is>
      </c>
      <c r="F9" s="2" t="inlineStr">
        <is>
          <t>Revenue [AUD Million]</t>
        </is>
      </c>
      <c r="G9" s="2" t="inlineStr">
        <is>
          <t>Revenue - AUD Million</t>
        </is>
      </c>
      <c r="I9" s="2" t="inlineStr">
        <is>
          <t>Downer</t>
        </is>
      </c>
      <c r="J9" s="2" t="inlineStr">
        <is>
          <t>FY25REV_Fleet &amp; Assets</t>
        </is>
      </c>
      <c r="K9" s="2" t="inlineStr">
        <is>
          <t>REV_Fleet &amp; Assets</t>
        </is>
      </c>
      <c r="L9" s="2" t="inlineStr">
        <is>
          <t>Revenue</t>
        </is>
      </c>
      <c r="AF9" s="2" t="inlineStr">
        <is>
          <t>Contiguous Data</t>
        </is>
      </c>
      <c r="AG9" s="2" t="inlineStr">
        <is>
          <t>Inherit Associate Settings</t>
        </is>
      </c>
      <c r="AH9" s="2" t="inlineStr">
        <is>
          <t>Inherit Associate Settings</t>
        </is>
      </c>
      <c r="AI9" s="12" t="n">
        <v>45735.80902777778</v>
      </c>
    </row>
    <row r="10">
      <c r="A10" s="2" t="n">
        <v>6044562</v>
      </c>
      <c r="B10" s="2" t="n">
        <v>6325217</v>
      </c>
      <c r="C10" s="2" t="inlineStr">
        <is>
          <t>Downer</t>
        </is>
      </c>
      <c r="D10" s="2" t="inlineStr">
        <is>
          <t>REV_Government &amp; IFM</t>
        </is>
      </c>
      <c r="E10" s="2" t="inlineStr">
        <is>
          <t>SICSGIFM</t>
        </is>
      </c>
      <c r="F10" s="2" t="inlineStr">
        <is>
          <t>Revenue [AUD Million]</t>
        </is>
      </c>
      <c r="G10" s="2" t="inlineStr">
        <is>
          <t>Revenue - AUD Million</t>
        </is>
      </c>
      <c r="I10" s="2" t="inlineStr">
        <is>
          <t>Downer</t>
        </is>
      </c>
      <c r="J10" s="2" t="inlineStr">
        <is>
          <t>FY25REV_Government &amp; IFM</t>
        </is>
      </c>
      <c r="K10" s="2" t="inlineStr">
        <is>
          <t>REV_Government &amp; IFM</t>
        </is>
      </c>
      <c r="L10" s="2" t="inlineStr">
        <is>
          <t>Revenue</t>
        </is>
      </c>
      <c r="AF10" s="2" t="inlineStr">
        <is>
          <t>Contiguous Data</t>
        </is>
      </c>
      <c r="AG10" s="2" t="inlineStr">
        <is>
          <t>Inherit Associate Settings</t>
        </is>
      </c>
      <c r="AH10" s="2" t="inlineStr">
        <is>
          <t>Inherit Associate Settings</t>
        </is>
      </c>
      <c r="AI10" s="12" t="n">
        <v>45735.80902777778</v>
      </c>
    </row>
    <row r="11">
      <c r="A11" s="2" t="n">
        <v>6044532</v>
      </c>
      <c r="B11" s="2" t="n">
        <v>6325218</v>
      </c>
      <c r="C11" s="2" t="inlineStr">
        <is>
          <t>Downer</t>
        </is>
      </c>
      <c r="D11" s="2" t="inlineStr">
        <is>
          <t>REV_Hawkins</t>
        </is>
      </c>
      <c r="E11" s="2" t="inlineStr">
        <is>
          <t>TIHA</t>
        </is>
      </c>
      <c r="F11" s="2" t="inlineStr">
        <is>
          <t>Revenue [AUD Million]</t>
        </is>
      </c>
      <c r="G11" s="2" t="inlineStr">
        <is>
          <t>Revenue - AUD Million</t>
        </is>
      </c>
      <c r="I11" s="2" t="inlineStr">
        <is>
          <t>Downer</t>
        </is>
      </c>
      <c r="J11" s="2" t="inlineStr">
        <is>
          <t>FY25REV_Hawkins</t>
        </is>
      </c>
      <c r="K11" s="2" t="inlineStr">
        <is>
          <t>REV_Hawkins</t>
        </is>
      </c>
      <c r="L11" s="2" t="inlineStr">
        <is>
          <t>Revenue</t>
        </is>
      </c>
      <c r="AF11" s="2" t="inlineStr">
        <is>
          <t>Contiguous Data</t>
        </is>
      </c>
      <c r="AG11" s="2" t="inlineStr">
        <is>
          <t>Inherit Associate Settings</t>
        </is>
      </c>
      <c r="AH11" s="2" t="inlineStr">
        <is>
          <t>Inherit Associate Settings</t>
        </is>
      </c>
      <c r="AI11" s="12" t="n">
        <v>45735.80902777778</v>
      </c>
    </row>
    <row r="12">
      <c r="A12" s="2" t="n">
        <v>6044560</v>
      </c>
      <c r="B12" s="2" t="n">
        <v>6325219</v>
      </c>
      <c r="C12" s="2" t="inlineStr">
        <is>
          <t>Downer</t>
        </is>
      </c>
      <c r="D12" s="2" t="inlineStr">
        <is>
          <t>REV_Health &amp; Education</t>
        </is>
      </c>
      <c r="E12" s="2" t="inlineStr">
        <is>
          <t>SICSHE</t>
        </is>
      </c>
      <c r="F12" s="2" t="inlineStr">
        <is>
          <t>Revenue [AUD Million]</t>
        </is>
      </c>
      <c r="G12" s="2" t="inlineStr">
        <is>
          <t>Revenue - AUD Million</t>
        </is>
      </c>
      <c r="I12" s="2" t="inlineStr">
        <is>
          <t>Downer</t>
        </is>
      </c>
      <c r="J12" s="2" t="inlineStr">
        <is>
          <t>FY25REV_Health &amp; Education</t>
        </is>
      </c>
      <c r="K12" s="2" t="inlineStr">
        <is>
          <t>REV_Health &amp; Education</t>
        </is>
      </c>
      <c r="L12" s="2" t="inlineStr">
        <is>
          <t>Revenue</t>
        </is>
      </c>
      <c r="AF12" s="2" t="inlineStr">
        <is>
          <t>Contiguous Data</t>
        </is>
      </c>
      <c r="AG12" s="2" t="inlineStr">
        <is>
          <t>Inherit Associate Settings</t>
        </is>
      </c>
      <c r="AH12" s="2" t="inlineStr">
        <is>
          <t>Inherit Associate Settings</t>
        </is>
      </c>
      <c r="AI12" s="12" t="n">
        <v>45735.80902777778</v>
      </c>
    </row>
    <row r="13">
      <c r="A13" s="2" t="n">
        <v>6046338</v>
      </c>
      <c r="B13" s="2" t="n">
        <v>6325220</v>
      </c>
      <c r="C13" s="2" t="inlineStr">
        <is>
          <t>Downer</t>
        </is>
      </c>
      <c r="D13" s="2" t="inlineStr">
        <is>
          <t>REV_Industrial &amp; Power Generation</t>
        </is>
      </c>
      <c r="E13" s="2" t="inlineStr">
        <is>
          <t>L9.ENG.360.84.105</t>
        </is>
      </c>
      <c r="F13" s="2" t="inlineStr">
        <is>
          <t>Revenue [AUD Million]</t>
        </is>
      </c>
      <c r="G13" s="2" t="inlineStr">
        <is>
          <t>Revenue - AUD Million</t>
        </is>
      </c>
      <c r="I13" s="2" t="inlineStr">
        <is>
          <t>Downer</t>
        </is>
      </c>
      <c r="J13" s="2" t="inlineStr">
        <is>
          <t>FY25REV_Industrial &amp; Power Generation</t>
        </is>
      </c>
      <c r="K13" s="2" t="inlineStr">
        <is>
          <t>REV_Industrial &amp; Power Generation</t>
        </is>
      </c>
      <c r="L13" s="2" t="inlineStr">
        <is>
          <t>Revenue</t>
        </is>
      </c>
      <c r="AF13" s="2" t="inlineStr">
        <is>
          <t>Contiguous Data</t>
        </is>
      </c>
      <c r="AG13" s="2" t="inlineStr">
        <is>
          <t>Inherit Associate Settings</t>
        </is>
      </c>
      <c r="AH13" s="2" t="inlineStr">
        <is>
          <t>Inherit Associate Settings</t>
        </is>
      </c>
      <c r="AI13" s="12" t="n">
        <v>45735.80902777778</v>
      </c>
    </row>
    <row r="14">
      <c r="A14" s="2" t="n">
        <v>6044549</v>
      </c>
      <c r="B14" s="2" t="n">
        <v>6325221</v>
      </c>
      <c r="C14" s="2" t="inlineStr">
        <is>
          <t>Downer</t>
        </is>
      </c>
      <c r="D14" s="2" t="inlineStr">
        <is>
          <t>REV_Infrastructure Projects</t>
        </is>
      </c>
      <c r="E14" s="2" t="inlineStr">
        <is>
          <t>DTIP</t>
        </is>
      </c>
      <c r="F14" s="2" t="inlineStr">
        <is>
          <t>Revenue [AUD Million]</t>
        </is>
      </c>
      <c r="G14" s="2" t="inlineStr">
        <is>
          <t>Revenue - AUD Million</t>
        </is>
      </c>
      <c r="I14" s="2" t="inlineStr">
        <is>
          <t>Downer</t>
        </is>
      </c>
      <c r="J14" s="2" t="inlineStr">
        <is>
          <t>FY25REV_Infrastructure Projects</t>
        </is>
      </c>
      <c r="K14" s="2" t="inlineStr">
        <is>
          <t>REV_Infrastructure Projects</t>
        </is>
      </c>
      <c r="L14" s="2" t="inlineStr">
        <is>
          <t>Revenue</t>
        </is>
      </c>
      <c r="AF14" s="2" t="inlineStr">
        <is>
          <t>Contiguous Data</t>
        </is>
      </c>
      <c r="AG14" s="2" t="inlineStr">
        <is>
          <t>Inherit Associate Settings</t>
        </is>
      </c>
      <c r="AH14" s="2" t="inlineStr">
        <is>
          <t>Inherit Associate Settings</t>
        </is>
      </c>
      <c r="AI14" s="12" t="n">
        <v>45735.80902777778</v>
      </c>
    </row>
    <row r="15">
      <c r="A15" s="2" t="n">
        <v>6044547</v>
      </c>
      <c r="B15" s="2" t="n">
        <v>6325222</v>
      </c>
      <c r="C15" s="2" t="inlineStr">
        <is>
          <t>Downer</t>
        </is>
      </c>
      <c r="D15" s="2" t="inlineStr">
        <is>
          <t>REV_Intra Elim</t>
        </is>
      </c>
      <c r="E15" s="2" t="inlineStr">
        <is>
          <t>CORIE</t>
        </is>
      </c>
      <c r="F15" s="2" t="inlineStr">
        <is>
          <t>Revenue [AUD Million]</t>
        </is>
      </c>
      <c r="G15" s="2" t="inlineStr">
        <is>
          <t>Revenue - AUD Million</t>
        </is>
      </c>
      <c r="I15" s="2" t="inlineStr">
        <is>
          <t>Downer</t>
        </is>
      </c>
      <c r="J15" s="2" t="inlineStr">
        <is>
          <t>FY25REV_Intra Elim</t>
        </is>
      </c>
      <c r="K15" s="2" t="inlineStr">
        <is>
          <t>REV_Intra Elim</t>
        </is>
      </c>
      <c r="L15" s="2" t="inlineStr">
        <is>
          <t>Revenue</t>
        </is>
      </c>
      <c r="AF15" s="2" t="inlineStr">
        <is>
          <t>Contiguous Data</t>
        </is>
      </c>
      <c r="AG15" s="2" t="inlineStr">
        <is>
          <t>Inherit Associate Settings</t>
        </is>
      </c>
      <c r="AH15" s="2" t="inlineStr">
        <is>
          <t>Inherit Associate Settings</t>
        </is>
      </c>
      <c r="AI15" s="12" t="n">
        <v>45735.80902777778</v>
      </c>
    </row>
    <row r="16">
      <c r="A16" s="2" t="n">
        <v>6046340</v>
      </c>
      <c r="B16" s="2" t="n">
        <v>6325223</v>
      </c>
      <c r="C16" s="2" t="inlineStr">
        <is>
          <t>Downer</t>
        </is>
      </c>
      <c r="D16" s="2" t="inlineStr">
        <is>
          <t>REV_Managing Contracts</t>
        </is>
      </c>
      <c r="E16" s="2" t="inlineStr">
        <is>
          <t>L9.S.16016670</t>
        </is>
      </c>
      <c r="F16" s="2" t="inlineStr">
        <is>
          <t>Revenue [AUD Million]</t>
        </is>
      </c>
      <c r="G16" s="2" t="inlineStr">
        <is>
          <t>Revenue - AUD Million</t>
        </is>
      </c>
      <c r="I16" s="2" t="inlineStr">
        <is>
          <t>Downer</t>
        </is>
      </c>
      <c r="J16" s="2" t="inlineStr">
        <is>
          <t>FY25REV_Managing Contracts</t>
        </is>
      </c>
      <c r="K16" s="2" t="inlineStr">
        <is>
          <t>REV_Managing Contracts</t>
        </is>
      </c>
      <c r="L16" s="2" t="inlineStr">
        <is>
          <t>Revenue</t>
        </is>
      </c>
      <c r="AF16" s="2" t="inlineStr">
        <is>
          <t>Contiguous Data</t>
        </is>
      </c>
      <c r="AG16" s="2" t="inlineStr">
        <is>
          <t>Inherit Associate Settings</t>
        </is>
      </c>
      <c r="AH16" s="2" t="inlineStr">
        <is>
          <t>Inherit Associate Settings</t>
        </is>
      </c>
      <c r="AI16" s="12" t="n">
        <v>45735.80902777778</v>
      </c>
    </row>
    <row r="17">
      <c r="A17" s="2" t="n">
        <v>6044542</v>
      </c>
      <c r="B17" s="2" t="n">
        <v>6325224</v>
      </c>
      <c r="C17" s="2" t="inlineStr">
        <is>
          <t>Downer</t>
        </is>
      </c>
      <c r="D17" s="2" t="inlineStr">
        <is>
          <t>REV_Mineral Technologies</t>
        </is>
      </c>
      <c r="E17" s="2" t="inlineStr">
        <is>
          <t>IEMT</t>
        </is>
      </c>
      <c r="F17" s="2" t="inlineStr">
        <is>
          <t>Revenue [AUD Million]</t>
        </is>
      </c>
      <c r="G17" s="2" t="inlineStr">
        <is>
          <t>Revenue - AUD Million</t>
        </is>
      </c>
      <c r="I17" s="2" t="inlineStr">
        <is>
          <t>Downer</t>
        </is>
      </c>
      <c r="J17" s="2" t="inlineStr">
        <is>
          <t>FY25REV_Mineral Technologies</t>
        </is>
      </c>
      <c r="K17" s="2" t="inlineStr">
        <is>
          <t>REV_Mineral Technologies</t>
        </is>
      </c>
      <c r="L17" s="2" t="inlineStr">
        <is>
          <t>Revenue</t>
        </is>
      </c>
      <c r="AF17" s="2" t="inlineStr">
        <is>
          <t>Contiguous Data</t>
        </is>
      </c>
      <c r="AG17" s="2" t="inlineStr">
        <is>
          <t>Inherit Associate Settings</t>
        </is>
      </c>
      <c r="AH17" s="2" t="inlineStr">
        <is>
          <t>Inherit Associate Settings</t>
        </is>
      </c>
      <c r="AI17" s="12" t="n">
        <v>45735.80902777778</v>
      </c>
    </row>
    <row r="18">
      <c r="A18" s="2" t="n">
        <v>6046344</v>
      </c>
      <c r="B18" s="2" t="n">
        <v>6325225</v>
      </c>
      <c r="C18" s="2" t="inlineStr">
        <is>
          <t>Downer</t>
        </is>
      </c>
      <c r="D18" s="2" t="inlineStr">
        <is>
          <t>REV_Mining</t>
        </is>
      </c>
      <c r="E18" s="2" t="inlineStr">
        <is>
          <t>L9.COR.130.02151</t>
        </is>
      </c>
      <c r="F18" s="2" t="inlineStr">
        <is>
          <t>Revenue [AUD Million]</t>
        </is>
      </c>
      <c r="G18" s="2" t="inlineStr">
        <is>
          <t>Revenue - AUD Million</t>
        </is>
      </c>
      <c r="I18" s="2" t="inlineStr">
        <is>
          <t>Downer</t>
        </is>
      </c>
      <c r="J18" s="2" t="inlineStr">
        <is>
          <t>FY25REV_Mining</t>
        </is>
      </c>
      <c r="K18" s="2" t="inlineStr">
        <is>
          <t>REV_Mining</t>
        </is>
      </c>
      <c r="L18" s="2" t="inlineStr">
        <is>
          <t>Revenue</t>
        </is>
      </c>
      <c r="AF18" s="2" t="inlineStr">
        <is>
          <t>Contiguous Data</t>
        </is>
      </c>
      <c r="AG18" s="2" t="inlineStr">
        <is>
          <t>Inherit Associate Settings</t>
        </is>
      </c>
      <c r="AH18" s="2" t="inlineStr">
        <is>
          <t>Inherit Associate Settings</t>
        </is>
      </c>
      <c r="AI18" s="12" t="n">
        <v>45735.80902777778</v>
      </c>
    </row>
    <row r="19">
      <c r="A19" s="2" t="n">
        <v>6046335</v>
      </c>
      <c r="B19" s="2" t="n">
        <v>6325226</v>
      </c>
      <c r="C19" s="2" t="inlineStr">
        <is>
          <t>Downer</t>
        </is>
      </c>
      <c r="D19" s="2" t="inlineStr">
        <is>
          <t>REV_Network Services</t>
        </is>
      </c>
      <c r="E19" s="2" t="inlineStr">
        <is>
          <t>L9.S.WPSTLSTH00</t>
        </is>
      </c>
      <c r="F19" s="2" t="inlineStr">
        <is>
          <t>Revenue [AUD Million]</t>
        </is>
      </c>
      <c r="G19" s="2" t="inlineStr">
        <is>
          <t>Revenue - AUD Million</t>
        </is>
      </c>
      <c r="I19" s="2" t="inlineStr">
        <is>
          <t>Downer</t>
        </is>
      </c>
      <c r="J19" s="2" t="inlineStr">
        <is>
          <t>FY25REV_Network Services</t>
        </is>
      </c>
      <c r="K19" s="2" t="inlineStr">
        <is>
          <t>REV_Network Services</t>
        </is>
      </c>
      <c r="L19" s="2" t="inlineStr">
        <is>
          <t>Revenue</t>
        </is>
      </c>
      <c r="AF19" s="2" t="inlineStr">
        <is>
          <t>Contiguous Data</t>
        </is>
      </c>
      <c r="AG19" s="2" t="inlineStr">
        <is>
          <t>Inherit Associate Settings</t>
        </is>
      </c>
      <c r="AH19" s="2" t="inlineStr">
        <is>
          <t>Inherit Associate Settings</t>
        </is>
      </c>
      <c r="AI19" s="12" t="n">
        <v>45735.80902777778</v>
      </c>
    </row>
    <row r="20">
      <c r="A20" s="2" t="n">
        <v>6044797</v>
      </c>
      <c r="B20" s="2" t="n">
        <v>6325227</v>
      </c>
      <c r="C20" s="2" t="inlineStr">
        <is>
          <t>Downer</t>
        </is>
      </c>
      <c r="D20" s="2" t="inlineStr">
        <is>
          <t>REV_NZ NSC, IT, Property, WF &amp; Elins</t>
        </is>
      </c>
      <c r="E20" s="2" t="inlineStr">
        <is>
          <t>RNZIPWE</t>
        </is>
      </c>
      <c r="F20" s="2" t="inlineStr">
        <is>
          <t>Revenue [AUD Million]</t>
        </is>
      </c>
      <c r="G20" s="2" t="inlineStr">
        <is>
          <t>Revenue - AUD Million</t>
        </is>
      </c>
      <c r="I20" s="2" t="inlineStr">
        <is>
          <t>Downer</t>
        </is>
      </c>
      <c r="J20" s="2" t="inlineStr">
        <is>
          <t>FY25REV_NZ NSC, IT, Property, WF &amp; Elins</t>
        </is>
      </c>
      <c r="K20" s="2" t="inlineStr">
        <is>
          <t>REV_NZ NSC, IT, Property, WF &amp; Elins</t>
        </is>
      </c>
      <c r="L20" s="2" t="inlineStr">
        <is>
          <t>Revenue</t>
        </is>
      </c>
      <c r="AF20" s="2" t="inlineStr">
        <is>
          <t>Contiguous Data</t>
        </is>
      </c>
      <c r="AG20" s="2" t="inlineStr">
        <is>
          <t>Inherit Associate Settings</t>
        </is>
      </c>
      <c r="AH20" s="2" t="inlineStr">
        <is>
          <t>Inherit Associate Settings</t>
        </is>
      </c>
      <c r="AI20" s="12" t="n">
        <v>45735.80902777778</v>
      </c>
    </row>
    <row r="21">
      <c r="A21" s="2" t="n">
        <v>6046341</v>
      </c>
      <c r="B21" s="2" t="n">
        <v>6325228</v>
      </c>
      <c r="C21" s="2" t="inlineStr">
        <is>
          <t>Downer</t>
        </is>
      </c>
      <c r="D21" s="2" t="inlineStr">
        <is>
          <t>REV_Passenger North</t>
        </is>
      </c>
      <c r="E21" s="2" t="inlineStr">
        <is>
          <t>L9.J.709250</t>
        </is>
      </c>
      <c r="F21" s="2" t="inlineStr">
        <is>
          <t>Revenue [AUD Million]</t>
        </is>
      </c>
      <c r="G21" s="2" t="inlineStr">
        <is>
          <t>Revenue - AUD Million</t>
        </is>
      </c>
      <c r="I21" s="2" t="inlineStr">
        <is>
          <t>Downer</t>
        </is>
      </c>
      <c r="J21" s="2" t="inlineStr">
        <is>
          <t>FY25REV_Passenger North</t>
        </is>
      </c>
      <c r="K21" s="2" t="inlineStr">
        <is>
          <t>REV_Passenger North</t>
        </is>
      </c>
      <c r="L21" s="2" t="inlineStr">
        <is>
          <t>Revenue</t>
        </is>
      </c>
      <c r="AF21" s="2" t="inlineStr">
        <is>
          <t>Contiguous Data</t>
        </is>
      </c>
      <c r="AG21" s="2" t="inlineStr">
        <is>
          <t>Inherit Associate Settings</t>
        </is>
      </c>
      <c r="AH21" s="2" t="inlineStr">
        <is>
          <t>Inherit Associate Settings</t>
        </is>
      </c>
      <c r="AI21" s="12" t="n">
        <v>45735.80902777778</v>
      </c>
    </row>
    <row r="22">
      <c r="A22" s="2" t="n">
        <v>6046342</v>
      </c>
      <c r="B22" s="2" t="n">
        <v>6325229</v>
      </c>
      <c r="C22" s="2" t="inlineStr">
        <is>
          <t>Downer</t>
        </is>
      </c>
      <c r="D22" s="2" t="inlineStr">
        <is>
          <t>REV_Passenger South</t>
        </is>
      </c>
      <c r="E22" s="2" t="inlineStr">
        <is>
          <t>L9.J.709506</t>
        </is>
      </c>
      <c r="F22" s="2" t="inlineStr">
        <is>
          <t>Revenue [AUD Million]</t>
        </is>
      </c>
      <c r="G22" s="2" t="inlineStr">
        <is>
          <t>Revenue - AUD Million</t>
        </is>
      </c>
      <c r="I22" s="2" t="inlineStr">
        <is>
          <t>Downer</t>
        </is>
      </c>
      <c r="J22" s="2" t="inlineStr">
        <is>
          <t>FY25REV_Passenger South</t>
        </is>
      </c>
      <c r="K22" s="2" t="inlineStr">
        <is>
          <t>REV_Passenger South</t>
        </is>
      </c>
      <c r="L22" s="2" t="inlineStr">
        <is>
          <t>Revenue</t>
        </is>
      </c>
      <c r="AF22" s="2" t="inlineStr">
        <is>
          <t>Contiguous Data</t>
        </is>
      </c>
      <c r="AG22" s="2" t="inlineStr">
        <is>
          <t>Inherit Associate Settings</t>
        </is>
      </c>
      <c r="AH22" s="2" t="inlineStr">
        <is>
          <t>Inherit Associate Settings</t>
        </is>
      </c>
      <c r="AI22" s="12" t="n">
        <v>45735.80902777778</v>
      </c>
    </row>
    <row r="23">
      <c r="A23" s="2" t="n">
        <v>6044793</v>
      </c>
      <c r="B23" s="2" t="n">
        <v>6325230</v>
      </c>
      <c r="C23" s="2" t="inlineStr">
        <is>
          <t>Downer</t>
        </is>
      </c>
      <c r="D23" s="2" t="inlineStr">
        <is>
          <t>REV_Power Projects</t>
        </is>
      </c>
      <c r="E23" s="2" t="inlineStr">
        <is>
          <t>RPP</t>
        </is>
      </c>
      <c r="F23" s="2" t="inlineStr">
        <is>
          <t>Revenue [AUD Million]</t>
        </is>
      </c>
      <c r="G23" s="2" t="inlineStr">
        <is>
          <t>Revenue - AUD Million</t>
        </is>
      </c>
      <c r="I23" s="2" t="inlineStr">
        <is>
          <t>Downer</t>
        </is>
      </c>
      <c r="J23" s="2" t="inlineStr">
        <is>
          <t>FY25REV_Power Projects</t>
        </is>
      </c>
      <c r="K23" s="2" t="inlineStr">
        <is>
          <t>REV_Power Projects</t>
        </is>
      </c>
      <c r="L23" s="2" t="inlineStr">
        <is>
          <t>Revenue</t>
        </is>
      </c>
      <c r="AF23" s="2" t="inlineStr">
        <is>
          <t>Contiguous Data</t>
        </is>
      </c>
      <c r="AG23" s="2" t="inlineStr">
        <is>
          <t>Inherit Associate Settings</t>
        </is>
      </c>
      <c r="AH23" s="2" t="inlineStr">
        <is>
          <t>Inherit Associate Settings</t>
        </is>
      </c>
      <c r="AI23" s="12" t="n">
        <v>45735.80902777778</v>
      </c>
    </row>
    <row r="24">
      <c r="A24" s="2" t="n">
        <v>6044552</v>
      </c>
      <c r="B24" s="2" t="n">
        <v>6325231</v>
      </c>
      <c r="C24" s="2" t="inlineStr">
        <is>
          <t>Downer</t>
        </is>
      </c>
      <c r="D24" s="2" t="inlineStr">
        <is>
          <t>REV_RTS Digital</t>
        </is>
      </c>
      <c r="E24" s="2" t="inlineStr">
        <is>
          <t>RTSDIG</t>
        </is>
      </c>
      <c r="F24" s="2" t="inlineStr">
        <is>
          <t>Revenue [AUD Million]</t>
        </is>
      </c>
      <c r="G24" s="2" t="inlineStr">
        <is>
          <t>Revenue - AUD Million</t>
        </is>
      </c>
      <c r="I24" s="2" t="inlineStr">
        <is>
          <t>Downer</t>
        </is>
      </c>
      <c r="J24" s="2" t="inlineStr">
        <is>
          <t>FY25REV_RTS Digital</t>
        </is>
      </c>
      <c r="K24" s="2" t="inlineStr">
        <is>
          <t>REV_RTS Digital</t>
        </is>
      </c>
      <c r="L24" s="2" t="inlineStr">
        <is>
          <t>Revenue</t>
        </is>
      </c>
      <c r="AF24" s="2" t="inlineStr">
        <is>
          <t>Contiguous Data</t>
        </is>
      </c>
      <c r="AG24" s="2" t="inlineStr">
        <is>
          <t>Inherit Associate Settings</t>
        </is>
      </c>
      <c r="AH24" s="2" t="inlineStr">
        <is>
          <t>Inherit Associate Settings</t>
        </is>
      </c>
      <c r="AI24" s="12" t="n">
        <v>45735.80902777778</v>
      </c>
    </row>
    <row r="25">
      <c r="A25" s="2" t="n">
        <v>6044844</v>
      </c>
      <c r="B25" s="2" t="n">
        <v>6325232</v>
      </c>
      <c r="C25" s="2" t="inlineStr">
        <is>
          <t>Downer</t>
        </is>
      </c>
      <c r="D25" s="2" t="inlineStr">
        <is>
          <t>REV_RTS FREIGHT</t>
        </is>
      </c>
      <c r="E25" s="2" t="inlineStr">
        <is>
          <t>RTSFREI</t>
        </is>
      </c>
      <c r="F25" s="2" t="inlineStr">
        <is>
          <t>Revenue [AUD Million]</t>
        </is>
      </c>
      <c r="G25" s="2" t="inlineStr">
        <is>
          <t>Revenue - AUD Million</t>
        </is>
      </c>
      <c r="I25" s="2" t="inlineStr">
        <is>
          <t>Downer</t>
        </is>
      </c>
      <c r="J25" s="2" t="inlineStr">
        <is>
          <t>FY25REV_RTS FREIGHT</t>
        </is>
      </c>
      <c r="K25" s="2" t="inlineStr">
        <is>
          <t>REV_RTS FREIGHT</t>
        </is>
      </c>
      <c r="L25" s="2" t="inlineStr">
        <is>
          <t>Revenue</t>
        </is>
      </c>
      <c r="AF25" s="2" t="inlineStr">
        <is>
          <t>Contiguous Data</t>
        </is>
      </c>
      <c r="AG25" s="2" t="inlineStr">
        <is>
          <t>Inherit Associate Settings</t>
        </is>
      </c>
      <c r="AH25" s="2" t="inlineStr">
        <is>
          <t>Inherit Associate Settings</t>
        </is>
      </c>
      <c r="AI25" s="12" t="n">
        <v>45735.80902777778</v>
      </c>
    </row>
    <row r="26">
      <c r="A26" s="2" t="n">
        <v>6046343</v>
      </c>
      <c r="B26" s="2" t="n">
        <v>6325233</v>
      </c>
      <c r="C26" s="2" t="inlineStr">
        <is>
          <t>Downer</t>
        </is>
      </c>
      <c r="D26" s="2" t="inlineStr">
        <is>
          <t>REV_RTS Head Office</t>
        </is>
      </c>
      <c r="E26" s="2" t="inlineStr">
        <is>
          <t>L9.J.799999</t>
        </is>
      </c>
      <c r="F26" s="2" t="inlineStr">
        <is>
          <t>Revenue [AUD Million]</t>
        </is>
      </c>
      <c r="G26" s="2" t="inlineStr">
        <is>
          <t>Revenue - AUD Million</t>
        </is>
      </c>
      <c r="I26" s="2" t="inlineStr">
        <is>
          <t>Downer</t>
        </is>
      </c>
      <c r="J26" s="2" t="inlineStr">
        <is>
          <t>FY25REV_RTS Head Office</t>
        </is>
      </c>
      <c r="K26" s="2" t="inlineStr">
        <is>
          <t>REV_RTS Head Office</t>
        </is>
      </c>
      <c r="L26" s="2" t="inlineStr">
        <is>
          <t>Revenue</t>
        </is>
      </c>
      <c r="AF26" s="2" t="inlineStr">
        <is>
          <t>Contiguous Data</t>
        </is>
      </c>
      <c r="AG26" s="2" t="inlineStr">
        <is>
          <t>Inherit Associate Settings</t>
        </is>
      </c>
      <c r="AH26" s="2" t="inlineStr">
        <is>
          <t>Inherit Associate Settings</t>
        </is>
      </c>
      <c r="AI26" s="12" t="n">
        <v>45735.80902777778</v>
      </c>
    </row>
    <row r="27">
      <c r="A27" s="2" t="n">
        <v>6044554</v>
      </c>
      <c r="B27" s="2" t="n">
        <v>6325234</v>
      </c>
      <c r="C27" s="2" t="inlineStr">
        <is>
          <t>Downer</t>
        </is>
      </c>
      <c r="D27" s="2" t="inlineStr">
        <is>
          <t>REV_RTS Opportunities</t>
        </is>
      </c>
      <c r="E27" s="2" t="inlineStr">
        <is>
          <t>RTSOPPS</t>
        </is>
      </c>
      <c r="F27" s="2" t="inlineStr">
        <is>
          <t>Revenue [AUD Million]</t>
        </is>
      </c>
      <c r="G27" s="2" t="inlineStr">
        <is>
          <t>Revenue - AUD Million</t>
        </is>
      </c>
      <c r="I27" s="2" t="inlineStr">
        <is>
          <t>Downer</t>
        </is>
      </c>
      <c r="J27" s="2" t="inlineStr">
        <is>
          <t>FY25REV_RTS Opportunities</t>
        </is>
      </c>
      <c r="K27" s="2" t="inlineStr">
        <is>
          <t>REV_RTS Opportunities</t>
        </is>
      </c>
      <c r="L27" s="2" t="inlineStr">
        <is>
          <t>Revenue</t>
        </is>
      </c>
      <c r="AF27" s="2" t="inlineStr">
        <is>
          <t>Contiguous Data</t>
        </is>
      </c>
      <c r="AG27" s="2" t="inlineStr">
        <is>
          <t>Inherit Associate Settings</t>
        </is>
      </c>
      <c r="AH27" s="2" t="inlineStr">
        <is>
          <t>Inherit Associate Settings</t>
        </is>
      </c>
      <c r="AI27" s="12" t="n">
        <v>45735.80902777778</v>
      </c>
    </row>
    <row r="28">
      <c r="A28" s="2" t="n">
        <v>6044796</v>
      </c>
      <c r="B28" s="2" t="n">
        <v>6325235</v>
      </c>
      <c r="C28" s="2" t="inlineStr">
        <is>
          <t>Downer</t>
        </is>
      </c>
      <c r="D28" s="2" t="inlineStr">
        <is>
          <t>REV_Social Infrastructure &amp; Citizen Services Support</t>
        </is>
      </c>
      <c r="E28" s="2" t="inlineStr">
        <is>
          <t>RSICSS</t>
        </is>
      </c>
      <c r="F28" s="2" t="inlineStr">
        <is>
          <t>Revenue [AUD Million]</t>
        </is>
      </c>
      <c r="G28" s="2" t="inlineStr">
        <is>
          <t>Revenue - AUD Million</t>
        </is>
      </c>
      <c r="I28" s="2" t="inlineStr">
        <is>
          <t>Downer</t>
        </is>
      </c>
      <c r="J28" s="2" t="inlineStr">
        <is>
          <t>FY25REV_Social Infrastructure &amp; Citizen Services Support</t>
        </is>
      </c>
      <c r="K28" s="2" t="inlineStr">
        <is>
          <t>REV_Social Infrastructure &amp; Citizen Services Support</t>
        </is>
      </c>
      <c r="L28" s="2" t="inlineStr">
        <is>
          <t>Revenue</t>
        </is>
      </c>
      <c r="AF28" s="2" t="inlineStr">
        <is>
          <t>Contiguous Data</t>
        </is>
      </c>
      <c r="AG28" s="2" t="inlineStr">
        <is>
          <t>Inherit Associate Settings</t>
        </is>
      </c>
      <c r="AH28" s="2" t="inlineStr">
        <is>
          <t>Inherit Associate Settings</t>
        </is>
      </c>
      <c r="AI28" s="12" t="n">
        <v>45735.80902777778</v>
      </c>
    </row>
    <row r="29">
      <c r="A29" s="2" t="n">
        <v>6046333</v>
      </c>
      <c r="B29" s="2" t="n">
        <v>6325236</v>
      </c>
      <c r="C29" s="2" t="inlineStr">
        <is>
          <t>Downer</t>
        </is>
      </c>
      <c r="D29" s="2" t="inlineStr">
        <is>
          <t>REV_T&amp;I Gap</t>
        </is>
      </c>
      <c r="E29" s="2" t="inlineStr">
        <is>
          <t>L9.J.259103</t>
        </is>
      </c>
      <c r="F29" s="2" t="inlineStr">
        <is>
          <t>Revenue [AUD Million]</t>
        </is>
      </c>
      <c r="G29" s="2" t="inlineStr">
        <is>
          <t>Revenue - AUD Million</t>
        </is>
      </c>
      <c r="I29" s="2" t="inlineStr">
        <is>
          <t>Downer</t>
        </is>
      </c>
      <c r="J29" s="2" t="inlineStr">
        <is>
          <t>FY25REV_T&amp;I Gap</t>
        </is>
      </c>
      <c r="K29" s="2" t="inlineStr">
        <is>
          <t>REV_T&amp;I Gap</t>
        </is>
      </c>
      <c r="L29" s="2" t="inlineStr">
        <is>
          <t>Revenue</t>
        </is>
      </c>
      <c r="AF29" s="2" t="inlineStr">
        <is>
          <t>Contiguous Data</t>
        </is>
      </c>
      <c r="AG29" s="2" t="inlineStr">
        <is>
          <t>Inherit Associate Settings</t>
        </is>
      </c>
      <c r="AH29" s="2" t="inlineStr">
        <is>
          <t>Inherit Associate Settings</t>
        </is>
      </c>
      <c r="AI29" s="12" t="n">
        <v>45735.80902777778</v>
      </c>
    </row>
    <row r="30">
      <c r="A30" s="2" t="n">
        <v>6044536</v>
      </c>
      <c r="B30" s="2" t="n">
        <v>6325237</v>
      </c>
      <c r="C30" s="2" t="inlineStr">
        <is>
          <t>Downer</t>
        </is>
      </c>
      <c r="D30" s="2" t="inlineStr">
        <is>
          <t>REV_T&amp;I Head Office</t>
        </is>
      </c>
      <c r="E30" s="2" t="inlineStr">
        <is>
          <t>TITIHO</t>
        </is>
      </c>
      <c r="F30" s="2" t="inlineStr">
        <is>
          <t>Revenue [AUD Million]</t>
        </is>
      </c>
      <c r="G30" s="2" t="inlineStr">
        <is>
          <t>Revenue - AUD Million</t>
        </is>
      </c>
      <c r="I30" s="2" t="inlineStr">
        <is>
          <t>Downer</t>
        </is>
      </c>
      <c r="J30" s="2" t="inlineStr">
        <is>
          <t>FY25REV_T&amp;I Head Office</t>
        </is>
      </c>
      <c r="K30" s="2" t="inlineStr">
        <is>
          <t>REV_T&amp;I Head Office</t>
        </is>
      </c>
      <c r="L30" s="2" t="inlineStr">
        <is>
          <t>Revenue</t>
        </is>
      </c>
      <c r="AF30" s="2" t="inlineStr">
        <is>
          <t>Contiguous Data</t>
        </is>
      </c>
      <c r="AG30" s="2" t="inlineStr">
        <is>
          <t>Inherit Associate Settings</t>
        </is>
      </c>
      <c r="AH30" s="2" t="inlineStr">
        <is>
          <t>Inherit Associate Settings</t>
        </is>
      </c>
      <c r="AI30" s="12" t="n">
        <v>45735.80902777778</v>
      </c>
    </row>
    <row r="31">
      <c r="A31" s="2" t="n">
        <v>6046334</v>
      </c>
      <c r="B31" s="2" t="n">
        <v>6325238</v>
      </c>
      <c r="C31" s="2" t="inlineStr">
        <is>
          <t>Downer</t>
        </is>
      </c>
      <c r="D31" s="2" t="inlineStr">
        <is>
          <t>REV_Telecommunications</t>
        </is>
      </c>
      <c r="E31" s="2" t="inlineStr">
        <is>
          <t>L9.DNZJ.56900</t>
        </is>
      </c>
      <c r="F31" s="2" t="inlineStr">
        <is>
          <t>Revenue [AUD Million]</t>
        </is>
      </c>
      <c r="G31" s="2" t="inlineStr">
        <is>
          <t>Revenue - AUD Million</t>
        </is>
      </c>
      <c r="I31" s="2" t="inlineStr">
        <is>
          <t>Downer</t>
        </is>
      </c>
      <c r="J31" s="2" t="inlineStr">
        <is>
          <t>FY25REV_Telecommunications</t>
        </is>
      </c>
      <c r="K31" s="2" t="inlineStr">
        <is>
          <t>REV_Telecommunications</t>
        </is>
      </c>
      <c r="L31" s="2" t="inlineStr">
        <is>
          <t>Revenue</t>
        </is>
      </c>
      <c r="AF31" s="2" t="inlineStr">
        <is>
          <t>Contiguous Data</t>
        </is>
      </c>
      <c r="AG31" s="2" t="inlineStr">
        <is>
          <t>Inherit Associate Settings</t>
        </is>
      </c>
      <c r="AH31" s="2" t="inlineStr">
        <is>
          <t>Inherit Associate Settings</t>
        </is>
      </c>
      <c r="AI31" s="12" t="n">
        <v>45735.80902777778</v>
      </c>
    </row>
    <row r="32">
      <c r="A32" s="2" t="n">
        <v>6046329</v>
      </c>
      <c r="B32" s="2" t="n">
        <v>6325239</v>
      </c>
      <c r="C32" s="2" t="inlineStr">
        <is>
          <t>Downer</t>
        </is>
      </c>
      <c r="D32" s="2" t="inlineStr">
        <is>
          <t>REV_Transport &amp; Infrastructure AU</t>
        </is>
      </c>
      <c r="E32" s="2" t="inlineStr">
        <is>
          <t>L9.J.170615</t>
        </is>
      </c>
      <c r="F32" s="2" t="inlineStr">
        <is>
          <t>Revenue [AUD Million]</t>
        </is>
      </c>
      <c r="G32" s="2" t="inlineStr">
        <is>
          <t>Revenue - AUD Million</t>
        </is>
      </c>
      <c r="I32" s="2" t="inlineStr">
        <is>
          <t>Downer</t>
        </is>
      </c>
      <c r="J32" s="2" t="inlineStr">
        <is>
          <t>FY25REV_Transport &amp; Infrastructure AU</t>
        </is>
      </c>
      <c r="K32" s="2" t="inlineStr">
        <is>
          <t>REV_Transport &amp; Infrastructure AU</t>
        </is>
      </c>
      <c r="L32" s="2" t="inlineStr">
        <is>
          <t>Revenue</t>
        </is>
      </c>
      <c r="AF32" s="2" t="inlineStr">
        <is>
          <t>Contiguous Data</t>
        </is>
      </c>
      <c r="AG32" s="2" t="inlineStr">
        <is>
          <t>Inherit Associate Settings</t>
        </is>
      </c>
      <c r="AH32" s="2" t="inlineStr">
        <is>
          <t>Inherit Associate Settings</t>
        </is>
      </c>
      <c r="AI32" s="12" t="n">
        <v>45735.80902777778</v>
      </c>
    </row>
    <row r="33">
      <c r="A33" s="2" t="n">
        <v>6046328</v>
      </c>
      <c r="B33" s="2" t="n">
        <v>6325240</v>
      </c>
      <c r="C33" s="2" t="inlineStr">
        <is>
          <t>Downer</t>
        </is>
      </c>
      <c r="D33" s="2" t="inlineStr">
        <is>
          <t>REV_Transport &amp; Infrastructure NZ</t>
        </is>
      </c>
      <c r="E33" s="2" t="inlineStr">
        <is>
          <t>L9.DNZJ.8134</t>
        </is>
      </c>
      <c r="F33" s="2" t="inlineStr">
        <is>
          <t>Revenue [AUD Million]</t>
        </is>
      </c>
      <c r="G33" s="2" t="inlineStr">
        <is>
          <t>Revenue - AUD Million</t>
        </is>
      </c>
      <c r="I33" s="2" t="inlineStr">
        <is>
          <t>Downer</t>
        </is>
      </c>
      <c r="J33" s="2" t="inlineStr">
        <is>
          <t>FY25REV_Transport &amp; Infrastructure NZ</t>
        </is>
      </c>
      <c r="K33" s="2" t="inlineStr">
        <is>
          <t>REV_Transport &amp; Infrastructure NZ</t>
        </is>
      </c>
      <c r="L33" s="2" t="inlineStr">
        <is>
          <t>Revenue</t>
        </is>
      </c>
      <c r="AF33" s="2" t="inlineStr">
        <is>
          <t>Contiguous Data</t>
        </is>
      </c>
      <c r="AG33" s="2" t="inlineStr">
        <is>
          <t>Inherit Associate Settings</t>
        </is>
      </c>
      <c r="AH33" s="2" t="inlineStr">
        <is>
          <t>Inherit Associate Settings</t>
        </is>
      </c>
      <c r="AI33" s="12" t="n">
        <v>45735.80902777778</v>
      </c>
    </row>
    <row r="34">
      <c r="A34" s="2" t="n">
        <v>6044570</v>
      </c>
      <c r="B34" s="2" t="n">
        <v>6325241</v>
      </c>
      <c r="C34" s="2" t="inlineStr">
        <is>
          <t>Downer</t>
        </is>
      </c>
      <c r="D34" s="2" t="inlineStr">
        <is>
          <t>REV_Utilities Legacy &amp; Other</t>
        </is>
      </c>
      <c r="E34" s="2" t="inlineStr">
        <is>
          <t>UTLLEGO</t>
        </is>
      </c>
      <c r="F34" s="2" t="inlineStr">
        <is>
          <t>Revenue [AUD Million]</t>
        </is>
      </c>
      <c r="G34" s="2" t="inlineStr">
        <is>
          <t>Revenue - AUD Million</t>
        </is>
      </c>
      <c r="I34" s="2" t="inlineStr">
        <is>
          <t>Downer</t>
        </is>
      </c>
      <c r="J34" s="2" t="inlineStr">
        <is>
          <t>FY25REV_Utilities Legacy &amp; Other</t>
        </is>
      </c>
      <c r="K34" s="2" t="inlineStr">
        <is>
          <t>REV_Utilities Legacy &amp; Other</t>
        </is>
      </c>
      <c r="L34" s="2" t="inlineStr">
        <is>
          <t>Revenue</t>
        </is>
      </c>
      <c r="AF34" s="2" t="inlineStr">
        <is>
          <t>Contiguous Data</t>
        </is>
      </c>
      <c r="AG34" s="2" t="inlineStr">
        <is>
          <t>Inherit Associate Settings</t>
        </is>
      </c>
      <c r="AH34" s="2" t="inlineStr">
        <is>
          <t>Inherit Associate Settings</t>
        </is>
      </c>
      <c r="AI34" s="12" t="n">
        <v>45735.80902777778</v>
      </c>
    </row>
    <row r="35">
      <c r="A35" s="2" t="n">
        <v>6046336</v>
      </c>
      <c r="B35" s="2" t="n">
        <v>6325242</v>
      </c>
      <c r="C35" s="2" t="inlineStr">
        <is>
          <t>Downer</t>
        </is>
      </c>
      <c r="D35" s="2" t="inlineStr">
        <is>
          <t>REV_Water</t>
        </is>
      </c>
      <c r="E35" s="2" t="inlineStr">
        <is>
          <t>L9.J.39220126</t>
        </is>
      </c>
      <c r="F35" s="2" t="inlineStr">
        <is>
          <t>Revenue [AUD Million]</t>
        </is>
      </c>
      <c r="G35" s="2" t="inlineStr">
        <is>
          <t>Revenue - AUD Million</t>
        </is>
      </c>
      <c r="I35" s="2" t="inlineStr">
        <is>
          <t>Downer</t>
        </is>
      </c>
      <c r="J35" s="2" t="inlineStr">
        <is>
          <t>FY25REV_Water</t>
        </is>
      </c>
      <c r="K35" s="2" t="inlineStr">
        <is>
          <t>REV_Water</t>
        </is>
      </c>
      <c r="L35" s="2" t="inlineStr">
        <is>
          <t>Revenue</t>
        </is>
      </c>
      <c r="AF35" s="2" t="inlineStr">
        <is>
          <t>Contiguous Data</t>
        </is>
      </c>
      <c r="AG35" s="2" t="inlineStr">
        <is>
          <t>Inherit Associate Settings</t>
        </is>
      </c>
      <c r="AH35" s="2" t="inlineStr">
        <is>
          <t>Inherit Associate Settings</t>
        </is>
      </c>
      <c r="AI35" s="12" t="n">
        <v>45735.80902777778</v>
      </c>
    </row>
    <row r="36">
      <c r="A36" s="2" t="n">
        <v>6044550</v>
      </c>
      <c r="B36" s="2" t="n">
        <v>6222427</v>
      </c>
      <c r="C36" s="2" t="inlineStr">
        <is>
          <t>Downer</t>
        </is>
      </c>
      <c r="D36" s="2" t="inlineStr">
        <is>
          <t>REV_Rail Services Victoria Pty Ltd</t>
        </is>
      </c>
      <c r="E36" s="2" t="inlineStr">
        <is>
          <t>RTSRSV</t>
        </is>
      </c>
      <c r="F36" s="2" t="inlineStr">
        <is>
          <t>Revenue [AUD Million]</t>
        </is>
      </c>
      <c r="G36" s="2" t="inlineStr">
        <is>
          <t>Revenue - AUD Million</t>
        </is>
      </c>
      <c r="I36" s="2" t="inlineStr">
        <is>
          <t>Downer</t>
        </is>
      </c>
      <c r="J36" s="2" t="inlineStr">
        <is>
          <t>REV_Rail Services Victoria Pty Ltd</t>
        </is>
      </c>
      <c r="L36" s="2" t="inlineStr">
        <is>
          <t>Multi Template</t>
        </is>
      </c>
      <c r="P36" s="2" t="inlineStr">
        <is>
          <t>Decarbonisation Pathway</t>
        </is>
      </c>
      <c r="Q36" s="2" t="inlineStr">
        <is>
          <t>Other</t>
        </is>
      </c>
      <c r="R36" s="2" t="n">
        <v>100</v>
      </c>
      <c r="AF36" s="2" t="inlineStr">
        <is>
          <t>Contiguous Data</t>
        </is>
      </c>
      <c r="AG36" s="2" t="inlineStr">
        <is>
          <t>Inherit Associate Settings</t>
        </is>
      </c>
      <c r="AH36" s="2" t="inlineStr">
        <is>
          <t>Inherit Associate Settings</t>
        </is>
      </c>
      <c r="AI36" s="12" t="n">
        <v>45831.72777777778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0"/>
  <sheetViews>
    <sheetView tabSelected="0" workbookViewId="0">
      <selection activeCell="A1" sqref="A1"/>
    </sheetView>
  </sheetViews>
  <sheetFormatPr baseColWidth="8" defaultRowHeight="15"/>
  <cols>
    <col width="40" customWidth="1" min="1" max="1"/>
    <col width="32" customWidth="1" min="2" max="2"/>
    <col width="18" customWidth="1" min="3" max="3"/>
    <col width="18" customWidth="1" min="4" max="4"/>
    <col width="12" customWidth="1" min="5" max="5"/>
    <col width="10" customWidth="1" min="6" max="6"/>
  </cols>
  <sheetData>
    <row r="1">
      <c r="A1" s="1" t="inlineStr">
        <is>
          <t>Jul 2026 Revenue — Account Setup Verification by Line Item</t>
        </is>
      </c>
    </row>
    <row r="2">
      <c r="A2" s="5" t="inlineStr">
        <is>
          <t>Generated: 25 Aug 2026  |  FY27 Revenue (Jul) vs Account_Setup_and_Data_Load Jul rows</t>
        </is>
      </c>
    </row>
    <row r="3">
      <c r="A3" s="1" t="inlineStr">
        <is>
          <t>Record Reference</t>
        </is>
      </c>
      <c r="B3" s="1" t="inlineStr">
        <is>
          <t>Location</t>
        </is>
      </c>
      <c r="C3" s="1" t="inlineStr">
        <is>
          <t>FY27 Revenue (Jul)</t>
        </is>
      </c>
      <c r="D3" s="1" t="inlineStr">
        <is>
          <t>Account Setup (Jul)</t>
        </is>
      </c>
      <c r="E3" s="1" t="inlineStr">
        <is>
          <t>Difference</t>
        </is>
      </c>
      <c r="F3" s="1" t="inlineStr">
        <is>
          <t>Status</t>
        </is>
      </c>
    </row>
    <row r="4">
      <c r="A4" s="2" t="inlineStr">
        <is>
          <t>T&amp;I NZ North</t>
        </is>
      </c>
      <c r="B4" s="2">
        <f>CONCATENATE("REV","_",'FY27 Revenue'!B2)</f>
        <v/>
      </c>
      <c r="C4" s="2">
        <f>IFERROR(INDEX('FY27 Revenue'!$D$2:$D$69,MATCH(A4,'FY27 Revenue'!$C$2:$C$69,0)),IFERROR(INDEX('FY27 Revenue'!$D$2:$D$69,MATCH(A4,'FY27 Revenue'!$B$2:$B$69,0)),0))</f>
        <v/>
      </c>
      <c r="D4" s="2">
        <f>SUMIFS(Account_Setup_and_Data_Load!$T$2:$T$69,Account_Setup_and_Data_Load!$L$2:$L$69,"2026-07-01",Account_Setup_and_Data_Load!$R$2:$R$69,A4)</f>
        <v/>
      </c>
      <c r="E4" s="2">
        <f>ROUND(D4-C4,4)</f>
        <v/>
      </c>
      <c r="F4" s="2">
        <f>IF(ABS(E4)&lt;=0.001,"OK","MISMATCH")</f>
        <v/>
      </c>
    </row>
    <row r="5">
      <c r="A5" s="2" t="inlineStr">
        <is>
          <t>T&amp;I NZ South</t>
        </is>
      </c>
      <c r="B5" s="2">
        <f>CONCATENATE("REV","_",'FY27 Revenue'!B3)</f>
        <v/>
      </c>
      <c r="C5" s="2">
        <f>IFERROR(INDEX('FY27 Revenue'!$D$2:$D$69,MATCH(A5,'FY27 Revenue'!$C$2:$C$69,0)),IFERROR(INDEX('FY27 Revenue'!$D$2:$D$69,MATCH(A5,'FY27 Revenue'!$B$2:$B$69,0)),0))</f>
        <v/>
      </c>
      <c r="D5" s="2">
        <f>SUMIFS(Account_Setup_and_Data_Load!$T$2:$T$69,Account_Setup_and_Data_Load!$L$2:$L$69,"2026-07-01",Account_Setup_and_Data_Load!$R$2:$R$69,A5)</f>
        <v/>
      </c>
      <c r="E5" s="2">
        <f>ROUND(D5-C5,4)</f>
        <v/>
      </c>
      <c r="F5" s="2">
        <f>IF(ABS(E5)&lt;=0.001,"OK","MISMATCH")</f>
        <v/>
      </c>
    </row>
    <row r="6">
      <c r="A6" s="2" t="inlineStr">
        <is>
          <t>T&amp;I NZ Infrastructure Delivery</t>
        </is>
      </c>
      <c r="B6" s="2">
        <f>CONCATENATE("REV","_",'FY27 Revenue'!B4)</f>
        <v/>
      </c>
      <c r="C6" s="2">
        <f>IFERROR(INDEX('FY27 Revenue'!$D$2:$D$69,MATCH(A6,'FY27 Revenue'!$C$2:$C$69,0)),IFERROR(INDEX('FY27 Revenue'!$D$2:$D$69,MATCH(A6,'FY27 Revenue'!$B$2:$B$69,0)),0))</f>
        <v/>
      </c>
      <c r="D6" s="2">
        <f>SUMIFS(Account_Setup_and_Data_Load!$T$2:$T$69,Account_Setup_and_Data_Load!$L$2:$L$69,"2026-07-01",Account_Setup_and_Data_Load!$R$2:$R$69,A6)</f>
        <v/>
      </c>
      <c r="E6" s="2">
        <f>ROUND(D6-C6,4)</f>
        <v/>
      </c>
      <c r="F6" s="2">
        <f>IF(ABS(E6)&lt;=0.001,"OK","MISMATCH")</f>
        <v/>
      </c>
    </row>
    <row r="7">
      <c r="A7" s="2" t="inlineStr">
        <is>
          <t>T&amp;I NZ Hawkins</t>
        </is>
      </c>
      <c r="B7" s="2">
        <f>CONCATENATE("REV","_",'FY27 Revenue'!B5)</f>
        <v/>
      </c>
      <c r="C7" s="2">
        <f>IFERROR(INDEX('FY27 Revenue'!$D$2:$D$69,MATCH(A7,'FY27 Revenue'!$C$2:$C$69,0)),IFERROR(INDEX('FY27 Revenue'!$D$2:$D$69,MATCH(A7,'FY27 Revenue'!$B$2:$B$69,0)),0))</f>
        <v/>
      </c>
      <c r="D7" s="2">
        <f>SUMIFS(Account_Setup_and_Data_Load!$T$2:$T$69,Account_Setup_and_Data_Load!$L$2:$L$69,"2026-07-01",Account_Setup_and_Data_Load!$R$2:$R$69,A7)</f>
        <v/>
      </c>
      <c r="E7" s="2">
        <f>ROUND(D7-C7,4)</f>
        <v/>
      </c>
      <c r="F7" s="2">
        <f>IF(ABS(E7)&lt;=0.001,"OK","MISMATCH")</f>
        <v/>
      </c>
    </row>
    <row r="8">
      <c r="A8" s="2" t="inlineStr">
        <is>
          <t>T&amp;I NZ National Operations</t>
        </is>
      </c>
      <c r="B8" s="2">
        <f>CONCATENATE("REV","_",'FY27 Revenue'!B6)</f>
        <v/>
      </c>
      <c r="C8" s="2">
        <f>IFERROR(INDEX('FY27 Revenue'!$D$2:$D$69,MATCH(A8,'FY27 Revenue'!$C$2:$C$69,0)),IFERROR(INDEX('FY27 Revenue'!$D$2:$D$69,MATCH(A8,'FY27 Revenue'!$B$2:$B$69,0)),0))</f>
        <v/>
      </c>
      <c r="D8" s="2">
        <f>SUMIFS(Account_Setup_and_Data_Load!$T$2:$T$69,Account_Setup_and_Data_Load!$L$2:$L$69,"2026-07-01",Account_Setup_and_Data_Load!$R$2:$R$69,A8)</f>
        <v/>
      </c>
      <c r="E8" s="2">
        <f>ROUND(D8-C8,4)</f>
        <v/>
      </c>
      <c r="F8" s="2">
        <f>IF(ABS(E8)&lt;=0.001,"OK","MISMATCH")</f>
        <v/>
      </c>
    </row>
    <row r="9">
      <c r="A9" s="2" t="inlineStr">
        <is>
          <t>T&amp;I NZ Overheads</t>
        </is>
      </c>
      <c r="B9" s="2">
        <f>CONCATENATE("REV","_",'FY27 Revenue'!B7)</f>
        <v/>
      </c>
      <c r="C9" s="2">
        <f>IFERROR(INDEX('FY27 Revenue'!$D$2:$D$69,MATCH(A9,'FY27 Revenue'!$C$2:$C$69,0)),IFERROR(INDEX('FY27 Revenue'!$D$2:$D$69,MATCH(A9,'FY27 Revenue'!$B$2:$B$69,0)),0))</f>
        <v/>
      </c>
      <c r="D9" s="2">
        <f>SUMIFS(Account_Setup_and_Data_Load!$T$2:$T$69,Account_Setup_and_Data_Load!$L$2:$L$69,"2026-07-01",Account_Setup_and_Data_Load!$R$2:$R$69,A9)</f>
        <v/>
      </c>
      <c r="E9" s="2">
        <f>ROUND(D9-C9,4)</f>
        <v/>
      </c>
      <c r="F9" s="2">
        <f>IF(ABS(E9)&lt;=0.001,"OK","MISMATCH")</f>
        <v/>
      </c>
    </row>
    <row r="10">
      <c r="A10" s="2" t="inlineStr">
        <is>
          <t>T&amp;I AU Asphalt &amp; Products</t>
        </is>
      </c>
      <c r="B10" s="2">
        <f>CONCATENATE("REV","_",'FY27 Revenue'!B8)</f>
        <v/>
      </c>
      <c r="C10" s="2">
        <f>IFERROR(INDEX('FY27 Revenue'!$D$2:$D$69,MATCH(A10,'FY27 Revenue'!$C$2:$C$69,0)),IFERROR(INDEX('FY27 Revenue'!$D$2:$D$69,MATCH(A10,'FY27 Revenue'!$B$2:$B$69,0)),0))</f>
        <v/>
      </c>
      <c r="D10" s="2">
        <f>SUMIFS(Account_Setup_and_Data_Load!$T$2:$T$69,Account_Setup_and_Data_Load!$L$2:$L$69,"2026-07-01",Account_Setup_and_Data_Load!$R$2:$R$69,A10)</f>
        <v/>
      </c>
      <c r="E10" s="2">
        <f>ROUND(D10-C10,4)</f>
        <v/>
      </c>
      <c r="F10" s="2">
        <f>IF(ABS(E10)&lt;=0.001,"OK","MISMATCH")</f>
        <v/>
      </c>
    </row>
    <row r="11">
      <c r="A11" s="2" t="inlineStr">
        <is>
          <t>Maintenance &amp; ITS</t>
        </is>
      </c>
      <c r="B11" s="2">
        <f>CONCATENATE("REV","_",'FY27 Revenue'!B9)</f>
        <v/>
      </c>
      <c r="C11" s="2">
        <f>IFERROR(INDEX('FY27 Revenue'!$D$2:$D$69,MATCH(A11,'FY27 Revenue'!$C$2:$C$69,0)),IFERROR(INDEX('FY27 Revenue'!$D$2:$D$69,MATCH(A11,'FY27 Revenue'!$B$2:$B$69,0)),0))</f>
        <v/>
      </c>
      <c r="D11" s="2">
        <f>SUMIFS(Account_Setup_and_Data_Load!$T$2:$T$69,Account_Setup_and_Data_Load!$L$2:$L$69,"2026-07-01",Account_Setup_and_Data_Load!$R$2:$R$69,A11)</f>
        <v/>
      </c>
      <c r="E11" s="2">
        <f>ROUND(D11-C11,4)</f>
        <v/>
      </c>
      <c r="F11" s="2">
        <f>IF(ABS(E11)&lt;=0.001,"OK","MISMATCH")</f>
        <v/>
      </c>
    </row>
    <row r="12">
      <c r="A12" s="2" t="inlineStr">
        <is>
          <t>Pavement Rehabilitation &amp; Civils</t>
        </is>
      </c>
      <c r="B12" s="2">
        <f>CONCATENATE("REV","_",'FY27 Revenue'!B10)</f>
        <v/>
      </c>
      <c r="C12" s="2">
        <f>IFERROR(INDEX('FY27 Revenue'!$D$2:$D$69,MATCH(A12,'FY27 Revenue'!$C$2:$C$69,0)),IFERROR(INDEX('FY27 Revenue'!$D$2:$D$69,MATCH(A12,'FY27 Revenue'!$B$2:$B$69,0)),0))</f>
        <v/>
      </c>
      <c r="D12" s="2">
        <f>SUMIFS(Account_Setup_and_Data_Load!$T$2:$T$69,Account_Setup_and_Data_Load!$L$2:$L$69,"2026-07-01",Account_Setup_and_Data_Load!$R$2:$R$69,A12)</f>
        <v/>
      </c>
      <c r="E12" s="2">
        <f>ROUND(D12-C12,4)</f>
        <v/>
      </c>
      <c r="F12" s="2">
        <f>IF(ABS(E12)&lt;=0.001,"OK","MISMATCH")</f>
        <v/>
      </c>
    </row>
    <row r="13">
      <c r="A13" s="2" t="inlineStr">
        <is>
          <t>Specialised Pavements &amp; Projects</t>
        </is>
      </c>
      <c r="B13" s="2">
        <f>CONCATENATE("REV","_",'FY27 Revenue'!B11)</f>
        <v/>
      </c>
      <c r="C13" s="2">
        <f>IFERROR(INDEX('FY27 Revenue'!$D$2:$D$69,MATCH(A13,'FY27 Revenue'!$C$2:$C$69,0)),IFERROR(INDEX('FY27 Revenue'!$D$2:$D$69,MATCH(A13,'FY27 Revenue'!$B$2:$B$69,0)),0))</f>
        <v/>
      </c>
      <c r="D13" s="2">
        <f>SUMIFS(Account_Setup_and_Data_Load!$T$2:$T$69,Account_Setup_and_Data_Load!$L$2:$L$69,"2026-07-01",Account_Setup_and_Data_Load!$R$2:$R$69,A13)</f>
        <v/>
      </c>
      <c r="E13" s="2">
        <f>ROUND(D13-C13,4)</f>
        <v/>
      </c>
      <c r="F13" s="2">
        <f>IF(ABS(E13)&lt;=0.001,"OK","MISMATCH")</f>
        <v/>
      </c>
    </row>
    <row r="14">
      <c r="A14" s="2" t="inlineStr">
        <is>
          <t>Thin Surfacing</t>
        </is>
      </c>
      <c r="B14" s="2">
        <f>CONCATENATE("REV","_",'FY27 Revenue'!B12)</f>
        <v/>
      </c>
      <c r="C14" s="2">
        <f>IFERROR(INDEX('FY27 Revenue'!$D$2:$D$69,MATCH(A14,'FY27 Revenue'!$C$2:$C$69,0)),IFERROR(INDEX('FY27 Revenue'!$D$2:$D$69,MATCH(A14,'FY27 Revenue'!$B$2:$B$69,0)),0))</f>
        <v/>
      </c>
      <c r="D14" s="2">
        <f>SUMIFS(Account_Setup_and_Data_Load!$T$2:$T$69,Account_Setup_and_Data_Load!$L$2:$L$69,"2026-07-01",Account_Setup_and_Data_Load!$R$2:$R$69,A14)</f>
        <v/>
      </c>
      <c r="E14" s="2">
        <f>ROUND(D14-C14,4)</f>
        <v/>
      </c>
      <c r="F14" s="2">
        <f>IF(ABS(E14)&lt;=0.001,"OK","MISMATCH")</f>
        <v/>
      </c>
    </row>
    <row r="15">
      <c r="A15" s="2" t="inlineStr">
        <is>
          <t>BIA</t>
        </is>
      </c>
      <c r="B15" s="2">
        <f>CONCATENATE("REV","_",'FY27 Revenue'!B13)</f>
        <v/>
      </c>
      <c r="C15" s="2">
        <f>IFERROR(INDEX('FY27 Revenue'!$D$2:$D$69,MATCH(A15,'FY27 Revenue'!$C$2:$C$69,0)),IFERROR(INDEX('FY27 Revenue'!$D$2:$D$69,MATCH(A15,'FY27 Revenue'!$B$2:$B$69,0)),0))</f>
        <v/>
      </c>
      <c r="D15" s="2">
        <f>SUMIFS(Account_Setup_and_Data_Load!$T$2:$T$69,Account_Setup_and_Data_Load!$L$2:$L$69,"2026-07-01",Account_Setup_and_Data_Load!$R$2:$R$69,A15)</f>
        <v/>
      </c>
      <c r="E15" s="2">
        <f>ROUND(D15-C15,4)</f>
        <v/>
      </c>
      <c r="F15" s="2">
        <f>IF(ABS(E15)&lt;=0.001,"OK","MISMATCH")</f>
        <v/>
      </c>
    </row>
    <row r="16">
      <c r="A16" s="2" t="inlineStr">
        <is>
          <t>AU Fleet T&amp;I Plant</t>
        </is>
      </c>
      <c r="B16" s="2">
        <f>CONCATENATE("REV","_",'FY27 Revenue'!B14)</f>
        <v/>
      </c>
      <c r="C16" s="2">
        <f>IFERROR(INDEX('FY27 Revenue'!$D$2:$D$69,MATCH(A16,'FY27 Revenue'!$C$2:$C$69,0)),IFERROR(INDEX('FY27 Revenue'!$D$2:$D$69,MATCH(A16,'FY27 Revenue'!$B$2:$B$69,0)),0))</f>
        <v/>
      </c>
      <c r="D16" s="2">
        <f>SUMIFS(Account_Setup_and_Data_Load!$T$2:$T$69,Account_Setup_and_Data_Load!$L$2:$L$69,"2026-07-01",Account_Setup_and_Data_Load!$R$2:$R$69,A16)</f>
        <v/>
      </c>
      <c r="E16" s="2">
        <f>ROUND(D16-C16,4)</f>
        <v/>
      </c>
      <c r="F16" s="2">
        <f>IF(ABS(E16)&lt;=0.001,"OK","MISMATCH")</f>
        <v/>
      </c>
    </row>
    <row r="17">
      <c r="A17" s="2" t="inlineStr">
        <is>
          <t>AU Fleet Light Vehicles</t>
        </is>
      </c>
      <c r="B17" s="2">
        <f>CONCATENATE("REV","_",'FY27 Revenue'!B15)</f>
        <v/>
      </c>
      <c r="C17" s="2">
        <f>IFERROR(INDEX('FY27 Revenue'!$D$2:$D$69,MATCH(A17,'FY27 Revenue'!$C$2:$C$69,0)),IFERROR(INDEX('FY27 Revenue'!$D$2:$D$69,MATCH(A17,'FY27 Revenue'!$B$2:$B$69,0)),0))</f>
        <v/>
      </c>
      <c r="D17" s="2">
        <f>SUMIFS(Account_Setup_and_Data_Load!$T$2:$T$69,Account_Setup_and_Data_Load!$L$2:$L$69,"2026-07-01",Account_Setup_and_Data_Load!$R$2:$R$69,A17)</f>
        <v/>
      </c>
      <c r="E17" s="2">
        <f>ROUND(D17-C17,4)</f>
        <v/>
      </c>
      <c r="F17" s="2">
        <f>IF(ABS(E17)&lt;=0.001,"OK","MISMATCH")</f>
        <v/>
      </c>
    </row>
    <row r="18">
      <c r="A18" s="2" t="inlineStr">
        <is>
          <t>NZ Fleet</t>
        </is>
      </c>
      <c r="B18" s="2">
        <f>CONCATENATE("REV","_",'FY27 Revenue'!B16)</f>
        <v/>
      </c>
      <c r="C18" s="2">
        <f>IFERROR(INDEX('FY27 Revenue'!$D$2:$D$69,MATCH(A18,'FY27 Revenue'!$C$2:$C$69,0)),IFERROR(INDEX('FY27 Revenue'!$D$2:$D$69,MATCH(A18,'FY27 Revenue'!$B$2:$B$69,0)),0))</f>
        <v/>
      </c>
      <c r="D18" s="2">
        <f>SUMIFS(Account_Setup_and_Data_Load!$T$2:$T$69,Account_Setup_and_Data_Load!$L$2:$L$69,"2026-07-01",Account_Setup_and_Data_Load!$R$2:$R$69,A18)</f>
        <v/>
      </c>
      <c r="E18" s="2">
        <f>ROUND(D18-C18,4)</f>
        <v/>
      </c>
      <c r="F18" s="2">
        <f>IF(ABS(E18)&lt;=0.001,"OK","MISMATCH")</f>
        <v/>
      </c>
    </row>
    <row r="19">
      <c r="A19" s="2" t="inlineStr">
        <is>
          <t>Telco Incl. MS</t>
        </is>
      </c>
      <c r="B19" s="2">
        <f>CONCATENATE("REV","_",'FY27 Revenue'!B17)</f>
        <v/>
      </c>
      <c r="C19" s="2">
        <f>IFERROR(INDEX('FY27 Revenue'!$D$2:$D$69,MATCH(A19,'FY27 Revenue'!$C$2:$C$69,0)),IFERROR(INDEX('FY27 Revenue'!$D$2:$D$69,MATCH(A19,'FY27 Revenue'!$B$2:$B$69,0)),0))</f>
        <v/>
      </c>
      <c r="D19" s="2">
        <f>SUMIFS(Account_Setup_and_Data_Load!$T$2:$T$69,Account_Setup_and_Data_Load!$L$2:$L$69,"2026-07-01",Account_Setup_and_Data_Load!$R$2:$R$69,A19)</f>
        <v/>
      </c>
      <c r="E19" s="2">
        <f>ROUND(D19-C19,4)</f>
        <v/>
      </c>
      <c r="F19" s="2">
        <f>IF(ABS(E19)&lt;=0.001,"OK","MISMATCH")</f>
        <v/>
      </c>
    </row>
    <row r="20">
      <c r="A20" s="2" t="inlineStr">
        <is>
          <t>Telco</t>
        </is>
      </c>
      <c r="B20" s="2">
        <f>CONCATENATE("REV","_",'FY27 Revenue'!B18)</f>
        <v/>
      </c>
      <c r="C20" s="2">
        <f>IFERROR(INDEX('FY27 Revenue'!$D$2:$D$69,MATCH(A20,'FY27 Revenue'!$C$2:$C$69,0)),IFERROR(INDEX('FY27 Revenue'!$D$2:$D$69,MATCH(A20,'FY27 Revenue'!$B$2:$B$69,0)),0))</f>
        <v/>
      </c>
      <c r="D20" s="2">
        <f>SUMIFS(Account_Setup_and_Data_Load!$T$2:$T$69,Account_Setup_and_Data_Load!$L$2:$L$69,"2026-07-01",Account_Setup_and_Data_Load!$R$2:$R$69,A20)</f>
        <v/>
      </c>
      <c r="E20" s="2">
        <f>ROUND(D20-C20,4)</f>
        <v/>
      </c>
      <c r="F20" s="2">
        <f>IF(ABS(E20)&lt;=0.001,"OK","MISMATCH")</f>
        <v/>
      </c>
    </row>
    <row r="21">
      <c r="A21" s="2" t="inlineStr">
        <is>
          <t>Network Services</t>
        </is>
      </c>
      <c r="B21" s="2">
        <f>CONCATENATE("REV","_",'FY27 Revenue'!B19)</f>
        <v/>
      </c>
      <c r="C21" s="2">
        <f>IFERROR(INDEX('FY27 Revenue'!$D$2:$D$69,MATCH(A21,'FY27 Revenue'!$C$2:$C$69,0)),IFERROR(INDEX('FY27 Revenue'!$D$2:$D$69,MATCH(A21,'FY27 Revenue'!$B$2:$B$69,0)),0))</f>
        <v/>
      </c>
      <c r="D21" s="2">
        <f>SUMIFS(Account_Setup_and_Data_Load!$T$2:$T$69,Account_Setup_and_Data_Load!$L$2:$L$69,"2026-07-01",Account_Setup_and_Data_Load!$R$2:$R$69,A21)</f>
        <v/>
      </c>
      <c r="E21" s="2">
        <f>ROUND(D21-C21,4)</f>
        <v/>
      </c>
      <c r="F21" s="2">
        <f>IF(ABS(E21)&lt;=0.001,"OK","MISMATCH")</f>
        <v/>
      </c>
    </row>
    <row r="22">
      <c r="A22" s="2" t="inlineStr">
        <is>
          <t>Water Services</t>
        </is>
      </c>
      <c r="B22" s="2">
        <f>CONCATENATE("REV","_",'FY27 Revenue'!B20)</f>
        <v/>
      </c>
      <c r="C22" s="2">
        <f>IFERROR(INDEX('FY27 Revenue'!$D$2:$D$69,MATCH(A22,'FY27 Revenue'!$C$2:$C$69,0)),IFERROR(INDEX('FY27 Revenue'!$D$2:$D$69,MATCH(A22,'FY27 Revenue'!$B$2:$B$69,0)),0))</f>
        <v/>
      </c>
      <c r="D22" s="2">
        <f>SUMIFS(Account_Setup_and_Data_Load!$T$2:$T$69,Account_Setup_and_Data_Load!$L$2:$L$69,"2026-07-01",Account_Setup_and_Data_Load!$R$2:$R$69,A22)</f>
        <v/>
      </c>
      <c r="E22" s="2">
        <f>ROUND(D22-C22,4)</f>
        <v/>
      </c>
      <c r="F22" s="2">
        <f>IF(ABS(E22)&lt;=0.001,"OK","MISMATCH")</f>
        <v/>
      </c>
    </row>
    <row r="23">
      <c r="A23" s="2" t="inlineStr">
        <is>
          <t>Water NZ</t>
        </is>
      </c>
      <c r="B23" s="2">
        <f>CONCATENATE("REV","_",'FY27 Revenue'!B21)</f>
        <v/>
      </c>
      <c r="C23" s="2">
        <f>IFERROR(INDEX('FY27 Revenue'!$D$2:$D$69,MATCH(A23,'FY27 Revenue'!$C$2:$C$69,0)),IFERROR(INDEX('FY27 Revenue'!$D$2:$D$69,MATCH(A23,'FY27 Revenue'!$B$2:$B$69,0)),0))</f>
        <v/>
      </c>
      <c r="D23" s="2">
        <f>SUMIFS(Account_Setup_and_Data_Load!$T$2:$T$69,Account_Setup_and_Data_Load!$L$2:$L$69,"2026-07-01",Account_Setup_and_Data_Load!$R$2:$R$69,A23)</f>
        <v/>
      </c>
      <c r="E23" s="2">
        <f>ROUND(D23-C23,4)</f>
        <v/>
      </c>
      <c r="F23" s="2">
        <f>IF(ABS(E23)&lt;=0.001,"OK","MISMATCH")</f>
        <v/>
      </c>
    </row>
    <row r="24">
      <c r="A24" s="2" t="inlineStr">
        <is>
          <t>Power Projects</t>
        </is>
      </c>
      <c r="B24" s="2">
        <f>CONCATENATE("REV","_",'FY27 Revenue'!B22)</f>
        <v/>
      </c>
      <c r="C24" s="2">
        <f>IFERROR(INDEX('FY27 Revenue'!$D$2:$D$69,MATCH(A24,'FY27 Revenue'!$C$2:$C$69,0)),IFERROR(INDEX('FY27 Revenue'!$D$2:$D$69,MATCH(A24,'FY27 Revenue'!$B$2:$B$69,0)),0))</f>
        <v/>
      </c>
      <c r="D24" s="2">
        <f>SUMIFS(Account_Setup_and_Data_Load!$T$2:$T$69,Account_Setup_and_Data_Load!$L$2:$L$69,"2026-07-01",Account_Setup_and_Data_Load!$R$2:$R$69,A24)</f>
        <v/>
      </c>
      <c r="E24" s="2">
        <f>ROUND(D24-C24,4)</f>
        <v/>
      </c>
      <c r="F24" s="2">
        <f>IF(ABS(E24)&lt;=0.001,"OK","MISMATCH")</f>
        <v/>
      </c>
    </row>
    <row r="25">
      <c r="A25" s="2" t="inlineStr">
        <is>
          <t>Energy &amp; Industrial West</t>
        </is>
      </c>
      <c r="B25" s="2">
        <f>CONCATENATE("REV","_",'FY27 Revenue'!B23)</f>
        <v/>
      </c>
      <c r="C25" s="2">
        <f>IFERROR(INDEX('FY27 Revenue'!$D$2:$D$69,MATCH(A25,'FY27 Revenue'!$C$2:$C$69,0)),IFERROR(INDEX('FY27 Revenue'!$D$2:$D$69,MATCH(A25,'FY27 Revenue'!$B$2:$B$69,0)),0))</f>
        <v/>
      </c>
      <c r="D25" s="2">
        <f>SUMIFS(Account_Setup_and_Data_Load!$T$2:$T$69,Account_Setup_and_Data_Load!$L$2:$L$69,"2026-07-01",Account_Setup_and_Data_Load!$R$2:$R$69,A25)</f>
        <v/>
      </c>
      <c r="E25" s="2">
        <f>ROUND(D25-C25,4)</f>
        <v/>
      </c>
      <c r="F25" s="2">
        <f>IF(ABS(E25)&lt;=0.001,"OK","MISMATCH")</f>
        <v/>
      </c>
    </row>
    <row r="26">
      <c r="A26" s="2" t="inlineStr">
        <is>
          <t>Energy &amp; Industrial East</t>
        </is>
      </c>
      <c r="B26" s="2">
        <f>CONCATENATE("REV","_",'FY27 Revenue'!B24)</f>
        <v/>
      </c>
      <c r="C26" s="2">
        <f>IFERROR(INDEX('FY27 Revenue'!$D$2:$D$69,MATCH(A26,'FY27 Revenue'!$C$2:$C$69,0)),IFERROR(INDEX('FY27 Revenue'!$D$2:$D$69,MATCH(A26,'FY27 Revenue'!$B$2:$B$69,0)),0))</f>
        <v/>
      </c>
      <c r="D26" s="2">
        <f>SUMIFS(Account_Setup_and_Data_Load!$T$2:$T$69,Account_Setup_and_Data_Load!$L$2:$L$69,"2026-07-01",Account_Setup_and_Data_Load!$R$2:$R$69,A26)</f>
        <v/>
      </c>
      <c r="E26" s="2">
        <f>ROUND(D26-C26,4)</f>
        <v/>
      </c>
      <c r="F26" s="2">
        <f>IF(ABS(E26)&lt;=0.001,"OK","MISMATCH")</f>
        <v/>
      </c>
    </row>
    <row r="27">
      <c r="A27" s="2" t="inlineStr">
        <is>
          <t>Energy Solutions</t>
        </is>
      </c>
      <c r="B27" s="2">
        <f>CONCATENATE("REV","_",'FY27 Revenue'!B25)</f>
        <v/>
      </c>
      <c r="C27" s="2">
        <f>IFERROR(INDEX('FY27 Revenue'!$D$2:$D$69,MATCH(A27,'FY27 Revenue'!$C$2:$C$69,0)),IFERROR(INDEX('FY27 Revenue'!$D$2:$D$69,MATCH(A27,'FY27 Revenue'!$B$2:$B$69,0)),0))</f>
        <v/>
      </c>
      <c r="D27" s="2">
        <f>SUMIFS(Account_Setup_and_Data_Load!$T$2:$T$69,Account_Setup_and_Data_Load!$L$2:$L$69,"2026-07-01",Account_Setup_and_Data_Load!$R$2:$R$69,A27)</f>
        <v/>
      </c>
      <c r="E27" s="2">
        <f>ROUND(D27-C27,4)</f>
        <v/>
      </c>
      <c r="F27" s="2">
        <f>IF(ABS(E27)&lt;=0.001,"OK","MISMATCH")</f>
        <v/>
      </c>
    </row>
    <row r="28">
      <c r="A28" s="2" t="inlineStr">
        <is>
          <t>Energy Networks</t>
        </is>
      </c>
      <c r="B28" s="2">
        <f>CONCATENATE("REV","_",'FY27 Revenue'!B26)</f>
        <v/>
      </c>
      <c r="C28" s="2">
        <f>IFERROR(INDEX('FY27 Revenue'!$D$2:$D$69,MATCH(A28,'FY27 Revenue'!$C$2:$C$69,0)),IFERROR(INDEX('FY27 Revenue'!$D$2:$D$69,MATCH(A28,'FY27 Revenue'!$B$2:$B$69,0)),0))</f>
        <v/>
      </c>
      <c r="D28" s="2">
        <f>SUMIFS(Account_Setup_and_Data_Load!$T$2:$T$69,Account_Setup_and_Data_Load!$L$2:$L$69,"2026-07-01",Account_Setup_and_Data_Load!$R$2:$R$69,A28)</f>
        <v/>
      </c>
      <c r="E28" s="2">
        <f>ROUND(D28-C28,4)</f>
        <v/>
      </c>
      <c r="F28" s="2">
        <f>IF(ABS(E28)&lt;=0.001,"OK","MISMATCH")</f>
        <v/>
      </c>
    </row>
    <row r="29">
      <c r="A29" s="2" t="inlineStr">
        <is>
          <t>Metallurgical Lab</t>
        </is>
      </c>
      <c r="B29" s="2">
        <f>CONCATENATE("REV","_",'FY27 Revenue'!B27)</f>
        <v/>
      </c>
      <c r="C29" s="2">
        <f>IFERROR(INDEX('FY27 Revenue'!$D$2:$D$69,MATCH(A29,'FY27 Revenue'!$C$2:$C$69,0)),IFERROR(INDEX('FY27 Revenue'!$D$2:$D$69,MATCH(A29,'FY27 Revenue'!$B$2:$B$69,0)),0))</f>
        <v/>
      </c>
      <c r="D29" s="2">
        <f>SUMIFS(Account_Setup_and_Data_Load!$T$2:$T$69,Account_Setup_and_Data_Load!$L$2:$L$69,"2026-07-01",Account_Setup_and_Data_Load!$R$2:$R$69,A29)</f>
        <v/>
      </c>
      <c r="E29" s="2">
        <f>ROUND(D29-C29,4)</f>
        <v/>
      </c>
      <c r="F29" s="2">
        <f>IF(ABS(E29)&lt;=0.001,"OK","MISMATCH")</f>
        <v/>
      </c>
    </row>
    <row r="30">
      <c r="A30" s="2" t="inlineStr">
        <is>
          <t>MT Equipment and R&amp;D Aus</t>
        </is>
      </c>
      <c r="B30" s="2">
        <f>CONCATENATE("REV","_",'FY27 Revenue'!B28)</f>
        <v/>
      </c>
      <c r="C30" s="2">
        <f>IFERROR(INDEX('FY27 Revenue'!$D$2:$D$69,MATCH(A30,'FY27 Revenue'!$C$2:$C$69,0)),IFERROR(INDEX('FY27 Revenue'!$D$2:$D$69,MATCH(A30,'FY27 Revenue'!$B$2:$B$69,0)),0))</f>
        <v/>
      </c>
      <c r="D30" s="2">
        <f>SUMIFS(Account_Setup_and_Data_Load!$T$2:$T$69,Account_Setup_and_Data_Load!$L$2:$L$69,"2026-07-01",Account_Setup_and_Data_Load!$R$2:$R$69,A30)</f>
        <v/>
      </c>
      <c r="E30" s="2">
        <f>ROUND(D30-C30,4)</f>
        <v/>
      </c>
      <c r="F30" s="2">
        <f>IF(ABS(E30)&lt;=0.001,"OK","MISMATCH")</f>
        <v/>
      </c>
    </row>
    <row r="31">
      <c r="A31" s="2" t="inlineStr">
        <is>
          <t>MT Engineering Services Aus</t>
        </is>
      </c>
      <c r="B31" s="2">
        <f>CONCATENATE("REV","_",'FY27 Revenue'!B29)</f>
        <v/>
      </c>
      <c r="C31" s="2">
        <f>IFERROR(INDEX('FY27 Revenue'!$D$2:$D$69,MATCH(A31,'FY27 Revenue'!$C$2:$C$69,0)),IFERROR(INDEX('FY27 Revenue'!$D$2:$D$69,MATCH(A31,'FY27 Revenue'!$B$2:$B$69,0)),0))</f>
        <v/>
      </c>
      <c r="D31" s="2">
        <f>SUMIFS(Account_Setup_and_Data_Load!$T$2:$T$69,Account_Setup_and_Data_Load!$L$2:$L$69,"2026-07-01",Account_Setup_and_Data_Load!$R$2:$R$69,A31)</f>
        <v/>
      </c>
      <c r="E31" s="2">
        <f>ROUND(D31-C31,4)</f>
        <v/>
      </c>
      <c r="F31" s="2">
        <f>IF(ABS(E31)&lt;=0.001,"OK","MISMATCH")</f>
        <v/>
      </c>
    </row>
    <row r="32">
      <c r="A32" s="2" t="inlineStr">
        <is>
          <t>MT Geology</t>
        </is>
      </c>
      <c r="B32" s="2">
        <f>CONCATENATE("REV","_",'FY27 Revenue'!B30)</f>
        <v/>
      </c>
      <c r="C32" s="2">
        <f>IFERROR(INDEX('FY27 Revenue'!$D$2:$D$69,MATCH(A32,'FY27 Revenue'!$C$2:$C$69,0)),IFERROR(INDEX('FY27 Revenue'!$D$2:$D$69,MATCH(A32,'FY27 Revenue'!$B$2:$B$69,0)),0))</f>
        <v/>
      </c>
      <c r="D32" s="2">
        <f>SUMIFS(Account_Setup_and_Data_Load!$T$2:$T$69,Account_Setup_and_Data_Load!$L$2:$L$69,"2026-07-01",Account_Setup_and_Data_Load!$R$2:$R$69,A32)</f>
        <v/>
      </c>
      <c r="E32" s="2">
        <f>ROUND(D32-C32,4)</f>
        <v/>
      </c>
      <c r="F32" s="2">
        <f>IF(ABS(E32)&lt;=0.001,"OK","MISMATCH")</f>
        <v/>
      </c>
    </row>
    <row r="33">
      <c r="A33" s="2" t="inlineStr">
        <is>
          <t>MT Overheads</t>
        </is>
      </c>
      <c r="B33" s="2">
        <f>CONCATENATE("REV","_",'FY27 Revenue'!B31)</f>
        <v/>
      </c>
      <c r="C33" s="2">
        <f>IFERROR(INDEX('FY27 Revenue'!$D$2:$D$69,MATCH(A33,'FY27 Revenue'!$C$2:$C$69,0)),IFERROR(INDEX('FY27 Revenue'!$D$2:$D$69,MATCH(A33,'FY27 Revenue'!$B$2:$B$69,0)),0))</f>
        <v/>
      </c>
      <c r="D33" s="2">
        <f>SUMIFS(Account_Setup_and_Data_Load!$T$2:$T$69,Account_Setup_and_Data_Load!$L$2:$L$69,"2026-07-01",Account_Setup_and_Data_Load!$R$2:$R$69,A33)</f>
        <v/>
      </c>
      <c r="E33" s="2">
        <f>ROUND(D33-C33,4)</f>
        <v/>
      </c>
      <c r="F33" s="2">
        <f>IF(ABS(E33)&lt;=0.001,"OK","MISMATCH")</f>
        <v/>
      </c>
    </row>
    <row r="34">
      <c r="A34" s="2" t="inlineStr">
        <is>
          <t>E&amp;U Asset Management (Australia)</t>
        </is>
      </c>
      <c r="B34" s="2">
        <f>CONCATENATE("REV","_",'FY27 Revenue'!B32)</f>
        <v/>
      </c>
      <c r="C34" s="2">
        <f>IFERROR(INDEX('FY27 Revenue'!$D$2:$D$69,MATCH(A34,'FY27 Revenue'!$C$2:$C$69,0)),IFERROR(INDEX('FY27 Revenue'!$D$2:$D$69,MATCH(A34,'FY27 Revenue'!$B$2:$B$69,0)),0))</f>
        <v/>
      </c>
      <c r="D34" s="2">
        <f>SUMIFS(Account_Setup_and_Data_Load!$T$2:$T$69,Account_Setup_and_Data_Load!$L$2:$L$69,"2026-07-01",Account_Setup_and_Data_Load!$R$2:$R$69,A34)</f>
        <v/>
      </c>
      <c r="E34" s="2">
        <f>ROUND(D34-C34,4)</f>
        <v/>
      </c>
      <c r="F34" s="2">
        <f>IF(ABS(E34)&lt;=0.001,"OK","MISMATCH")</f>
        <v/>
      </c>
    </row>
    <row r="35">
      <c r="A35" s="2" t="inlineStr">
        <is>
          <t>Downer Professional Services</t>
        </is>
      </c>
      <c r="B35" s="2">
        <f>CONCATENATE("REV","_",'FY27 Revenue'!B33)</f>
        <v/>
      </c>
      <c r="C35" s="2">
        <f>IFERROR(INDEX('FY27 Revenue'!$D$2:$D$69,MATCH(A35,'FY27 Revenue'!$C$2:$C$69,0)),IFERROR(INDEX('FY27 Revenue'!$D$2:$D$69,MATCH(A35,'FY27 Revenue'!$B$2:$B$69,0)),0))</f>
        <v/>
      </c>
      <c r="D35" s="2">
        <f>SUMIFS(Account_Setup_and_Data_Load!$T$2:$T$69,Account_Setup_and_Data_Load!$L$2:$L$69,"2026-07-01",Account_Setup_and_Data_Load!$R$2:$R$69,A35)</f>
        <v/>
      </c>
      <c r="E35" s="2">
        <f>ROUND(D35-C35,4)</f>
        <v/>
      </c>
      <c r="F35" s="2">
        <f>IF(ABS(E35)&lt;=0.001,"OK","MISMATCH")</f>
        <v/>
      </c>
    </row>
    <row r="36">
      <c r="A36" s="2" t="inlineStr">
        <is>
          <t>PAS</t>
        </is>
      </c>
      <c r="B36" s="2">
        <f>CONCATENATE("REV","_",'FY27 Revenue'!B34)</f>
        <v/>
      </c>
      <c r="C36" s="2">
        <f>IFERROR(INDEX('FY27 Revenue'!$D$2:$D$69,MATCH(A36,'FY27 Revenue'!$C$2:$C$69,0)),IFERROR(INDEX('FY27 Revenue'!$D$2:$D$69,MATCH(A36,'FY27 Revenue'!$B$2:$B$69,0)),0))</f>
        <v/>
      </c>
      <c r="D36" s="2">
        <f>SUMIFS(Account_Setup_and_Data_Load!$T$2:$T$69,Account_Setup_and_Data_Load!$L$2:$L$69,"2026-07-01",Account_Setup_and_Data_Load!$R$2:$R$69,A36)</f>
        <v/>
      </c>
      <c r="E36" s="2">
        <f>ROUND(D36-C36,4)</f>
        <v/>
      </c>
      <c r="F36" s="2">
        <f>IF(ABS(E36)&lt;=0.001,"OK","MISMATCH")</f>
        <v/>
      </c>
    </row>
    <row r="37">
      <c r="A37" s="2" t="inlineStr">
        <is>
          <t>HQJOC</t>
        </is>
      </c>
      <c r="B37" s="2">
        <f>CONCATENATE("REV","_",'FY27 Revenue'!B35)</f>
        <v/>
      </c>
      <c r="C37" s="2">
        <f>IFERROR(INDEX('FY27 Revenue'!$D$2:$D$69,MATCH(A37,'FY27 Revenue'!$C$2:$C$69,0)),IFERROR(INDEX('FY27 Revenue'!$D$2:$D$69,MATCH(A37,'FY27 Revenue'!$B$2:$B$69,0)),0))</f>
        <v/>
      </c>
      <c r="D37" s="2">
        <f>SUMIFS(Account_Setup_and_Data_Load!$T$2:$T$69,Account_Setup_and_Data_Load!$L$2:$L$69,"2026-07-01",Account_Setup_and_Data_Load!$R$2:$R$69,A37)</f>
        <v/>
      </c>
      <c r="E37" s="2">
        <f>ROUND(D37-C37,4)</f>
        <v/>
      </c>
      <c r="F37" s="2">
        <f>IF(ABS(E37)&lt;=0.001,"OK","MISMATCH")</f>
        <v/>
      </c>
    </row>
    <row r="38">
      <c r="A38" s="2" t="inlineStr">
        <is>
          <t>Manuwatu Hub</t>
        </is>
      </c>
      <c r="B38" s="2">
        <f>CONCATENATE("REV","_",'FY27 Revenue'!B36)</f>
        <v/>
      </c>
      <c r="C38" s="2">
        <f>IFERROR(INDEX('FY27 Revenue'!$D$2:$D$69,MATCH(A38,'FY27 Revenue'!$C$2:$C$69,0)),IFERROR(INDEX('FY27 Revenue'!$D$2:$D$69,MATCH(A38,'FY27 Revenue'!$B$2:$B$69,0)),0))</f>
        <v/>
      </c>
      <c r="D38" s="2">
        <f>SUMIFS(Account_Setup_and_Data_Load!$T$2:$T$69,Account_Setup_and_Data_Load!$L$2:$L$69,"2026-07-01",Account_Setup_and_Data_Load!$R$2:$R$69,A38)</f>
        <v/>
      </c>
      <c r="E38" s="2">
        <f>ROUND(D38-C38,4)</f>
        <v/>
      </c>
      <c r="F38" s="2">
        <f>IF(ABS(E38)&lt;=0.001,"OK","MISMATCH")</f>
        <v/>
      </c>
    </row>
    <row r="39">
      <c r="A39" s="2" t="inlineStr">
        <is>
          <t>DEWPO</t>
        </is>
      </c>
      <c r="B39" s="2">
        <f>CONCATENATE("REV","_",'FY27 Revenue'!B37)</f>
        <v/>
      </c>
      <c r="C39" s="2">
        <f>IFERROR(INDEX('FY27 Revenue'!$D$2:$D$69,MATCH(A39,'FY27 Revenue'!$C$2:$C$69,0)),IFERROR(INDEX('FY27 Revenue'!$D$2:$D$69,MATCH(A39,'FY27 Revenue'!$B$2:$B$69,0)),0))</f>
        <v/>
      </c>
      <c r="D39" s="2">
        <f>SUMIFS(Account_Setup_and_Data_Load!$T$2:$T$69,Account_Setup_and_Data_Load!$L$2:$L$69,"2026-07-01",Account_Setup_and_Data_Load!$R$2:$R$69,A39)</f>
        <v/>
      </c>
      <c r="E39" s="2">
        <f>ROUND(D39-C39,4)</f>
        <v/>
      </c>
      <c r="F39" s="2">
        <f>IF(ABS(E39)&lt;=0.001,"OK","MISMATCH")</f>
        <v/>
      </c>
    </row>
    <row r="40">
      <c r="A40" s="2" t="inlineStr">
        <is>
          <t>Riverina Redevelopment Program</t>
        </is>
      </c>
      <c r="B40" s="2">
        <f>CONCATENATE("REV","_",'FY27 Revenue'!B38)</f>
        <v/>
      </c>
      <c r="C40" s="2">
        <f>IFERROR(INDEX('FY27 Revenue'!$D$2:$D$69,MATCH(A40,'FY27 Revenue'!$C$2:$C$69,0)),IFERROR(INDEX('FY27 Revenue'!$D$2:$D$69,MATCH(A40,'FY27 Revenue'!$B$2:$B$69,0)),0))</f>
        <v/>
      </c>
      <c r="D40" s="2">
        <f>SUMIFS(Account_Setup_and_Data_Load!$T$2:$T$69,Account_Setup_and_Data_Load!$L$2:$L$69,"2026-07-01",Account_Setup_and_Data_Load!$R$2:$R$69,A40)</f>
        <v/>
      </c>
      <c r="E40" s="2">
        <f>ROUND(D40-C40,4)</f>
        <v/>
      </c>
      <c r="F40" s="2">
        <f>IF(ABS(E40)&lt;=0.001,"OK","MISMATCH")</f>
        <v/>
      </c>
    </row>
    <row r="41">
      <c r="A41" s="2" t="inlineStr">
        <is>
          <t>Woomera Redevelopment Program</t>
        </is>
      </c>
      <c r="B41" s="2">
        <f>CONCATENATE("REV","_",'FY27 Revenue'!B39)</f>
        <v/>
      </c>
      <c r="C41" s="2">
        <f>IFERROR(INDEX('FY27 Revenue'!$D$2:$D$69,MATCH(A41,'FY27 Revenue'!$C$2:$C$69,0)),IFERROR(INDEX('FY27 Revenue'!$D$2:$D$69,MATCH(A41,'FY27 Revenue'!$B$2:$B$69,0)),0))</f>
        <v/>
      </c>
      <c r="D41" s="2">
        <f>SUMIFS(Account_Setup_and_Data_Load!$T$2:$T$69,Account_Setup_and_Data_Load!$L$2:$L$69,"2026-07-01",Account_Setup_and_Data_Load!$R$2:$R$69,A41)</f>
        <v/>
      </c>
      <c r="E41" s="2">
        <f>ROUND(D41-C41,4)</f>
        <v/>
      </c>
      <c r="F41" s="2">
        <f>IF(ABS(E41)&lt;=0.001,"OK","MISMATCH")</f>
        <v/>
      </c>
    </row>
    <row r="42">
      <c r="A42" s="2" t="inlineStr">
        <is>
          <t>Government Integrated Facilities Management &amp; Infrastructure Property</t>
        </is>
      </c>
      <c r="B42" s="2">
        <f>CONCATENATE("REV","_",'FY27 Revenue'!B40)</f>
        <v/>
      </c>
      <c r="C42" s="2">
        <f>IFERROR(INDEX('FY27 Revenue'!$D$2:$D$69,MATCH(A42,'FY27 Revenue'!$C$2:$C$69,0)),IFERROR(INDEX('FY27 Revenue'!$D$2:$D$69,MATCH(A42,'FY27 Revenue'!$B$2:$B$69,0)),0))</f>
        <v/>
      </c>
      <c r="D42" s="2">
        <f>SUMIFS(Account_Setup_and_Data_Load!$T$2:$T$69,Account_Setup_and_Data_Load!$L$2:$L$69,"2026-07-01",Account_Setup_and_Data_Load!$R$2:$R$69,A42)</f>
        <v/>
      </c>
      <c r="E42" s="2">
        <f>ROUND(D42-C42,4)</f>
        <v/>
      </c>
      <c r="F42" s="2">
        <f>IF(ABS(E42)&lt;=0.001,"OK","MISMATCH")</f>
        <v/>
      </c>
    </row>
    <row r="43">
      <c r="A43" s="2" t="inlineStr">
        <is>
          <t>Justice &amp; IFM</t>
        </is>
      </c>
      <c r="B43" s="2">
        <f>CONCATENATE("REV","_",'FY27 Revenue'!B41)</f>
        <v/>
      </c>
      <c r="C43" s="2">
        <f>IFERROR(INDEX('FY27 Revenue'!$D$2:$D$69,MATCH(A43,'FY27 Revenue'!$C$2:$C$69,0)),IFERROR(INDEX('FY27 Revenue'!$D$2:$D$69,MATCH(A43,'FY27 Revenue'!$B$2:$B$69,0)),0))</f>
        <v/>
      </c>
      <c r="D43" s="2">
        <f>SUMIFS(Account_Setup_and_Data_Load!$T$2:$T$69,Account_Setup_and_Data_Load!$L$2:$L$69,"2026-07-01",Account_Setup_and_Data_Load!$R$2:$R$69,A43)</f>
        <v/>
      </c>
      <c r="E43" s="2">
        <f>ROUND(D43-C43,4)</f>
        <v/>
      </c>
      <c r="F43" s="2">
        <f>IF(ABS(E43)&lt;=0.001,"OK","MISMATCH")</f>
        <v/>
      </c>
    </row>
    <row r="44">
      <c r="A44" s="2" t="inlineStr">
        <is>
          <t>Government Projects &amp; Operational Solutions</t>
        </is>
      </c>
      <c r="B44" s="2">
        <f>CONCATENATE("REV","_",'FY27 Revenue'!B42)</f>
        <v/>
      </c>
      <c r="C44" s="2">
        <f>IFERROR(INDEX('FY27 Revenue'!$D$2:$D$69,MATCH(A44,'FY27 Revenue'!$C$2:$C$69,0)),IFERROR(INDEX('FY27 Revenue'!$D$2:$D$69,MATCH(A44,'FY27 Revenue'!$B$2:$B$69,0)),0))</f>
        <v/>
      </c>
      <c r="D44" s="2">
        <f>SUMIFS(Account_Setup_and_Data_Load!$T$2:$T$69,Account_Setup_and_Data_Load!$L$2:$L$69,"2026-07-01",Account_Setup_and_Data_Load!$R$2:$R$69,A44)</f>
        <v/>
      </c>
      <c r="E44" s="2">
        <f>ROUND(D44-C44,4)</f>
        <v/>
      </c>
      <c r="F44" s="2">
        <f>IF(ABS(E44)&lt;=0.001,"OK","MISMATCH")</f>
        <v/>
      </c>
    </row>
    <row r="45">
      <c r="A45" s="2" t="inlineStr">
        <is>
          <t>Government Housing</t>
        </is>
      </c>
      <c r="B45" s="2">
        <f>CONCATENATE("REV","_",'FY27 Revenue'!B43)</f>
        <v/>
      </c>
      <c r="C45" s="2">
        <f>IFERROR(INDEX('FY27 Revenue'!$D$2:$D$69,MATCH(A45,'FY27 Revenue'!$C$2:$C$69,0)),IFERROR(INDEX('FY27 Revenue'!$D$2:$D$69,MATCH(A45,'FY27 Revenue'!$B$2:$B$69,0)),0))</f>
        <v/>
      </c>
      <c r="D45" s="2">
        <f>SUMIFS(Account_Setup_and_Data_Load!$T$2:$T$69,Account_Setup_and_Data_Load!$L$2:$L$69,"2026-07-01",Account_Setup_and_Data_Load!$R$2:$R$69,A45)</f>
        <v/>
      </c>
      <c r="E45" s="2">
        <f>ROUND(D45-C45,4)</f>
        <v/>
      </c>
      <c r="F45" s="2">
        <f>IF(ABS(E45)&lt;=0.001,"OK","MISMATCH")</f>
        <v/>
      </c>
    </row>
    <row r="46">
      <c r="A46" s="2" t="inlineStr">
        <is>
          <t>Governments Soft FM Services</t>
        </is>
      </c>
      <c r="B46" s="2">
        <f>CONCATENATE("REV","_",'FY27 Revenue'!B44)</f>
        <v/>
      </c>
      <c r="C46" s="2">
        <f>IFERROR(INDEX('FY27 Revenue'!$D$2:$D$69,MATCH(A46,'FY27 Revenue'!$C$2:$C$69,0)),IFERROR(INDEX('FY27 Revenue'!$D$2:$D$69,MATCH(A46,'FY27 Revenue'!$B$2:$B$69,0)),0))</f>
        <v/>
      </c>
      <c r="D46" s="2">
        <f>SUMIFS(Account_Setup_and_Data_Load!$T$2:$T$69,Account_Setup_and_Data_Load!$L$2:$L$69,"2026-07-01",Account_Setup_and_Data_Load!$R$2:$R$69,A46)</f>
        <v/>
      </c>
      <c r="E46" s="2">
        <f>ROUND(D46-C46,4)</f>
        <v/>
      </c>
      <c r="F46" s="2">
        <f>IF(ABS(E46)&lt;=0.001,"OK","MISMATCH")</f>
        <v/>
      </c>
    </row>
    <row r="47">
      <c r="A47" s="2" t="inlineStr">
        <is>
          <t>Government &amp; IFM New Business</t>
        </is>
      </c>
      <c r="B47" s="2">
        <f>CONCATENATE("REV","_",'FY27 Revenue'!B45)</f>
        <v/>
      </c>
      <c r="C47" s="2">
        <f>IFERROR(INDEX('FY27 Revenue'!$D$2:$D$69,MATCH(A47,'FY27 Revenue'!$C$2:$C$69,0)),IFERROR(INDEX('FY27 Revenue'!$D$2:$D$69,MATCH(A47,'FY27 Revenue'!$B$2:$B$69,0)),0))</f>
        <v/>
      </c>
      <c r="D47" s="2">
        <f>SUMIFS(Account_Setup_and_Data_Load!$T$2:$T$69,Account_Setup_and_Data_Load!$L$2:$L$69,"2026-07-01",Account_Setup_and_Data_Load!$R$2:$R$69,A47)</f>
        <v/>
      </c>
      <c r="E47" s="2">
        <f>ROUND(D47-C47,4)</f>
        <v/>
      </c>
      <c r="F47" s="2">
        <f>IF(ABS(E47)&lt;=0.001,"OK","MISMATCH")</f>
        <v/>
      </c>
    </row>
    <row r="48">
      <c r="A48" s="2" t="inlineStr">
        <is>
          <t>Stockland IFM</t>
        </is>
      </c>
      <c r="B48" s="2">
        <f>CONCATENATE("REV","_",'FY27 Revenue'!B46)</f>
        <v/>
      </c>
      <c r="C48" s="2">
        <f>IFERROR(INDEX('FY27 Revenue'!$D$2:$D$69,MATCH(A48,'FY27 Revenue'!$C$2:$C$69,0)),IFERROR(INDEX('FY27 Revenue'!$D$2:$D$69,MATCH(A48,'FY27 Revenue'!$B$2:$B$69,0)),0))</f>
        <v/>
      </c>
      <c r="D48" s="2">
        <f>SUMIFS(Account_Setup_and_Data_Load!$T$2:$T$69,Account_Setup_and_Data_Load!$L$2:$L$69,"2026-07-01",Account_Setup_and_Data_Load!$R$2:$R$69,A48)</f>
        <v/>
      </c>
      <c r="E48" s="2">
        <f>ROUND(D48-C48,4)</f>
        <v/>
      </c>
      <c r="F48" s="2">
        <f>IF(ABS(E48)&lt;=0.001,"OK","MISMATCH")</f>
        <v/>
      </c>
    </row>
    <row r="49">
      <c r="A49" s="2" t="inlineStr">
        <is>
          <t>Education PPP</t>
        </is>
      </c>
      <c r="B49" s="2">
        <f>CONCATENATE("REV","_",'FY27 Revenue'!B47)</f>
        <v/>
      </c>
      <c r="C49" s="2">
        <f>IFERROR(INDEX('FY27 Revenue'!$D$2:$D$69,MATCH(A49,'FY27 Revenue'!$C$2:$C$69,0)),IFERROR(INDEX('FY27 Revenue'!$D$2:$D$69,MATCH(A49,'FY27 Revenue'!$B$2:$B$69,0)),0))</f>
        <v/>
      </c>
      <c r="D49" s="2">
        <f>SUMIFS(Account_Setup_and_Data_Load!$T$2:$T$69,Account_Setup_and_Data_Load!$L$2:$L$69,"2026-07-01",Account_Setup_and_Data_Load!$R$2:$R$69,A49)</f>
        <v/>
      </c>
      <c r="E49" s="2">
        <f>ROUND(D49-C49,4)</f>
        <v/>
      </c>
      <c r="F49" s="2">
        <f>IF(ABS(E49)&lt;=0.001,"OK","MISMATCH")</f>
        <v/>
      </c>
    </row>
    <row r="50">
      <c r="A50" s="2" t="inlineStr">
        <is>
          <t>Health Non PPP</t>
        </is>
      </c>
      <c r="B50" s="2">
        <f>CONCATENATE("REV","_",'FY27 Revenue'!B48)</f>
        <v/>
      </c>
      <c r="C50" s="2">
        <f>IFERROR(INDEX('FY27 Revenue'!$D$2:$D$69,MATCH(A50,'FY27 Revenue'!$C$2:$C$69,0)),IFERROR(INDEX('FY27 Revenue'!$D$2:$D$69,MATCH(A50,'FY27 Revenue'!$B$2:$B$69,0)),0))</f>
        <v/>
      </c>
      <c r="D50" s="2">
        <f>SUMIFS(Account_Setup_and_Data_Load!$T$2:$T$69,Account_Setup_and_Data_Load!$L$2:$L$69,"2026-07-01",Account_Setup_and_Data_Load!$R$2:$R$69,A50)</f>
        <v/>
      </c>
      <c r="E50" s="2">
        <f>ROUND(D50-C50,4)</f>
        <v/>
      </c>
      <c r="F50" s="2">
        <f>IF(ABS(E50)&lt;=0.001,"OK","MISMATCH")</f>
        <v/>
      </c>
    </row>
    <row r="51">
      <c r="A51" s="2" t="inlineStr">
        <is>
          <t>Health PPP</t>
        </is>
      </c>
      <c r="B51" s="2">
        <f>CONCATENATE("REV","_",'FY27 Revenue'!B49)</f>
        <v/>
      </c>
      <c r="C51" s="2">
        <f>IFERROR(INDEX('FY27 Revenue'!$D$2:$D$69,MATCH(A51,'FY27 Revenue'!$C$2:$C$69,0)),IFERROR(INDEX('FY27 Revenue'!$D$2:$D$69,MATCH(A51,'FY27 Revenue'!$B$2:$B$69,0)),0))</f>
        <v/>
      </c>
      <c r="D51" s="2">
        <f>SUMIFS(Account_Setup_and_Data_Load!$T$2:$T$69,Account_Setup_and_Data_Load!$L$2:$L$69,"2026-07-01",Account_Setup_and_Data_Load!$R$2:$R$69,A51)</f>
        <v/>
      </c>
      <c r="E51" s="2">
        <f>ROUND(D51-C51,4)</f>
        <v/>
      </c>
      <c r="F51" s="2">
        <f>IF(ABS(E51)&lt;=0.001,"OK","MISMATCH")</f>
        <v/>
      </c>
    </row>
    <row r="52">
      <c r="A52" s="2" t="inlineStr">
        <is>
          <t>Social Infrastructure &amp; Citizen Services Support</t>
        </is>
      </c>
      <c r="B52" s="2">
        <f>CONCATENATE("REV","_",'FY27 Revenue'!B50)</f>
        <v/>
      </c>
      <c r="C52" s="2">
        <f>IFERROR(INDEX('FY27 Revenue'!$D$2:$D$69,MATCH(A52,'FY27 Revenue'!$C$2:$C$69,0)),IFERROR(INDEX('FY27 Revenue'!$D$2:$D$69,MATCH(A52,'FY27 Revenue'!$B$2:$B$69,0)),0))</f>
        <v/>
      </c>
      <c r="D52" s="2">
        <f>SUMIFS(Account_Setup_and_Data_Load!$T$2:$T$69,Account_Setup_and_Data_Load!$L$2:$L$69,"2026-07-01",Account_Setup_and_Data_Load!$R$2:$R$69,A52)</f>
        <v/>
      </c>
      <c r="E52" s="2">
        <f>ROUND(D52-C52,4)</f>
        <v/>
      </c>
      <c r="F52" s="2">
        <f>IF(ABS(E52)&lt;=0.001,"OK","MISMATCH")</f>
        <v/>
      </c>
    </row>
    <row r="53">
      <c r="A53" s="2" t="inlineStr">
        <is>
          <t>RTS QLD</t>
        </is>
      </c>
      <c r="B53" s="2">
        <f>CONCATENATE("REV","_",'FY27 Revenue'!B51)</f>
        <v/>
      </c>
      <c r="C53" s="2">
        <f>IFERROR(INDEX('FY27 Revenue'!$D$2:$D$69,MATCH(A53,'FY27 Revenue'!$C$2:$C$69,0)),IFERROR(INDEX('FY27 Revenue'!$D$2:$D$69,MATCH(A53,'FY27 Revenue'!$B$2:$B$69,0)),0))</f>
        <v/>
      </c>
      <c r="D53" s="2">
        <f>SUMIFS(Account_Setup_and_Data_Load!$T$2:$T$69,Account_Setup_and_Data_Load!$L$2:$L$69,"2026-07-01",Account_Setup_and_Data_Load!$R$2:$R$69,A53)</f>
        <v/>
      </c>
      <c r="E53" s="2">
        <f>ROUND(D53-C53,4)</f>
        <v/>
      </c>
      <c r="F53" s="2">
        <f>IF(ABS(E53)&lt;=0.001,"OK","MISMATCH")</f>
        <v/>
      </c>
    </row>
    <row r="54">
      <c r="A54" s="2" t="inlineStr">
        <is>
          <t>Maryborough Refurbishment</t>
        </is>
      </c>
      <c r="B54" s="2">
        <f>CONCATENATE("REV","_",'FY27 Revenue'!B52)</f>
        <v/>
      </c>
      <c r="C54" s="2">
        <f>IFERROR(INDEX('FY27 Revenue'!$D$2:$D$69,MATCH(A54,'FY27 Revenue'!$C$2:$C$69,0)),IFERROR(INDEX('FY27 Revenue'!$D$2:$D$69,MATCH(A54,'FY27 Revenue'!$B$2:$B$69,0)),0))</f>
        <v/>
      </c>
      <c r="D54" s="2">
        <f>SUMIFS(Account_Setup_and_Data_Load!$T$2:$T$69,Account_Setup_and_Data_Load!$L$2:$L$69,"2026-07-01",Account_Setup_and_Data_Load!$R$2:$R$69,A54)</f>
        <v/>
      </c>
      <c r="E54" s="2">
        <f>ROUND(D54-C54,4)</f>
        <v/>
      </c>
      <c r="F54" s="2">
        <f>IF(ABS(E54)&lt;=0.001,"OK","MISMATCH")</f>
        <v/>
      </c>
    </row>
    <row r="55">
      <c r="A55" s="2" t="inlineStr">
        <is>
          <t>TLS Fleet</t>
        </is>
      </c>
      <c r="B55" s="2">
        <f>CONCATENATE("REV","_",'FY27 Revenue'!B53)</f>
        <v/>
      </c>
      <c r="C55" s="2">
        <f>IFERROR(INDEX('FY27 Revenue'!$D$2:$D$69,MATCH(A55,'FY27 Revenue'!$C$2:$C$69,0)),IFERROR(INDEX('FY27 Revenue'!$D$2:$D$69,MATCH(A55,'FY27 Revenue'!$B$2:$B$69,0)),0))</f>
        <v/>
      </c>
      <c r="D55" s="2">
        <f>SUMIFS(Account_Setup_and_Data_Load!$T$2:$T$69,Account_Setup_and_Data_Load!$L$2:$L$69,"2026-07-01",Account_Setup_and_Data_Load!$R$2:$R$69,A55)</f>
        <v/>
      </c>
      <c r="E55" s="2">
        <f>ROUND(D55-C55,4)</f>
        <v/>
      </c>
      <c r="F55" s="2">
        <f>IF(ABS(E55)&lt;=0.001,"OK","MISMATCH")</f>
        <v/>
      </c>
    </row>
    <row r="56">
      <c r="A56" s="2" t="inlineStr">
        <is>
          <t>TLS Projects</t>
        </is>
      </c>
      <c r="B56" s="2">
        <f>CONCATENATE("REV","_",'FY27 Revenue'!B54)</f>
        <v/>
      </c>
      <c r="C56" s="2">
        <f>IFERROR(INDEX('FY27 Revenue'!$D$2:$D$69,MATCH(A56,'FY27 Revenue'!$C$2:$C$69,0)),IFERROR(INDEX('FY27 Revenue'!$D$2:$D$69,MATCH(A56,'FY27 Revenue'!$B$2:$B$69,0)),0))</f>
        <v/>
      </c>
      <c r="D56" s="2">
        <f>SUMIFS(Account_Setup_and_Data_Load!$T$2:$T$69,Account_Setup_and_Data_Load!$L$2:$L$69,"2026-07-01",Account_Setup_and_Data_Load!$R$2:$R$69,A56)</f>
        <v/>
      </c>
      <c r="E56" s="2">
        <f>ROUND(D56-C56,4)</f>
        <v/>
      </c>
      <c r="F56" s="2">
        <f>IF(ABS(E56)&lt;=0.001,"OK","MISMATCH")</f>
        <v/>
      </c>
    </row>
    <row r="57">
      <c r="A57" s="2" t="inlineStr">
        <is>
          <t>RTS FREIGHT</t>
        </is>
      </c>
      <c r="B57" s="2">
        <f>CONCATENATE("REV","_",'FY27 Revenue'!B55)</f>
        <v/>
      </c>
      <c r="C57" s="2">
        <f>IFERROR(INDEX('FY27 Revenue'!$D$2:$D$69,MATCH(A57,'FY27 Revenue'!$C$2:$C$69,0)),IFERROR(INDEX('FY27 Revenue'!$D$2:$D$69,MATCH(A57,'FY27 Revenue'!$B$2:$B$69,0)),0))</f>
        <v/>
      </c>
      <c r="D57" s="2">
        <f>SUMIFS(Account_Setup_and_Data_Load!$T$2:$T$69,Account_Setup_and_Data_Load!$L$2:$L$69,"2026-07-01",Account_Setup_and_Data_Load!$R$2:$R$69,A57)</f>
        <v/>
      </c>
      <c r="E57" s="2">
        <f>ROUND(D57-C57,4)</f>
        <v/>
      </c>
      <c r="F57" s="2">
        <f>IF(ABS(E57)&lt;=0.001,"OK","MISMATCH")</f>
        <v/>
      </c>
    </row>
    <row r="58">
      <c r="A58" s="2" t="inlineStr">
        <is>
          <t>Engineering Consulting</t>
        </is>
      </c>
      <c r="B58" s="2">
        <f>CONCATENATE("REV","_",'FY27 Revenue'!B56)</f>
        <v/>
      </c>
      <c r="C58" s="2">
        <f>IFERROR(INDEX('FY27 Revenue'!$D$2:$D$69,MATCH(A58,'FY27 Revenue'!$C$2:$C$69,0)),IFERROR(INDEX('FY27 Revenue'!$D$2:$D$69,MATCH(A58,'FY27 Revenue'!$B$2:$B$69,0)),0))</f>
        <v/>
      </c>
      <c r="D58" s="2">
        <f>SUMIFS(Account_Setup_and_Data_Load!$T$2:$T$69,Account_Setup_and_Data_Load!$L$2:$L$69,"2026-07-01",Account_Setup_and_Data_Load!$R$2:$R$69,A58)</f>
        <v/>
      </c>
      <c r="E58" s="2">
        <f>ROUND(D58-C58,4)</f>
        <v/>
      </c>
      <c r="F58" s="2">
        <f>IF(ABS(E58)&lt;=0.001,"OK","MISMATCH")</f>
        <v/>
      </c>
    </row>
    <row r="59">
      <c r="A59" s="2" t="inlineStr">
        <is>
          <t>RTS Digital</t>
        </is>
      </c>
      <c r="B59" s="2">
        <f>CONCATENATE("REV","_",'FY27 Revenue'!B57)</f>
        <v/>
      </c>
      <c r="C59" s="2">
        <f>IFERROR(INDEX('FY27 Revenue'!$D$2:$D$69,MATCH(A59,'FY27 Revenue'!$C$2:$C$69,0)),IFERROR(INDEX('FY27 Revenue'!$D$2:$D$69,MATCH(A59,'FY27 Revenue'!$B$2:$B$69,0)),0))</f>
        <v/>
      </c>
      <c r="D59" s="2">
        <f>SUMIFS(Account_Setup_and_Data_Load!$T$2:$T$69,Account_Setup_and_Data_Load!$L$2:$L$69,"2026-07-01",Account_Setup_and_Data_Load!$R$2:$R$69,A59)</f>
        <v/>
      </c>
      <c r="E59" s="2">
        <f>ROUND(D59-C59,4)</f>
        <v/>
      </c>
      <c r="F59" s="2">
        <f>IF(ABS(E59)&lt;=0.001,"OK","MISMATCH")</f>
        <v/>
      </c>
    </row>
    <row r="60">
      <c r="A60" s="2" t="inlineStr">
        <is>
          <t>Central HO</t>
        </is>
      </c>
      <c r="B60" s="2">
        <f>CONCATENATE("REV","_",'FY27 Revenue'!B58)</f>
        <v/>
      </c>
      <c r="C60" s="2">
        <f>IFERROR(INDEX('FY27 Revenue'!$D$2:$D$69,MATCH(A60,'FY27 Revenue'!$C$2:$C$69,0)),IFERROR(INDEX('FY27 Revenue'!$D$2:$D$69,MATCH(A60,'FY27 Revenue'!$B$2:$B$69,0)),0))</f>
        <v/>
      </c>
      <c r="D60" s="2">
        <f>SUMIFS(Account_Setup_and_Data_Load!$T$2:$T$69,Account_Setup_and_Data_Load!$L$2:$L$69,"2026-07-01",Account_Setup_and_Data_Load!$R$2:$R$69,A60)</f>
        <v/>
      </c>
      <c r="E60" s="2">
        <f>ROUND(D60-C60,4)</f>
        <v/>
      </c>
      <c r="F60" s="2">
        <f>IF(ABS(E60)&lt;=0.001,"OK","MISMATCH")</f>
        <v/>
      </c>
    </row>
    <row r="61">
      <c r="A61" s="2" t="inlineStr">
        <is>
          <t>Intercompany Elimination</t>
        </is>
      </c>
      <c r="B61" s="2">
        <f>CONCATENATE("REV","_",'FY27 Revenue'!B59)</f>
        <v/>
      </c>
      <c r="C61" s="2">
        <f>IFERROR(INDEX('FY27 Revenue'!$D$2:$D$69,MATCH(A61,'FY27 Revenue'!$C$2:$C$69,0)),IFERROR(INDEX('FY27 Revenue'!$D$2:$D$69,MATCH(A61,'FY27 Revenue'!$B$2:$B$69,0)),0))</f>
        <v/>
      </c>
      <c r="D61" s="2">
        <f>SUMIFS(Account_Setup_and_Data_Load!$T$2:$T$69,Account_Setup_and_Data_Load!$L$2:$L$69,"2026-07-01",Account_Setup_and_Data_Load!$R$2:$R$69,A61)</f>
        <v/>
      </c>
      <c r="E61" s="2">
        <f>ROUND(D61-C61,4)</f>
        <v/>
      </c>
      <c r="F61" s="2">
        <f>IF(ABS(E61)&lt;=0.001,"OK","MISMATCH")</f>
        <v/>
      </c>
    </row>
    <row r="62">
      <c r="A62" s="2" t="n"/>
      <c r="B62" s="2">
        <f>CONCATENATE("REV","_",'FY27 Revenue'!B60)</f>
        <v/>
      </c>
      <c r="C62" s="2">
        <f>IFERROR(INDEX('FY27 Revenue'!$D$2:$D$69,MATCH(A62,'FY27 Revenue'!$C$2:$C$69,0)),IFERROR(INDEX('FY27 Revenue'!$D$2:$D$69,MATCH(A62,'FY27 Revenue'!$B$2:$B$69,0)),0))</f>
        <v/>
      </c>
      <c r="D62" s="2">
        <f>SUMIFS(Account_Setup_and_Data_Load!$T$2:$T$69,Account_Setup_and_Data_Load!$L$2:$L$69,"2026-07-01",Account_Setup_and_Data_Load!$R$2:$R$69,A62)</f>
        <v/>
      </c>
      <c r="E62" s="2">
        <f>ROUND(D62-C62,4)</f>
        <v/>
      </c>
      <c r="F62" s="2">
        <f>IF(ABS(E62)&lt;=0.001,"OK","MISMATCH")</f>
        <v/>
      </c>
    </row>
    <row r="63">
      <c r="A63" s="2" t="n"/>
      <c r="B63" s="2">
        <f>CONCATENATE("REV","_",'FY27 Revenue'!B61)</f>
        <v/>
      </c>
      <c r="C63" s="2">
        <f>IFERROR(INDEX('FY27 Revenue'!$D$2:$D$69,MATCH(A63,'FY27 Revenue'!$C$2:$C$69,0)),IFERROR(INDEX('FY27 Revenue'!$D$2:$D$69,MATCH(A63,'FY27 Revenue'!$B$2:$B$69,0)),0))</f>
        <v/>
      </c>
      <c r="D63" s="2">
        <f>SUMIFS(Account_Setup_and_Data_Load!$T$2:$T$69,Account_Setup_and_Data_Load!$L$2:$L$69,"2026-07-01",Account_Setup_and_Data_Load!$R$2:$R$69,A63)</f>
        <v/>
      </c>
      <c r="E63" s="2">
        <f>ROUND(D63-C63,4)</f>
        <v/>
      </c>
      <c r="F63" s="2">
        <f>IF(ABS(E63)&lt;=0.001,"OK","MISMATCH")</f>
        <v/>
      </c>
    </row>
    <row r="64">
      <c r="A64" s="2" t="n"/>
      <c r="B64" s="2">
        <f>CONCATENATE("REV","_",'FY27 Revenue'!B62)</f>
        <v/>
      </c>
      <c r="C64" s="2">
        <f>IFERROR(INDEX('FY27 Revenue'!$D$2:$D$69,MATCH(A64,'FY27 Revenue'!$C$2:$C$69,0)),IFERROR(INDEX('FY27 Revenue'!$D$2:$D$69,MATCH(A64,'FY27 Revenue'!$B$2:$B$69,0)),0))</f>
        <v/>
      </c>
      <c r="D64" s="2">
        <f>SUMIFS(Account_Setup_and_Data_Load!$T$2:$T$69,Account_Setup_and_Data_Load!$L$2:$L$69,"2026-07-01",Account_Setup_and_Data_Load!$R$2:$R$69,A64)</f>
        <v/>
      </c>
      <c r="E64" s="2">
        <f>ROUND(D64-C64,4)</f>
        <v/>
      </c>
      <c r="F64" s="2">
        <f>IF(ABS(E64)&lt;=0.001,"OK","MISMATCH")</f>
        <v/>
      </c>
    </row>
    <row r="65">
      <c r="A65" s="2" t="n"/>
      <c r="B65" s="2">
        <f>CONCATENATE("REV","_",'FY27 Revenue'!B63)</f>
        <v/>
      </c>
      <c r="C65" s="2">
        <f>IFERROR(INDEX('FY27 Revenue'!$D$2:$D$69,MATCH(A65,'FY27 Revenue'!$C$2:$C$69,0)),IFERROR(INDEX('FY27 Revenue'!$D$2:$D$69,MATCH(A65,'FY27 Revenue'!$B$2:$B$69,0)),0))</f>
        <v/>
      </c>
      <c r="D65" s="2">
        <f>SUMIFS(Account_Setup_and_Data_Load!$T$2:$T$69,Account_Setup_and_Data_Load!$L$2:$L$69,"2026-07-01",Account_Setup_and_Data_Load!$R$2:$R$69,A65)</f>
        <v/>
      </c>
      <c r="E65" s="2">
        <f>ROUND(D65-C65,4)</f>
        <v/>
      </c>
      <c r="F65" s="2">
        <f>IF(ABS(E65)&lt;=0.001,"OK","MISMATCH")</f>
        <v/>
      </c>
    </row>
    <row r="66">
      <c r="A66" s="2" t="inlineStr">
        <is>
          <t>T&amp;I AU GAP</t>
        </is>
      </c>
      <c r="B66" s="2">
        <f>CONCATENATE("REV","_",'FY27 Revenue'!B64)</f>
        <v/>
      </c>
      <c r="C66" s="2">
        <f>IFERROR(INDEX('FY27 Revenue'!$D$2:$D$69,MATCH(A66,'FY27 Revenue'!$C$2:$C$69,0)),IFERROR(INDEX('FY27 Revenue'!$D$2:$D$69,MATCH(A66,'FY27 Revenue'!$B$2:$B$69,0)),0))</f>
        <v/>
      </c>
      <c r="D66" s="2">
        <f>SUMIFS(Account_Setup_and_Data_Load!$T$2:$T$69,Account_Setup_and_Data_Load!$L$2:$L$69,"2026-07-01",Account_Setup_and_Data_Load!$R$2:$R$69,A66)</f>
        <v/>
      </c>
      <c r="E66" s="2">
        <f>ROUND(D66-C66,4)</f>
        <v/>
      </c>
      <c r="F66" s="2">
        <f>IF(ABS(E66)&lt;=0.001,"OK","MISMATCH")</f>
        <v/>
      </c>
    </row>
    <row r="67">
      <c r="A67" s="2" t="inlineStr">
        <is>
          <t>T&amp;I Gap AU</t>
        </is>
      </c>
      <c r="B67" s="2">
        <f>CONCATENATE("REV","_",'FY27 Revenue'!B65)</f>
        <v/>
      </c>
      <c r="C67" s="2">
        <f>IFERROR(INDEX('FY27 Revenue'!$D$2:$D$69,MATCH(A67,'FY27 Revenue'!$C$2:$C$69,0)),IFERROR(INDEX('FY27 Revenue'!$D$2:$D$69,MATCH(A67,'FY27 Revenue'!$B$2:$B$69,0)),0))</f>
        <v/>
      </c>
      <c r="D67" s="2">
        <f>SUMIFS(Account_Setup_and_Data_Load!$T$2:$T$69,Account_Setup_and_Data_Load!$L$2:$L$69,"2026-07-01",Account_Setup_and_Data_Load!$R$2:$R$69,A67)</f>
        <v/>
      </c>
      <c r="E67" s="2">
        <f>ROUND(D67-C67,4)</f>
        <v/>
      </c>
      <c r="F67" s="2">
        <f>IF(ABS(E67)&lt;=0.001,"OK","MISMATCH")</f>
        <v/>
      </c>
    </row>
    <row r="68">
      <c r="A68" s="2" t="inlineStr">
        <is>
          <t>T&amp;I Head Office NZ</t>
        </is>
      </c>
      <c r="B68" s="2">
        <f>CONCATENATE("REV","_",'FY27 Revenue'!B66)</f>
        <v/>
      </c>
      <c r="C68" s="2">
        <f>IFERROR(INDEX('FY27 Revenue'!$D$2:$D$69,MATCH(A68,'FY27 Revenue'!$C$2:$C$69,0)),IFERROR(INDEX('FY27 Revenue'!$D$2:$D$69,MATCH(A68,'FY27 Revenue'!$B$2:$B$69,0)),0))</f>
        <v/>
      </c>
      <c r="D68" s="2">
        <f>SUMIFS(Account_Setup_and_Data_Load!$T$2:$T$69,Account_Setup_and_Data_Load!$L$2:$L$69,"2026-07-01",Account_Setup_and_Data_Load!$R$2:$R$69,A68)</f>
        <v/>
      </c>
      <c r="E68" s="2">
        <f>ROUND(D68-C68,4)</f>
        <v/>
      </c>
      <c r="F68" s="2">
        <f>IF(ABS(E68)&lt;=0.001,"OK","MISMATCH")</f>
        <v/>
      </c>
    </row>
    <row r="69">
      <c r="A69" s="2" t="inlineStr">
        <is>
          <t>Health &amp; Education New Business</t>
        </is>
      </c>
      <c r="B69" s="2">
        <f>CONCATENATE("REV","_",'FY27 Revenue'!B67)</f>
        <v/>
      </c>
      <c r="C69" s="2">
        <f>IFERROR(INDEX('FY27 Revenue'!$D$2:$D$69,MATCH(A69,'FY27 Revenue'!$C$2:$C$69,0)),IFERROR(INDEX('FY27 Revenue'!$D$2:$D$69,MATCH(A69,'FY27 Revenue'!$B$2:$B$69,0)),0))</f>
        <v/>
      </c>
      <c r="D69" s="2">
        <f>SUMIFS(Account_Setup_and_Data_Load!$T$2:$T$69,Account_Setup_and_Data_Load!$L$2:$L$69,"2026-07-01",Account_Setup_and_Data_Load!$R$2:$R$69,A69)</f>
        <v/>
      </c>
      <c r="E69" s="2">
        <f>ROUND(D69-C69,4)</f>
        <v/>
      </c>
      <c r="F69" s="2">
        <f>IF(ABS(E69)&lt;=0.001,"OK","MISMATCH")</f>
        <v/>
      </c>
    </row>
    <row r="70">
      <c r="A70" s="2" t="inlineStr">
        <is>
          <t>RTS Opportunities</t>
        </is>
      </c>
      <c r="B70" s="2">
        <f>CONCATENATE("REV","_",'FY27 Revenue'!B68)</f>
        <v/>
      </c>
      <c r="C70" s="2">
        <f>IFERROR(INDEX('FY27 Revenue'!$D$2:$D$69,MATCH(A70,'FY27 Revenue'!$C$2:$C$69,0)),IFERROR(INDEX('FY27 Revenue'!$D$2:$D$69,MATCH(A70,'FY27 Revenue'!$B$2:$B$69,0)),0))</f>
        <v/>
      </c>
      <c r="D70" s="2">
        <f>SUMIFS(Account_Setup_and_Data_Load!$T$2:$T$69,Account_Setup_and_Data_Load!$L$2:$L$69,"2026-07-01",Account_Setup_and_Data_Load!$R$2:$R$69,A70)</f>
        <v/>
      </c>
      <c r="E70" s="2">
        <f>ROUND(D70-C70,4)</f>
        <v/>
      </c>
      <c r="F70" s="2">
        <f>IF(ABS(E70)&lt;=0.001,"OK","MISMATCH")</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tabSelected="0" workbookViewId="0">
      <selection activeCell="A1" sqref="A1"/>
    </sheetView>
  </sheetViews>
  <sheetFormatPr baseColWidth="8" defaultRowHeight="15"/>
  <cols>
    <col width="12" customWidth="1" min="1" max="1"/>
    <col width="24" customWidth="1" min="2" max="2"/>
    <col width="20" customWidth="1" min="3" max="3"/>
    <col width="12" customWidth="1" min="4" max="4"/>
    <col width="18" customWidth="1" min="5" max="5"/>
    <col width="10" customWidth="1" min="6" max="6"/>
  </cols>
  <sheetData>
    <row r="1">
      <c r="A1" s="1" t="inlineStr">
        <is>
          <t>FY27 Revenue — Monthly Totals: FY27 Revenue Sheet vs Account Setup</t>
        </is>
      </c>
    </row>
    <row r="2">
      <c r="A2" s="5" t="inlineStr">
        <is>
          <t>Generated: 25 Aug 2026</t>
        </is>
      </c>
    </row>
    <row r="3">
      <c r="A3" s="1" t="inlineStr">
        <is>
          <t>Month</t>
        </is>
      </c>
      <c r="B3" s="1" t="inlineStr">
        <is>
          <t>FY27 Revenue Sheet Total</t>
        </is>
      </c>
      <c r="C3" s="1" t="inlineStr">
        <is>
          <t>Account Setup Total</t>
        </is>
      </c>
      <c r="D3" s="1" t="inlineStr">
        <is>
          <t>Difference</t>
        </is>
      </c>
      <c r="E3" s="1" t="inlineStr">
        <is>
          <t>Row Count (Setup)</t>
        </is>
      </c>
      <c r="F3" s="1" t="inlineStr">
        <is>
          <t>Status</t>
        </is>
      </c>
    </row>
    <row r="4">
      <c r="A4" s="2" t="inlineStr">
        <is>
          <t>Jul 26</t>
        </is>
      </c>
      <c r="B4" s="2">
        <f>SUM('FY27 Revenue'!D2:D69)</f>
        <v/>
      </c>
      <c r="C4" s="2">
        <f>SUMIFS(Account_Setup_and_Data_Load!$T$2:$T$69,Account_Setup_and_Data_Load!$L$2:$L$69,"2026-07-01")</f>
        <v/>
      </c>
      <c r="D4" s="2">
        <f>ROUND(C4-B4,2)</f>
        <v/>
      </c>
      <c r="E4" s="2">
        <f>COUNTIF(Account_Setup_and_Data_Load!$L$2:$L$69,"2026-07-01")</f>
        <v/>
      </c>
      <c r="F4" s="2">
        <f>IF(ABS(D4)&lt;=0.15,"OK","MISMATCH")</f>
        <v/>
      </c>
    </row>
    <row r="6">
      <c r="A6" s="5" t="inlineStr">
        <is>
          <t>Note: totals compare FY27 Revenue pivot vs Account Setup data-load (both derive from the same rolled-up July FY27 actuals). FY27 is only one month deep so far; this tab will extend with one row per month as further FY27 monthly actuals arrive, mirroring the FY26 Monthly Totals Check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2026-08-25T00:10:09Z</dcterms:created>
  <dcterms:modified xsi:type="dcterms:W3CDTF">2026-08-25T00:11:02Z</dcterms:modified>
</cp:coreProperties>
</file>