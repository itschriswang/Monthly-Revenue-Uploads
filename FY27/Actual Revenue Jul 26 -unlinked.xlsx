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inancial 26-27\Analysis\Zero Harm Revenue\01. Jul-26\"/>
    </mc:Choice>
  </mc:AlternateContent>
  <xr:revisionPtr revIDLastSave="0" documentId="13_ncr:1_{62F46176-2DBC-4A28-9C75-9D08565DE013}" xr6:coauthVersionLast="47" xr6:coauthVersionMax="47" xr10:uidLastSave="{00000000-0000-0000-0000-000000000000}"/>
  <bookViews>
    <workbookView xWindow="-28920" yWindow="-120" windowWidth="29040" windowHeight="15720" xr2:uid="{51D2CD8A-ECF8-48BB-838A-15FEC396D503}"/>
  </bookViews>
  <sheets>
    <sheet name="FY27 Rev" sheetId="3" r:id="rId1"/>
    <sheet name="FY27 JV Rev" sheetId="2" r:id="rId2"/>
  </sheets>
  <definedNames>
    <definedName name="ID" localSheetId="1" hidden="1">"033eb638-904a-4d70-a392-2de368324d18"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4" i="3" l="1"/>
  <c r="B9" i="2"/>
</calcChain>
</file>

<file path=xl/sharedStrings.xml><?xml version="1.0" encoding="utf-8"?>
<sst xmlns="http://schemas.openxmlformats.org/spreadsheetml/2006/main" count="630" uniqueCount="234">
  <si>
    <t>Jul</t>
  </si>
  <si>
    <t>Infrastructure Projects</t>
  </si>
  <si>
    <t>Mineral Technologies</t>
  </si>
  <si>
    <t>Intra Elim</t>
  </si>
  <si>
    <t>BIA</t>
  </si>
  <si>
    <t>Health &amp; Education</t>
  </si>
  <si>
    <t>Downer Professional Services</t>
  </si>
  <si>
    <t>Base &amp; Estate Management</t>
  </si>
  <si>
    <t>Joint Venture and Associates</t>
  </si>
  <si>
    <t>Allied Asphalt</t>
  </si>
  <si>
    <t>EDI Rail- Bombardier Transportation</t>
  </si>
  <si>
    <t>Emulco</t>
  </si>
  <si>
    <t>Isaac Asphalt</t>
  </si>
  <si>
    <t>Group</t>
  </si>
  <si>
    <t>Check</t>
  </si>
  <si>
    <t>Government &amp; IFM</t>
  </si>
  <si>
    <t>Transport &amp; Infrastructure</t>
  </si>
  <si>
    <t>Rail &amp; Transit Systems</t>
  </si>
  <si>
    <t>RTS Digital</t>
  </si>
  <si>
    <t>Corporate Group</t>
  </si>
  <si>
    <t>Corporate Australia</t>
  </si>
  <si>
    <t>Non-core business</t>
  </si>
  <si>
    <t>RTS FREIGHT</t>
  </si>
  <si>
    <t>RTS Head Office</t>
  </si>
  <si>
    <t>Transport &amp; Infrastructure NZ</t>
  </si>
  <si>
    <t>Fleet &amp; Assets</t>
  </si>
  <si>
    <t>Managing Contracts</t>
  </si>
  <si>
    <t>Transport &amp; Infrastructure AU</t>
  </si>
  <si>
    <t>Energy &amp; Utilities</t>
  </si>
  <si>
    <t>Network Services</t>
  </si>
  <si>
    <t>Water</t>
  </si>
  <si>
    <t>Power Projects</t>
  </si>
  <si>
    <t>T&amp;I NZ North</t>
  </si>
  <si>
    <t>T&amp;I NZ South</t>
  </si>
  <si>
    <t>T&amp;I NZ Infrastructure Delivery</t>
  </si>
  <si>
    <t>T&amp;I NZ National Operations</t>
  </si>
  <si>
    <t>T&amp;I NZ Overheads</t>
  </si>
  <si>
    <t>T&amp;I AU Asphalt &amp; Products</t>
  </si>
  <si>
    <t>Maintenance &amp; ITS</t>
  </si>
  <si>
    <t>Pavement Rehabilitation &amp; Civils</t>
  </si>
  <si>
    <t>Specialised Pavements &amp; Projects</t>
  </si>
  <si>
    <t>Thin Surfacing</t>
  </si>
  <si>
    <t>AU Fleet T&amp;I Plant</t>
  </si>
  <si>
    <t>AU Fleet Light Vehicles</t>
  </si>
  <si>
    <t>NZ Fleet</t>
  </si>
  <si>
    <t>Telco Incl. MS</t>
  </si>
  <si>
    <t>Telco</t>
  </si>
  <si>
    <t>Water Services</t>
  </si>
  <si>
    <t>Water NZ</t>
  </si>
  <si>
    <t>Metallurgical Lab</t>
  </si>
  <si>
    <t>MT Equipment and R&amp;D Aus</t>
  </si>
  <si>
    <t>MT Engineering Services Aus</t>
  </si>
  <si>
    <t>Social Infrastructure &amp; Citizen Services</t>
  </si>
  <si>
    <t>HQJOC</t>
  </si>
  <si>
    <t>Manuwatu Hub</t>
  </si>
  <si>
    <t>DEWPO</t>
  </si>
  <si>
    <t>Riverina Redevelopment Program</t>
  </si>
  <si>
    <t>Woomera Redevelopment Program</t>
  </si>
  <si>
    <t>Government Integrated Facilities Management &amp; Infrastructure Property</t>
  </si>
  <si>
    <t>Justice &amp; IFM</t>
  </si>
  <si>
    <t>Government Projects &amp; Operational Solutions</t>
  </si>
  <si>
    <t>Government Housing</t>
  </si>
  <si>
    <t>Governments Soft FM Services</t>
  </si>
  <si>
    <t>Education PPP</t>
  </si>
  <si>
    <t>Health Non PPP</t>
  </si>
  <si>
    <t>Health PPP</t>
  </si>
  <si>
    <t>RTS QLD</t>
  </si>
  <si>
    <t>Entity Name/Division</t>
  </si>
  <si>
    <t>UD1 Name/Sub-LOB</t>
  </si>
  <si>
    <t>UD1 Name/Sub-LOB Level 2</t>
  </si>
  <si>
    <t>Telecommunications &amp; Networks</t>
  </si>
  <si>
    <t>Energy &amp; Industrial</t>
  </si>
  <si>
    <t>Energy Networks</t>
  </si>
  <si>
    <t>PAS</t>
  </si>
  <si>
    <t>Government &amp; IFM New Business</t>
  </si>
  <si>
    <t>Energy &amp; Industrial West</t>
  </si>
  <si>
    <t>Energy &amp; Industrial East</t>
  </si>
  <si>
    <t>Energy Solutions</t>
  </si>
  <si>
    <t>Social Infrastructure &amp; Citizen Services Support</t>
  </si>
  <si>
    <t>T&amp;I NZ Hawkins</t>
  </si>
  <si>
    <t>MT Overheads</t>
  </si>
  <si>
    <t>NZ NSC, IT, Property, WF &amp; Elins</t>
  </si>
  <si>
    <t>MT Geology</t>
  </si>
  <si>
    <t>Passenger New Supply and Delivery</t>
  </si>
  <si>
    <t>Passenger Refurbishment</t>
  </si>
  <si>
    <t>Maryborough Refurbishment</t>
  </si>
  <si>
    <t>Passenger Through Life Support</t>
  </si>
  <si>
    <t>TLS Fleet</t>
  </si>
  <si>
    <t>TLS Projects</t>
  </si>
  <si>
    <t>Emerging Markets</t>
  </si>
  <si>
    <t>Engineering Consulting</t>
  </si>
  <si>
    <t>Central HO</t>
  </si>
  <si>
    <t>Intercompany Elimination</t>
  </si>
  <si>
    <t>UD1 Name/Sub-LOB Level 3</t>
  </si>
  <si>
    <t>Northland</t>
  </si>
  <si>
    <t>Auckland</t>
  </si>
  <si>
    <t>Waikato</t>
  </si>
  <si>
    <t>Bay of Plenty</t>
  </si>
  <si>
    <t>Taranaki</t>
  </si>
  <si>
    <t>T&amp;I NZ North Specialised Pavements</t>
  </si>
  <si>
    <t>Whanganui</t>
  </si>
  <si>
    <t>Gisborne</t>
  </si>
  <si>
    <t>Hawkes Bay &amp; Tararua</t>
  </si>
  <si>
    <t>Manawatu</t>
  </si>
  <si>
    <t>Wellington</t>
  </si>
  <si>
    <t>Tasman Nelson</t>
  </si>
  <si>
    <t>Canterbury</t>
  </si>
  <si>
    <t>Otago</t>
  </si>
  <si>
    <t>Central Otago &amp; Southland</t>
  </si>
  <si>
    <t>T&amp;I NZ National Projects North</t>
  </si>
  <si>
    <t>T&amp;I NZ Nat Projects South</t>
  </si>
  <si>
    <t>T&amp;I NZ Infra Delivery Major Projects</t>
  </si>
  <si>
    <t>T&amp;I NZ Infra Delivery Pacific</t>
  </si>
  <si>
    <t>T&amp;I NZ Infra Delivery Piling</t>
  </si>
  <si>
    <t>T&amp;I NZ Nat Ops Cranes</t>
  </si>
  <si>
    <t>T&amp;I NZ Hawkins Northern Projects</t>
  </si>
  <si>
    <t>T&amp;I NZ Hawkins Central Projects</t>
  </si>
  <si>
    <t>T&amp;I NZ Hawkins Wellington Projects</t>
  </si>
  <si>
    <t>T&amp;I NZ Hawkins Southern Projects</t>
  </si>
  <si>
    <t>T&amp;I NZ Nat Ops Asphalt Plants</t>
  </si>
  <si>
    <t>T&amp;I NZ Road Science</t>
  </si>
  <si>
    <t>T&amp;I NZ Nat Ops ITS</t>
  </si>
  <si>
    <t>T&amp;I NZ Nat Ops Roadmarking</t>
  </si>
  <si>
    <t>T&amp;I NZ Nat Ops Greenspace</t>
  </si>
  <si>
    <t>T&amp;I NZ New Business</t>
  </si>
  <si>
    <t>Asphalt VIC</t>
  </si>
  <si>
    <t>Tasmania</t>
  </si>
  <si>
    <t>Asphalt NSW/ACT</t>
  </si>
  <si>
    <t>Asphalt QLD</t>
  </si>
  <si>
    <t>Asphalt SA</t>
  </si>
  <si>
    <t>Pavement Preservation</t>
  </si>
  <si>
    <t>Blended Products &amp; Reconomy</t>
  </si>
  <si>
    <t>AU Binder Supply &amp; Distribution</t>
  </si>
  <si>
    <t>Maintenance</t>
  </si>
  <si>
    <t>ITS</t>
  </si>
  <si>
    <t>Major Infrastructure</t>
  </si>
  <si>
    <t>Victoria Pavement Rehab &amp; Civils</t>
  </si>
  <si>
    <t>SA Pavement Rehab &amp; Civils</t>
  </si>
  <si>
    <t>Specialised Projects</t>
  </si>
  <si>
    <t>Northern NSW &amp; QLD Operations</t>
  </si>
  <si>
    <t>Southern NSW Operations</t>
  </si>
  <si>
    <t>Central &amp; West Operations</t>
  </si>
  <si>
    <t>AU Fleet LV Light Vehicles</t>
  </si>
  <si>
    <t>NZ Fleet Plant</t>
  </si>
  <si>
    <t>Metering Services</t>
  </si>
  <si>
    <t>Chorus</t>
  </si>
  <si>
    <t>One NZ</t>
  </si>
  <si>
    <t>Spark</t>
  </si>
  <si>
    <t>Sky TV</t>
  </si>
  <si>
    <t>Tait</t>
  </si>
  <si>
    <t>Other Customers</t>
  </si>
  <si>
    <t>NSNZ Distribution</t>
  </si>
  <si>
    <t>NSNZ Transmission</t>
  </si>
  <si>
    <t>NSNZ Generation</t>
  </si>
  <si>
    <t>NSNZ Engineering</t>
  </si>
  <si>
    <t>Water Services NSW</t>
  </si>
  <si>
    <t>Water Services QLD</t>
  </si>
  <si>
    <t>Water Services VIC</t>
  </si>
  <si>
    <t>Water Northern</t>
  </si>
  <si>
    <t>Water Central</t>
  </si>
  <si>
    <t>Water Southern</t>
  </si>
  <si>
    <t>National Construction</t>
  </si>
  <si>
    <t>Transmission Lines</t>
  </si>
  <si>
    <t>Substations</t>
  </si>
  <si>
    <t>Chevron</t>
  </si>
  <si>
    <t>Inland</t>
  </si>
  <si>
    <t>Port Hedland</t>
  </si>
  <si>
    <t>UAM - West</t>
  </si>
  <si>
    <t>NGT</t>
  </si>
  <si>
    <t>QLD Power</t>
  </si>
  <si>
    <t>Operations North</t>
  </si>
  <si>
    <t>AGL</t>
  </si>
  <si>
    <t>Operations South</t>
  </si>
  <si>
    <t>ES - UAM East</t>
  </si>
  <si>
    <t>DMH</t>
  </si>
  <si>
    <t>Manufacturing</t>
  </si>
  <si>
    <t>Integrated Gas</t>
  </si>
  <si>
    <t>Energy Networks - Gas</t>
  </si>
  <si>
    <t>Energy Networks - UAM VIC</t>
  </si>
  <si>
    <t>Metallurgical Test Labs - Australia</t>
  </si>
  <si>
    <t>MT Equipment R&amp;D Eng Mfg AS - Australia</t>
  </si>
  <si>
    <t>MT Equipment R&amp;D Eng Mfg AS - Africa</t>
  </si>
  <si>
    <t>MT BD &amp; Int'l Operations - AfricaBEE</t>
  </si>
  <si>
    <t>MT Equipment R&amp;D Eng Mfg AS - North America</t>
  </si>
  <si>
    <t>MT Equipment R&amp;D Eng Mfg AS - Canada</t>
  </si>
  <si>
    <t>MT Equipment R&amp;D Eng Mfg AS - India</t>
  </si>
  <si>
    <t>MT Equipment R&amp;D Eng Mfg AS - South America</t>
  </si>
  <si>
    <t>MT BD &amp; Int'l Operations - Eliminations</t>
  </si>
  <si>
    <t>MT Process Design &amp; Proj Ctrls - Australia</t>
  </si>
  <si>
    <t>MT Geology - Australia</t>
  </si>
  <si>
    <t>E&amp;U Asset Management (ANZ)</t>
  </si>
  <si>
    <t>E&amp;U Asset Management (Australia)</t>
  </si>
  <si>
    <t>Advisory Techn Services</t>
  </si>
  <si>
    <t>Capability Acquisition and Sustainment Group</t>
  </si>
  <si>
    <t>Naval Shipbuilding and Sustainment Group</t>
  </si>
  <si>
    <t>DPS Find Win Do</t>
  </si>
  <si>
    <t>RTS QTMP</t>
  </si>
  <si>
    <t>RTS QLD MAJOR</t>
  </si>
  <si>
    <t>RTS QLD - Other</t>
  </si>
  <si>
    <t>RTS QLD - Site overheads</t>
  </si>
  <si>
    <t>Refurbishment Maintenance QLD</t>
  </si>
  <si>
    <t>NSW TLS</t>
  </si>
  <si>
    <t>Newcastle Light Rail TLS</t>
  </si>
  <si>
    <t>HCMT TLS</t>
  </si>
  <si>
    <t>WA JV</t>
  </si>
  <si>
    <t>ETCS Projects</t>
  </si>
  <si>
    <t>Energy Saver Scheme</t>
  </si>
  <si>
    <t>Cardiff</t>
  </si>
  <si>
    <t>Next Generation Trams</t>
  </si>
  <si>
    <t>RTS FGT Projects</t>
  </si>
  <si>
    <t>RTS Freight NSW</t>
  </si>
  <si>
    <t>NZ CRL 2025</t>
  </si>
  <si>
    <t>RTS xDNA</t>
  </si>
  <si>
    <t>RTS Overheads - other</t>
  </si>
  <si>
    <t>Digital DNA</t>
  </si>
  <si>
    <t>Stockland IFM</t>
  </si>
  <si>
    <t>NZ T&amp;I North Gap</t>
  </si>
  <si>
    <t>Maintenance &amp; ITS Gap</t>
  </si>
  <si>
    <t>NSNZ Other</t>
  </si>
  <si>
    <t>E&amp;I West Unsecured</t>
  </si>
  <si>
    <t>E&amp;I East Unsecured</t>
  </si>
  <si>
    <t>Energy Solutions Unsecured</t>
  </si>
  <si>
    <t>Energy Networks Unsecured</t>
  </si>
  <si>
    <t>QTMP TLS</t>
  </si>
  <si>
    <t>T&amp;I AU GAP</t>
  </si>
  <si>
    <t>T&amp;I Gap</t>
  </si>
  <si>
    <t>T&amp;I Gap AU</t>
  </si>
  <si>
    <t>T&amp;I Head Office</t>
  </si>
  <si>
    <t>T&amp;I Head Office NZ</t>
  </si>
  <si>
    <t>Water Services Other</t>
  </si>
  <si>
    <t>Water Services Unsecured</t>
  </si>
  <si>
    <t>Health &amp; Education New Business</t>
  </si>
  <si>
    <t>CN21 Tangara Tech Upgrade Ph 2</t>
  </si>
  <si>
    <t>RTS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</si>
</sst>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;\(#,##0.0\);&quot;-&quot;"/>
    <numFmt numFmtId="165" formatCode="#,##0.0\ ;\(#,##0.0\);&quot;- &quot;"/>
    <numFmt numFmtId="166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164" fontId="2" fillId="0" borderId="0" xfId="0" applyNumberFormat="1" applyFont="1"/>
    <xf numFmtId="164" fontId="0" fillId="0" borderId="0" xfId="0" applyNumberFormat="1"/>
    <xf numFmtId="0" fontId="4" fillId="0" borderId="0" xfId="0" applyFont="1"/>
    <xf numFmtId="0" fontId="1" fillId="3" borderId="0" xfId="0" applyFont="1" applyFill="1"/>
    <xf numFmtId="14" fontId="1" fillId="3" borderId="0" xfId="0" applyNumberFormat="1" applyFont="1" applyFill="1"/>
    <xf numFmtId="165" fontId="0" fillId="0" borderId="0" xfId="0" applyNumberFormat="1"/>
    <xf numFmtId="165" fontId="0" fillId="2" borderId="2" xfId="0" applyNumberFormat="1" applyFill="1" applyBorder="1"/>
    <xf numFmtId="0" fontId="5" fillId="0" borderId="0" xfId="0" applyFont="1"/>
    <xf numFmtId="165" fontId="5" fillId="0" borderId="0" xfId="0" applyNumberFormat="1" applyFont="1"/>
    <xf numFmtId="0" fontId="5" fillId="2" borderId="1" xfId="0" applyFont="1" applyFill="1" applyBorder="1"/>
    <xf numFmtId="166" fontId="5" fillId="0" borderId="0" xfId="1" applyNumberFormat="1" applyFont="1"/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/mm/yyyy"/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F9F97-8974-4100-B7E9-FB06869C54BC}" name="Table2" displayName="Table2" ref="A1:E164" totalsRowCount="1" headerRowDxfId="10" dataDxfId="9">
  <autoFilter ref="A1:E163" xr:uid="{1FFF9F97-8974-4100-B7E9-FB06869C54BC}"/>
  <tableColumns count="5">
    <tableColumn id="1" xr3:uid="{33A4A0C4-D84B-44DD-AAB4-61C7BAC84545}" name="Entity Name/Division" dataDxfId="8"/>
    <tableColumn id="2" xr3:uid="{8840AD2F-D9AB-4165-8333-5B111CAA74DD}" name="UD1 Name/Sub-LOB" dataDxfId="7"/>
    <tableColumn id="3" xr3:uid="{E6FAFBA9-6F88-45E3-93B8-2B0213410CC7}" name="UD1 Name/Sub-LOB Level 2" dataDxfId="6"/>
    <tableColumn id="4" xr3:uid="{C90530B1-5817-4DE4-A0B6-714D3ECCF69C}" name="UD1 Name/Sub-LOB Level 3" dataDxfId="5"/>
    <tableColumn id="6" xr3:uid="{909236DE-55D7-4434-A629-AD8C59C1AC6A}" name="Jul" totalsRowFunction="sum" dataDxfId="4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92FD5-2DC8-453E-9448-A256D6692720}" name="Table1" displayName="Table1" ref="A1:B8" totalsRowShown="0" headerRowDxfId="3" dataDxfId="2">
  <autoFilter ref="A1:B8" xr:uid="{79992FD5-2DC8-453E-9448-A256D6692720}"/>
  <tableColumns count="2">
    <tableColumn id="1" xr3:uid="{A25A9670-FDFB-433E-99CB-A7985F993730}" name="Joint Venture and Associates" dataDxfId="1"/>
    <tableColumn id="2" xr3:uid="{A57DD919-0DCB-4278-8430-88638B8F1C4F}" name="Ju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72B5-8FA6-4503-A5E0-CE2E62F81D3D}">
  <dimension ref="A1:F164"/>
  <sheetViews>
    <sheetView tabSelected="1" topLeftCell="A139" workbookViewId="0">
      <selection activeCell="J157" sqref="J157"/>
    </sheetView>
  </sheetViews>
  <sheetFormatPr defaultRowHeight="15" x14ac:dyDescent="0.25"/>
  <cols>
    <col min="1" max="1" width="27.28515625" customWidth="1"/>
    <col min="2" max="2" width="28.42578125" customWidth="1"/>
    <col min="3" max="3" width="29.28515625" customWidth="1"/>
    <col min="4" max="5" width="38.42578125" customWidth="1"/>
  </cols>
  <sheetData>
    <row r="1" spans="1:6" x14ac:dyDescent="0.25">
      <c r="A1" s="4" t="s">
        <v>67</v>
      </c>
      <c r="B1" s="4" t="s">
        <v>68</v>
      </c>
      <c r="C1" s="4" t="s">
        <v>69</v>
      </c>
      <c r="D1" s="4" t="s">
        <v>93</v>
      </c>
      <c r="E1" s="5" t="s">
        <v>0</v>
      </c>
    </row>
    <row r="2" spans="1:6" x14ac:dyDescent="0.25">
      <c r="A2" t="s">
        <v>16</v>
      </c>
      <c r="B2" s="8" t="s">
        <v>24</v>
      </c>
      <c r="C2" s="8" t="s">
        <v>32</v>
      </c>
      <c r="D2" s="8" t="s">
        <v>94</v>
      </c>
      <c r="E2" s="11">
        <v>1.8</v>
      </c>
      <c r="F2" s="9"/>
    </row>
    <row r="3" spans="1:6" x14ac:dyDescent="0.25">
      <c r="A3" t="s">
        <v>16</v>
      </c>
      <c r="B3" s="8" t="s">
        <v>24</v>
      </c>
      <c r="C3" s="8" t="s">
        <v>32</v>
      </c>
      <c r="D3" s="8" t="s">
        <v>95</v>
      </c>
      <c r="E3" s="11">
        <v>15.1</v>
      </c>
      <c r="F3" s="9"/>
    </row>
    <row r="4" spans="1:6" x14ac:dyDescent="0.25">
      <c r="A4" t="s">
        <v>16</v>
      </c>
      <c r="B4" s="8" t="s">
        <v>24</v>
      </c>
      <c r="C4" s="8" t="s">
        <v>32</v>
      </c>
      <c r="D4" s="8" t="s">
        <v>96</v>
      </c>
      <c r="E4" s="11">
        <v>3.6</v>
      </c>
      <c r="F4" s="9"/>
    </row>
    <row r="5" spans="1:6" x14ac:dyDescent="0.25">
      <c r="A5" t="s">
        <v>16</v>
      </c>
      <c r="B5" s="8" t="s">
        <v>24</v>
      </c>
      <c r="C5" s="8" t="s">
        <v>32</v>
      </c>
      <c r="D5" s="8" t="s">
        <v>97</v>
      </c>
      <c r="E5" s="11">
        <v>1.4</v>
      </c>
      <c r="F5" s="9"/>
    </row>
    <row r="6" spans="1:6" x14ac:dyDescent="0.25">
      <c r="A6" t="s">
        <v>16</v>
      </c>
      <c r="B6" s="8" t="s">
        <v>24</v>
      </c>
      <c r="C6" s="8" t="s">
        <v>32</v>
      </c>
      <c r="D6" s="8" t="s">
        <v>98</v>
      </c>
      <c r="E6" s="11">
        <v>5.6</v>
      </c>
      <c r="F6" s="9"/>
    </row>
    <row r="7" spans="1:6" x14ac:dyDescent="0.25">
      <c r="A7" t="s">
        <v>16</v>
      </c>
      <c r="B7" s="8" t="s">
        <v>24</v>
      </c>
      <c r="C7" s="8" t="s">
        <v>32</v>
      </c>
      <c r="D7" s="8" t="s">
        <v>99</v>
      </c>
      <c r="E7" s="11">
        <v>0</v>
      </c>
      <c r="F7" s="9"/>
    </row>
    <row r="8" spans="1:6" x14ac:dyDescent="0.25">
      <c r="A8" t="s">
        <v>16</v>
      </c>
      <c r="B8" s="8" t="s">
        <v>24</v>
      </c>
      <c r="C8" s="8" t="s">
        <v>32</v>
      </c>
      <c r="D8" s="8" t="s">
        <v>216</v>
      </c>
      <c r="E8" s="11">
        <v>0</v>
      </c>
      <c r="F8" s="9"/>
    </row>
    <row r="9" spans="1:6" x14ac:dyDescent="0.25">
      <c r="A9" t="s">
        <v>16</v>
      </c>
      <c r="B9" s="8" t="s">
        <v>24</v>
      </c>
      <c r="C9" s="8" t="s">
        <v>33</v>
      </c>
      <c r="D9" s="8" t="s">
        <v>100</v>
      </c>
      <c r="E9" s="11">
        <v>0.9</v>
      </c>
      <c r="F9" s="9"/>
    </row>
    <row r="10" spans="1:6" x14ac:dyDescent="0.25">
      <c r="A10" t="s">
        <v>16</v>
      </c>
      <c r="B10" s="8" t="s">
        <v>24</v>
      </c>
      <c r="C10" s="8" t="s">
        <v>33</v>
      </c>
      <c r="D10" s="8" t="s">
        <v>101</v>
      </c>
      <c r="E10" s="11">
        <v>3</v>
      </c>
      <c r="F10" s="9"/>
    </row>
    <row r="11" spans="1:6" x14ac:dyDescent="0.25">
      <c r="A11" t="s">
        <v>16</v>
      </c>
      <c r="B11" s="8" t="s">
        <v>24</v>
      </c>
      <c r="C11" s="8" t="s">
        <v>33</v>
      </c>
      <c r="D11" s="8" t="s">
        <v>102</v>
      </c>
      <c r="E11" s="11">
        <v>4.9000000000000004</v>
      </c>
      <c r="F11" s="9"/>
    </row>
    <row r="12" spans="1:6" x14ac:dyDescent="0.25">
      <c r="A12" t="s">
        <v>16</v>
      </c>
      <c r="B12" s="8" t="s">
        <v>24</v>
      </c>
      <c r="C12" s="8" t="s">
        <v>33</v>
      </c>
      <c r="D12" s="8" t="s">
        <v>103</v>
      </c>
      <c r="E12" s="11">
        <v>1.8</v>
      </c>
      <c r="F12" s="9"/>
    </row>
    <row r="13" spans="1:6" x14ac:dyDescent="0.25">
      <c r="A13" t="s">
        <v>16</v>
      </c>
      <c r="B13" s="8" t="s">
        <v>24</v>
      </c>
      <c r="C13" s="8" t="s">
        <v>33</v>
      </c>
      <c r="D13" s="8" t="s">
        <v>104</v>
      </c>
      <c r="E13" s="11">
        <v>4.0999999999999996</v>
      </c>
      <c r="F13" s="9"/>
    </row>
    <row r="14" spans="1:6" x14ac:dyDescent="0.25">
      <c r="A14" t="s">
        <v>16</v>
      </c>
      <c r="B14" s="8" t="s">
        <v>24</v>
      </c>
      <c r="C14" s="8" t="s">
        <v>33</v>
      </c>
      <c r="D14" s="8" t="s">
        <v>105</v>
      </c>
      <c r="E14" s="11">
        <v>1.8</v>
      </c>
      <c r="F14" s="9"/>
    </row>
    <row r="15" spans="1:6" x14ac:dyDescent="0.25">
      <c r="A15" t="s">
        <v>16</v>
      </c>
      <c r="B15" s="8" t="s">
        <v>24</v>
      </c>
      <c r="C15" s="8" t="s">
        <v>33</v>
      </c>
      <c r="D15" s="8" t="s">
        <v>106</v>
      </c>
      <c r="E15" s="11">
        <v>0.6</v>
      </c>
      <c r="F15" s="9"/>
    </row>
    <row r="16" spans="1:6" x14ac:dyDescent="0.25">
      <c r="A16" t="s">
        <v>16</v>
      </c>
      <c r="B16" s="8" t="s">
        <v>24</v>
      </c>
      <c r="C16" s="8" t="s">
        <v>33</v>
      </c>
      <c r="D16" s="8" t="s">
        <v>107</v>
      </c>
      <c r="E16" s="11">
        <v>2.8</v>
      </c>
      <c r="F16" s="9"/>
    </row>
    <row r="17" spans="1:6" x14ac:dyDescent="0.25">
      <c r="A17" t="s">
        <v>16</v>
      </c>
      <c r="B17" s="8" t="s">
        <v>24</v>
      </c>
      <c r="C17" s="8" t="s">
        <v>33</v>
      </c>
      <c r="D17" s="8" t="s">
        <v>108</v>
      </c>
      <c r="E17" s="11">
        <v>2.7</v>
      </c>
      <c r="F17" s="9"/>
    </row>
    <row r="18" spans="1:6" x14ac:dyDescent="0.25">
      <c r="A18" t="s">
        <v>16</v>
      </c>
      <c r="B18" s="8" t="s">
        <v>24</v>
      </c>
      <c r="C18" s="8" t="s">
        <v>34</v>
      </c>
      <c r="D18" s="8" t="s">
        <v>109</v>
      </c>
      <c r="E18" s="11">
        <v>0.3</v>
      </c>
      <c r="F18" s="9"/>
    </row>
    <row r="19" spans="1:6" x14ac:dyDescent="0.25">
      <c r="A19" t="s">
        <v>16</v>
      </c>
      <c r="B19" s="8" t="s">
        <v>24</v>
      </c>
      <c r="C19" s="8" t="s">
        <v>34</v>
      </c>
      <c r="D19" s="8" t="s">
        <v>110</v>
      </c>
      <c r="E19" s="11">
        <v>8.6</v>
      </c>
      <c r="F19" s="9"/>
    </row>
    <row r="20" spans="1:6" x14ac:dyDescent="0.25">
      <c r="A20" t="s">
        <v>16</v>
      </c>
      <c r="B20" s="8" t="s">
        <v>24</v>
      </c>
      <c r="C20" s="8" t="s">
        <v>34</v>
      </c>
      <c r="D20" s="8" t="s">
        <v>111</v>
      </c>
      <c r="E20" s="11">
        <v>8.9</v>
      </c>
      <c r="F20" s="9"/>
    </row>
    <row r="21" spans="1:6" x14ac:dyDescent="0.25">
      <c r="A21" t="s">
        <v>16</v>
      </c>
      <c r="B21" s="8" t="s">
        <v>24</v>
      </c>
      <c r="C21" s="8" t="s">
        <v>34</v>
      </c>
      <c r="D21" s="8" t="s">
        <v>112</v>
      </c>
      <c r="E21" s="11">
        <v>2.2999999999999998</v>
      </c>
      <c r="F21" s="9"/>
    </row>
    <row r="22" spans="1:6" x14ac:dyDescent="0.25">
      <c r="A22" t="s">
        <v>16</v>
      </c>
      <c r="B22" s="8" t="s">
        <v>24</v>
      </c>
      <c r="C22" s="8" t="s">
        <v>34</v>
      </c>
      <c r="D22" s="8" t="s">
        <v>113</v>
      </c>
      <c r="E22" s="11">
        <v>0.2</v>
      </c>
      <c r="F22" s="9"/>
    </row>
    <row r="23" spans="1:6" x14ac:dyDescent="0.25">
      <c r="A23" t="s">
        <v>16</v>
      </c>
      <c r="B23" s="8" t="s">
        <v>24</v>
      </c>
      <c r="C23" s="8" t="s">
        <v>34</v>
      </c>
      <c r="D23" s="8" t="s">
        <v>114</v>
      </c>
      <c r="E23" s="11">
        <v>0.3</v>
      </c>
      <c r="F23" s="9"/>
    </row>
    <row r="24" spans="1:6" x14ac:dyDescent="0.25">
      <c r="A24" t="s">
        <v>16</v>
      </c>
      <c r="B24" s="8" t="s">
        <v>24</v>
      </c>
      <c r="C24" s="8" t="s">
        <v>79</v>
      </c>
      <c r="D24" s="8" t="s">
        <v>115</v>
      </c>
      <c r="E24" s="11">
        <v>33.6</v>
      </c>
      <c r="F24" s="9"/>
    </row>
    <row r="25" spans="1:6" x14ac:dyDescent="0.25">
      <c r="A25" t="s">
        <v>16</v>
      </c>
      <c r="B25" s="8" t="s">
        <v>24</v>
      </c>
      <c r="C25" s="8" t="s">
        <v>79</v>
      </c>
      <c r="D25" s="8" t="s">
        <v>116</v>
      </c>
      <c r="E25" s="11">
        <v>3.1</v>
      </c>
      <c r="F25" s="9"/>
    </row>
    <row r="26" spans="1:6" x14ac:dyDescent="0.25">
      <c r="A26" t="s">
        <v>16</v>
      </c>
      <c r="B26" s="8" t="s">
        <v>24</v>
      </c>
      <c r="C26" s="8" t="s">
        <v>79</v>
      </c>
      <c r="D26" s="8" t="s">
        <v>117</v>
      </c>
      <c r="E26" s="11">
        <v>8.5</v>
      </c>
      <c r="F26" s="9"/>
    </row>
    <row r="27" spans="1:6" x14ac:dyDescent="0.25">
      <c r="A27" t="s">
        <v>16</v>
      </c>
      <c r="B27" s="8" t="s">
        <v>24</v>
      </c>
      <c r="C27" s="8" t="s">
        <v>79</v>
      </c>
      <c r="D27" s="8" t="s">
        <v>118</v>
      </c>
      <c r="E27" s="11">
        <v>7.3</v>
      </c>
      <c r="F27" s="9"/>
    </row>
    <row r="28" spans="1:6" x14ac:dyDescent="0.25">
      <c r="A28" t="s">
        <v>16</v>
      </c>
      <c r="B28" s="8" t="s">
        <v>24</v>
      </c>
      <c r="C28" s="8" t="s">
        <v>35</v>
      </c>
      <c r="D28" s="8" t="s">
        <v>119</v>
      </c>
      <c r="E28" s="11">
        <v>2.2000000000000002</v>
      </c>
      <c r="F28" s="9"/>
    </row>
    <row r="29" spans="1:6" x14ac:dyDescent="0.25">
      <c r="A29" t="s">
        <v>16</v>
      </c>
      <c r="B29" s="8" t="s">
        <v>24</v>
      </c>
      <c r="C29" s="8" t="s">
        <v>35</v>
      </c>
      <c r="D29" s="8" t="s">
        <v>120</v>
      </c>
      <c r="E29" s="11">
        <v>2.7</v>
      </c>
      <c r="F29" s="9"/>
    </row>
    <row r="30" spans="1:6" x14ac:dyDescent="0.25">
      <c r="A30" t="s">
        <v>16</v>
      </c>
      <c r="B30" s="8" t="s">
        <v>24</v>
      </c>
      <c r="C30" s="8" t="s">
        <v>35</v>
      </c>
      <c r="D30" s="8" t="s">
        <v>121</v>
      </c>
      <c r="E30" s="11">
        <v>1.4</v>
      </c>
      <c r="F30" s="9"/>
    </row>
    <row r="31" spans="1:6" x14ac:dyDescent="0.25">
      <c r="A31" t="s">
        <v>16</v>
      </c>
      <c r="B31" s="8" t="s">
        <v>24</v>
      </c>
      <c r="C31" s="8" t="s">
        <v>35</v>
      </c>
      <c r="D31" s="8" t="s">
        <v>122</v>
      </c>
      <c r="E31" s="11">
        <v>0.3</v>
      </c>
      <c r="F31" s="9"/>
    </row>
    <row r="32" spans="1:6" x14ac:dyDescent="0.25">
      <c r="A32" t="s">
        <v>16</v>
      </c>
      <c r="B32" s="8" t="s">
        <v>24</v>
      </c>
      <c r="C32" s="8" t="s">
        <v>35</v>
      </c>
      <c r="D32" s="8" t="s">
        <v>123</v>
      </c>
      <c r="E32" s="11">
        <v>1.5</v>
      </c>
      <c r="F32" s="9"/>
    </row>
    <row r="33" spans="1:6" x14ac:dyDescent="0.25">
      <c r="A33" t="s">
        <v>16</v>
      </c>
      <c r="B33" s="8" t="s">
        <v>24</v>
      </c>
      <c r="C33" s="8" t="s">
        <v>36</v>
      </c>
      <c r="D33" s="8" t="s">
        <v>124</v>
      </c>
      <c r="E33" s="11">
        <v>0.2</v>
      </c>
      <c r="F33" s="9"/>
    </row>
    <row r="34" spans="1:6" x14ac:dyDescent="0.25">
      <c r="A34" t="s">
        <v>16</v>
      </c>
      <c r="B34" s="8" t="s">
        <v>27</v>
      </c>
      <c r="C34" s="8" t="s">
        <v>37</v>
      </c>
      <c r="D34" s="8" t="s">
        <v>125</v>
      </c>
      <c r="E34" s="11">
        <v>15.4</v>
      </c>
      <c r="F34" s="9"/>
    </row>
    <row r="35" spans="1:6" x14ac:dyDescent="0.25">
      <c r="A35" t="s">
        <v>16</v>
      </c>
      <c r="B35" s="8" t="s">
        <v>27</v>
      </c>
      <c r="C35" s="8" t="s">
        <v>37</v>
      </c>
      <c r="D35" s="8" t="s">
        <v>126</v>
      </c>
      <c r="E35" s="11">
        <v>1.6</v>
      </c>
      <c r="F35" s="9"/>
    </row>
    <row r="36" spans="1:6" x14ac:dyDescent="0.25">
      <c r="A36" t="s">
        <v>16</v>
      </c>
      <c r="B36" s="8" t="s">
        <v>27</v>
      </c>
      <c r="C36" s="8" t="s">
        <v>37</v>
      </c>
      <c r="D36" s="8" t="s">
        <v>127</v>
      </c>
      <c r="E36" s="11">
        <v>23.2</v>
      </c>
      <c r="F36" s="9"/>
    </row>
    <row r="37" spans="1:6" x14ac:dyDescent="0.25">
      <c r="A37" t="s">
        <v>16</v>
      </c>
      <c r="B37" s="8" t="s">
        <v>27</v>
      </c>
      <c r="C37" s="8" t="s">
        <v>37</v>
      </c>
      <c r="D37" s="8" t="s">
        <v>128</v>
      </c>
      <c r="E37" s="11">
        <v>11</v>
      </c>
      <c r="F37" s="9"/>
    </row>
    <row r="38" spans="1:6" x14ac:dyDescent="0.25">
      <c r="A38" t="s">
        <v>16</v>
      </c>
      <c r="B38" s="8" t="s">
        <v>27</v>
      </c>
      <c r="C38" s="8" t="s">
        <v>37</v>
      </c>
      <c r="D38" s="8" t="s">
        <v>129</v>
      </c>
      <c r="E38" s="11">
        <v>10.6</v>
      </c>
      <c r="F38" s="9"/>
    </row>
    <row r="39" spans="1:6" x14ac:dyDescent="0.25">
      <c r="A39" t="s">
        <v>16</v>
      </c>
      <c r="B39" s="8" t="s">
        <v>27</v>
      </c>
      <c r="C39" s="8" t="s">
        <v>37</v>
      </c>
      <c r="D39" s="8" t="s">
        <v>130</v>
      </c>
      <c r="E39" s="11">
        <v>3.1</v>
      </c>
      <c r="F39" s="9"/>
    </row>
    <row r="40" spans="1:6" x14ac:dyDescent="0.25">
      <c r="A40" t="s">
        <v>16</v>
      </c>
      <c r="B40" s="8" t="s">
        <v>27</v>
      </c>
      <c r="C40" s="8" t="s">
        <v>37</v>
      </c>
      <c r="D40" s="8" t="s">
        <v>131</v>
      </c>
      <c r="E40" s="11">
        <v>2.4</v>
      </c>
      <c r="F40" s="9"/>
    </row>
    <row r="41" spans="1:6" x14ac:dyDescent="0.25">
      <c r="A41" t="s">
        <v>16</v>
      </c>
      <c r="B41" s="8" t="s">
        <v>27</v>
      </c>
      <c r="C41" s="8" t="s">
        <v>37</v>
      </c>
      <c r="D41" s="8" t="s">
        <v>132</v>
      </c>
      <c r="E41" s="11">
        <v>0.1</v>
      </c>
      <c r="F41" s="9"/>
    </row>
    <row r="42" spans="1:6" x14ac:dyDescent="0.25">
      <c r="A42" t="s">
        <v>16</v>
      </c>
      <c r="B42" s="8" t="s">
        <v>27</v>
      </c>
      <c r="C42" s="8" t="s">
        <v>38</v>
      </c>
      <c r="D42" s="8" t="s">
        <v>133</v>
      </c>
      <c r="E42" s="11">
        <v>19.8</v>
      </c>
      <c r="F42" s="9"/>
    </row>
    <row r="43" spans="1:6" x14ac:dyDescent="0.25">
      <c r="A43" t="s">
        <v>16</v>
      </c>
      <c r="B43" s="8" t="s">
        <v>27</v>
      </c>
      <c r="C43" s="8" t="s">
        <v>38</v>
      </c>
      <c r="D43" s="8" t="s">
        <v>134</v>
      </c>
      <c r="E43" s="11">
        <v>3.4</v>
      </c>
      <c r="F43" s="9"/>
    </row>
    <row r="44" spans="1:6" x14ac:dyDescent="0.25">
      <c r="A44" t="s">
        <v>16</v>
      </c>
      <c r="B44" s="8" t="s">
        <v>27</v>
      </c>
      <c r="C44" s="8" t="s">
        <v>38</v>
      </c>
      <c r="D44" s="8" t="s">
        <v>135</v>
      </c>
      <c r="E44" s="11">
        <v>5</v>
      </c>
      <c r="F44" s="9"/>
    </row>
    <row r="45" spans="1:6" x14ac:dyDescent="0.25">
      <c r="A45" t="s">
        <v>16</v>
      </c>
      <c r="B45" s="8" t="s">
        <v>27</v>
      </c>
      <c r="C45" s="8" t="s">
        <v>38</v>
      </c>
      <c r="D45" s="8" t="s">
        <v>217</v>
      </c>
      <c r="E45" s="11">
        <v>0</v>
      </c>
      <c r="F45" s="9"/>
    </row>
    <row r="46" spans="1:6" x14ac:dyDescent="0.25">
      <c r="A46" t="s">
        <v>16</v>
      </c>
      <c r="B46" s="8" t="s">
        <v>27</v>
      </c>
      <c r="C46" s="8" t="s">
        <v>39</v>
      </c>
      <c r="D46" s="8" t="s">
        <v>136</v>
      </c>
      <c r="E46" s="11">
        <v>0.3</v>
      </c>
      <c r="F46" s="9"/>
    </row>
    <row r="47" spans="1:6" x14ac:dyDescent="0.25">
      <c r="A47" t="s">
        <v>16</v>
      </c>
      <c r="B47" s="8" t="s">
        <v>27</v>
      </c>
      <c r="C47" s="8" t="s">
        <v>39</v>
      </c>
      <c r="D47" s="8" t="s">
        <v>137</v>
      </c>
      <c r="E47" s="11">
        <v>8.4</v>
      </c>
      <c r="F47" s="9"/>
    </row>
    <row r="48" spans="1:6" x14ac:dyDescent="0.25">
      <c r="A48" t="s">
        <v>16</v>
      </c>
      <c r="B48" s="8" t="s">
        <v>27</v>
      </c>
      <c r="C48" s="8" t="s">
        <v>40</v>
      </c>
      <c r="D48" s="8" t="s">
        <v>138</v>
      </c>
      <c r="E48" s="11">
        <v>1.4</v>
      </c>
      <c r="F48" s="9"/>
    </row>
    <row r="49" spans="1:6" x14ac:dyDescent="0.25">
      <c r="A49" t="s">
        <v>16</v>
      </c>
      <c r="B49" s="8" t="s">
        <v>27</v>
      </c>
      <c r="C49" s="8" t="s">
        <v>41</v>
      </c>
      <c r="D49" s="8" t="s">
        <v>139</v>
      </c>
      <c r="E49" s="11">
        <v>9.1999999999999993</v>
      </c>
      <c r="F49" s="9"/>
    </row>
    <row r="50" spans="1:6" x14ac:dyDescent="0.25">
      <c r="A50" t="s">
        <v>16</v>
      </c>
      <c r="B50" s="8" t="s">
        <v>27</v>
      </c>
      <c r="C50" s="8" t="s">
        <v>41</v>
      </c>
      <c r="D50" s="8" t="s">
        <v>140</v>
      </c>
      <c r="E50" s="11">
        <v>3</v>
      </c>
      <c r="F50" s="9"/>
    </row>
    <row r="51" spans="1:6" x14ac:dyDescent="0.25">
      <c r="A51" t="s">
        <v>16</v>
      </c>
      <c r="B51" s="8" t="s">
        <v>27</v>
      </c>
      <c r="C51" s="8" t="s">
        <v>41</v>
      </c>
      <c r="D51" s="8" t="s">
        <v>141</v>
      </c>
      <c r="E51" s="11">
        <v>13</v>
      </c>
      <c r="F51" s="9"/>
    </row>
    <row r="52" spans="1:6" x14ac:dyDescent="0.25">
      <c r="A52" t="s">
        <v>16</v>
      </c>
      <c r="B52" s="8" t="s">
        <v>27</v>
      </c>
      <c r="C52" s="8" t="s">
        <v>4</v>
      </c>
      <c r="D52" s="8" t="s">
        <v>4</v>
      </c>
      <c r="E52" s="11">
        <v>3.8</v>
      </c>
      <c r="F52" s="9"/>
    </row>
    <row r="53" spans="1:6" x14ac:dyDescent="0.25">
      <c r="A53" t="s">
        <v>16</v>
      </c>
      <c r="B53" s="8" t="s">
        <v>27</v>
      </c>
      <c r="C53" s="8" t="s">
        <v>224</v>
      </c>
      <c r="D53" s="8"/>
      <c r="E53" s="11">
        <v>0</v>
      </c>
      <c r="F53" s="9"/>
    </row>
    <row r="54" spans="1:6" x14ac:dyDescent="0.25">
      <c r="A54" t="s">
        <v>16</v>
      </c>
      <c r="B54" s="8" t="s">
        <v>25</v>
      </c>
      <c r="C54" s="8" t="s">
        <v>42</v>
      </c>
      <c r="D54" s="8" t="s">
        <v>42</v>
      </c>
      <c r="E54" s="11">
        <v>0</v>
      </c>
      <c r="F54" s="9"/>
    </row>
    <row r="55" spans="1:6" x14ac:dyDescent="0.25">
      <c r="A55" t="s">
        <v>16</v>
      </c>
      <c r="B55" s="8" t="s">
        <v>25</v>
      </c>
      <c r="C55" s="8" t="s">
        <v>43</v>
      </c>
      <c r="D55" s="8" t="s">
        <v>142</v>
      </c>
      <c r="E55" s="11">
        <v>0</v>
      </c>
      <c r="F55" s="9"/>
    </row>
    <row r="56" spans="1:6" x14ac:dyDescent="0.25">
      <c r="A56" t="s">
        <v>16</v>
      </c>
      <c r="B56" s="8" t="s">
        <v>25</v>
      </c>
      <c r="C56" s="8" t="s">
        <v>44</v>
      </c>
      <c r="D56" s="8" t="s">
        <v>143</v>
      </c>
      <c r="E56" s="11">
        <v>0.1</v>
      </c>
      <c r="F56" s="9"/>
    </row>
    <row r="57" spans="1:6" x14ac:dyDescent="0.25">
      <c r="A57" t="s">
        <v>16</v>
      </c>
      <c r="B57" s="8" t="s">
        <v>225</v>
      </c>
      <c r="C57" s="8" t="s">
        <v>226</v>
      </c>
      <c r="D57" s="8"/>
      <c r="E57" s="11">
        <v>0</v>
      </c>
      <c r="F57" s="9"/>
    </row>
    <row r="58" spans="1:6" x14ac:dyDescent="0.25">
      <c r="A58" t="s">
        <v>16</v>
      </c>
      <c r="B58" s="8" t="s">
        <v>227</v>
      </c>
      <c r="C58" s="8" t="s">
        <v>228</v>
      </c>
      <c r="D58" s="8"/>
      <c r="E58" s="11">
        <v>0</v>
      </c>
      <c r="F58" s="9"/>
    </row>
    <row r="59" spans="1:6" x14ac:dyDescent="0.25">
      <c r="A59" t="s">
        <v>28</v>
      </c>
      <c r="B59" s="8" t="s">
        <v>70</v>
      </c>
      <c r="C59" s="8" t="s">
        <v>45</v>
      </c>
      <c r="D59" s="8" t="s">
        <v>46</v>
      </c>
      <c r="E59" s="11">
        <v>11.2</v>
      </c>
      <c r="F59" s="9"/>
    </row>
    <row r="60" spans="1:6" x14ac:dyDescent="0.25">
      <c r="A60" t="s">
        <v>28</v>
      </c>
      <c r="B60" s="8" t="s">
        <v>70</v>
      </c>
      <c r="C60" s="8" t="s">
        <v>45</v>
      </c>
      <c r="D60" s="8" t="s">
        <v>144</v>
      </c>
      <c r="E60" s="11">
        <v>9.1</v>
      </c>
      <c r="F60" s="9"/>
    </row>
    <row r="61" spans="1:6" x14ac:dyDescent="0.25">
      <c r="A61" t="s">
        <v>28</v>
      </c>
      <c r="B61" s="8" t="s">
        <v>70</v>
      </c>
      <c r="C61" s="8" t="s">
        <v>46</v>
      </c>
      <c r="D61" s="8" t="s">
        <v>145</v>
      </c>
      <c r="E61" s="11">
        <v>8</v>
      </c>
      <c r="F61" s="9"/>
    </row>
    <row r="62" spans="1:6" x14ac:dyDescent="0.25">
      <c r="A62" t="s">
        <v>28</v>
      </c>
      <c r="B62" s="8" t="s">
        <v>70</v>
      </c>
      <c r="C62" s="8" t="s">
        <v>46</v>
      </c>
      <c r="D62" s="8" t="s">
        <v>146</v>
      </c>
      <c r="E62" s="11">
        <v>1.9</v>
      </c>
      <c r="F62" s="9"/>
    </row>
    <row r="63" spans="1:6" x14ac:dyDescent="0.25">
      <c r="A63" t="s">
        <v>28</v>
      </c>
      <c r="B63" s="8" t="s">
        <v>70</v>
      </c>
      <c r="C63" s="8" t="s">
        <v>46</v>
      </c>
      <c r="D63" s="8" t="s">
        <v>147</v>
      </c>
      <c r="E63" s="11">
        <v>2</v>
      </c>
      <c r="F63" s="9"/>
    </row>
    <row r="64" spans="1:6" x14ac:dyDescent="0.25">
      <c r="A64" t="s">
        <v>28</v>
      </c>
      <c r="B64" s="8" t="s">
        <v>70</v>
      </c>
      <c r="C64" s="8" t="s">
        <v>46</v>
      </c>
      <c r="D64" s="8" t="s">
        <v>148</v>
      </c>
      <c r="E64" s="11">
        <v>0.7</v>
      </c>
      <c r="F64" s="9"/>
    </row>
    <row r="65" spans="1:6" x14ac:dyDescent="0.25">
      <c r="A65" t="s">
        <v>28</v>
      </c>
      <c r="B65" s="8" t="s">
        <v>70</v>
      </c>
      <c r="C65" s="8" t="s">
        <v>46</v>
      </c>
      <c r="D65" s="8" t="s">
        <v>149</v>
      </c>
      <c r="E65" s="11">
        <v>0.4</v>
      </c>
      <c r="F65" s="9"/>
    </row>
    <row r="66" spans="1:6" x14ac:dyDescent="0.25">
      <c r="A66" t="s">
        <v>28</v>
      </c>
      <c r="B66" s="8" t="s">
        <v>70</v>
      </c>
      <c r="C66" s="8" t="s">
        <v>46</v>
      </c>
      <c r="D66" s="8" t="s">
        <v>150</v>
      </c>
      <c r="E66" s="11">
        <v>0.3</v>
      </c>
      <c r="F66" s="9"/>
    </row>
    <row r="67" spans="1:6" x14ac:dyDescent="0.25">
      <c r="A67" t="s">
        <v>28</v>
      </c>
      <c r="B67" s="8" t="s">
        <v>70</v>
      </c>
      <c r="C67" s="8" t="s">
        <v>29</v>
      </c>
      <c r="D67" s="8" t="s">
        <v>151</v>
      </c>
      <c r="E67" s="11">
        <v>10.1</v>
      </c>
      <c r="F67" s="9"/>
    </row>
    <row r="68" spans="1:6" x14ac:dyDescent="0.25">
      <c r="A68" t="s">
        <v>28</v>
      </c>
      <c r="B68" s="8" t="s">
        <v>70</v>
      </c>
      <c r="C68" s="8" t="s">
        <v>29</v>
      </c>
      <c r="D68" s="8" t="s">
        <v>152</v>
      </c>
      <c r="E68" s="11">
        <v>2.2000000000000002</v>
      </c>
      <c r="F68" s="9"/>
    </row>
    <row r="69" spans="1:6" x14ac:dyDescent="0.25">
      <c r="A69" t="s">
        <v>28</v>
      </c>
      <c r="B69" s="8" t="s">
        <v>70</v>
      </c>
      <c r="C69" s="8" t="s">
        <v>29</v>
      </c>
      <c r="D69" s="8" t="s">
        <v>153</v>
      </c>
      <c r="E69" s="11">
        <v>0</v>
      </c>
      <c r="F69" s="9"/>
    </row>
    <row r="70" spans="1:6" x14ac:dyDescent="0.25">
      <c r="A70" t="s">
        <v>28</v>
      </c>
      <c r="B70" s="8" t="s">
        <v>70</v>
      </c>
      <c r="C70" s="8" t="s">
        <v>29</v>
      </c>
      <c r="D70" s="8" t="s">
        <v>154</v>
      </c>
      <c r="E70" s="11">
        <v>0.2</v>
      </c>
      <c r="F70" s="9"/>
    </row>
    <row r="71" spans="1:6" x14ac:dyDescent="0.25">
      <c r="A71" t="s">
        <v>28</v>
      </c>
      <c r="B71" s="8" t="s">
        <v>70</v>
      </c>
      <c r="C71" s="8" t="s">
        <v>29</v>
      </c>
      <c r="D71" s="8" t="s">
        <v>218</v>
      </c>
      <c r="E71" s="11">
        <v>0</v>
      </c>
      <c r="F71" s="9"/>
    </row>
    <row r="72" spans="1:6" x14ac:dyDescent="0.25">
      <c r="A72" t="s">
        <v>28</v>
      </c>
      <c r="B72" s="8" t="s">
        <v>30</v>
      </c>
      <c r="C72" s="8" t="s">
        <v>47</v>
      </c>
      <c r="D72" s="8" t="s">
        <v>155</v>
      </c>
      <c r="E72" s="11">
        <v>12.5</v>
      </c>
      <c r="F72" s="9"/>
    </row>
    <row r="73" spans="1:6" x14ac:dyDescent="0.25">
      <c r="A73" t="s">
        <v>28</v>
      </c>
      <c r="B73" s="8" t="s">
        <v>30</v>
      </c>
      <c r="C73" s="8" t="s">
        <v>47</v>
      </c>
      <c r="D73" s="8" t="s">
        <v>156</v>
      </c>
      <c r="E73" s="11">
        <v>26.1</v>
      </c>
      <c r="F73" s="9"/>
    </row>
    <row r="74" spans="1:6" x14ac:dyDescent="0.25">
      <c r="A74" t="s">
        <v>28</v>
      </c>
      <c r="B74" s="8" t="s">
        <v>30</v>
      </c>
      <c r="C74" s="8" t="s">
        <v>47</v>
      </c>
      <c r="D74" s="8" t="s">
        <v>157</v>
      </c>
      <c r="E74" s="11">
        <v>9.6</v>
      </c>
      <c r="F74" s="9"/>
    </row>
    <row r="75" spans="1:6" x14ac:dyDescent="0.25">
      <c r="A75" t="s">
        <v>28</v>
      </c>
      <c r="B75" s="8" t="s">
        <v>30</v>
      </c>
      <c r="C75" s="8" t="s">
        <v>47</v>
      </c>
      <c r="D75" s="8" t="s">
        <v>229</v>
      </c>
      <c r="E75" s="11">
        <v>0.1</v>
      </c>
      <c r="F75" s="9"/>
    </row>
    <row r="76" spans="1:6" x14ac:dyDescent="0.25">
      <c r="A76" t="s">
        <v>28</v>
      </c>
      <c r="B76" s="8" t="s">
        <v>30</v>
      </c>
      <c r="C76" s="8" t="s">
        <v>47</v>
      </c>
      <c r="D76" s="8" t="s">
        <v>230</v>
      </c>
      <c r="E76" s="11">
        <v>0</v>
      </c>
      <c r="F76" s="9"/>
    </row>
    <row r="77" spans="1:6" x14ac:dyDescent="0.25">
      <c r="A77" t="s">
        <v>28</v>
      </c>
      <c r="B77" s="8" t="s">
        <v>30</v>
      </c>
      <c r="C77" s="8" t="s">
        <v>48</v>
      </c>
      <c r="D77" s="8" t="s">
        <v>158</v>
      </c>
      <c r="E77" s="11">
        <v>5.9</v>
      </c>
      <c r="F77" s="9"/>
    </row>
    <row r="78" spans="1:6" x14ac:dyDescent="0.25">
      <c r="A78" t="s">
        <v>28</v>
      </c>
      <c r="B78" s="8" t="s">
        <v>30</v>
      </c>
      <c r="C78" s="8" t="s">
        <v>48</v>
      </c>
      <c r="D78" s="8" t="s">
        <v>159</v>
      </c>
      <c r="E78" s="11">
        <v>2</v>
      </c>
      <c r="F78" s="9"/>
    </row>
    <row r="79" spans="1:6" x14ac:dyDescent="0.25">
      <c r="A79" t="s">
        <v>28</v>
      </c>
      <c r="B79" s="8" t="s">
        <v>30</v>
      </c>
      <c r="C79" s="8" t="s">
        <v>48</v>
      </c>
      <c r="D79" s="8" t="s">
        <v>160</v>
      </c>
      <c r="E79" s="11">
        <v>3</v>
      </c>
      <c r="F79" s="9"/>
    </row>
    <row r="80" spans="1:6" x14ac:dyDescent="0.25">
      <c r="A80" t="s">
        <v>28</v>
      </c>
      <c r="B80" s="8" t="s">
        <v>30</v>
      </c>
      <c r="C80" s="8" t="s">
        <v>48</v>
      </c>
      <c r="D80" s="8" t="s">
        <v>161</v>
      </c>
      <c r="E80" s="11">
        <v>5.3</v>
      </c>
      <c r="F80" s="9"/>
    </row>
    <row r="81" spans="1:6" x14ac:dyDescent="0.25">
      <c r="A81" t="s">
        <v>28</v>
      </c>
      <c r="B81" s="8" t="s">
        <v>31</v>
      </c>
      <c r="C81" s="8" t="s">
        <v>31</v>
      </c>
      <c r="D81" s="8" t="s">
        <v>162</v>
      </c>
      <c r="E81" s="11">
        <v>3.2</v>
      </c>
      <c r="F81" s="9"/>
    </row>
    <row r="82" spans="1:6" x14ac:dyDescent="0.25">
      <c r="A82" t="s">
        <v>28</v>
      </c>
      <c r="B82" s="8" t="s">
        <v>31</v>
      </c>
      <c r="C82" s="8" t="s">
        <v>31</v>
      </c>
      <c r="D82" s="8" t="s">
        <v>163</v>
      </c>
      <c r="E82" s="11">
        <v>16.399999999999999</v>
      </c>
      <c r="F82" s="9"/>
    </row>
    <row r="83" spans="1:6" x14ac:dyDescent="0.25">
      <c r="A83" t="s">
        <v>28</v>
      </c>
      <c r="B83" s="8" t="s">
        <v>71</v>
      </c>
      <c r="C83" s="8" t="s">
        <v>75</v>
      </c>
      <c r="D83" s="8" t="s">
        <v>164</v>
      </c>
      <c r="E83" s="11">
        <v>6.7</v>
      </c>
      <c r="F83" s="9"/>
    </row>
    <row r="84" spans="1:6" x14ac:dyDescent="0.25">
      <c r="A84" t="s">
        <v>28</v>
      </c>
      <c r="B84" s="8" t="s">
        <v>71</v>
      </c>
      <c r="C84" s="8" t="s">
        <v>75</v>
      </c>
      <c r="D84" s="8" t="s">
        <v>165</v>
      </c>
      <c r="E84" s="11">
        <v>0</v>
      </c>
      <c r="F84" s="9"/>
    </row>
    <row r="85" spans="1:6" x14ac:dyDescent="0.25">
      <c r="A85" t="s">
        <v>28</v>
      </c>
      <c r="B85" s="8" t="s">
        <v>71</v>
      </c>
      <c r="C85" s="8" t="s">
        <v>75</v>
      </c>
      <c r="D85" s="8" t="s">
        <v>166</v>
      </c>
      <c r="E85" s="11">
        <v>2.4</v>
      </c>
      <c r="F85" s="9"/>
    </row>
    <row r="86" spans="1:6" x14ac:dyDescent="0.25">
      <c r="A86" t="s">
        <v>28</v>
      </c>
      <c r="B86" s="8" t="s">
        <v>71</v>
      </c>
      <c r="C86" s="8" t="s">
        <v>75</v>
      </c>
      <c r="D86" s="8" t="s">
        <v>167</v>
      </c>
      <c r="E86" s="11">
        <v>1.4</v>
      </c>
      <c r="F86" s="9"/>
    </row>
    <row r="87" spans="1:6" x14ac:dyDescent="0.25">
      <c r="A87" t="s">
        <v>28</v>
      </c>
      <c r="B87" s="8" t="s">
        <v>71</v>
      </c>
      <c r="C87" s="8" t="s">
        <v>75</v>
      </c>
      <c r="D87" s="8" t="s">
        <v>168</v>
      </c>
      <c r="E87" s="11">
        <v>0.1</v>
      </c>
      <c r="F87" s="9"/>
    </row>
    <row r="88" spans="1:6" x14ac:dyDescent="0.25">
      <c r="A88" t="s">
        <v>28</v>
      </c>
      <c r="B88" s="8" t="s">
        <v>71</v>
      </c>
      <c r="C88" s="8" t="s">
        <v>75</v>
      </c>
      <c r="D88" s="8" t="s">
        <v>219</v>
      </c>
      <c r="E88" s="11">
        <v>0</v>
      </c>
      <c r="F88" s="9"/>
    </row>
    <row r="89" spans="1:6" x14ac:dyDescent="0.25">
      <c r="A89" t="s">
        <v>28</v>
      </c>
      <c r="B89" s="8" t="s">
        <v>71</v>
      </c>
      <c r="C89" s="8" t="s">
        <v>76</v>
      </c>
      <c r="D89" s="8" t="s">
        <v>169</v>
      </c>
      <c r="E89" s="11">
        <v>9.1999999999999993</v>
      </c>
      <c r="F89" s="9"/>
    </row>
    <row r="90" spans="1:6" x14ac:dyDescent="0.25">
      <c r="A90" t="s">
        <v>28</v>
      </c>
      <c r="B90" s="8" t="s">
        <v>71</v>
      </c>
      <c r="C90" s="8" t="s">
        <v>76</v>
      </c>
      <c r="D90" s="8" t="s">
        <v>170</v>
      </c>
      <c r="E90" s="11">
        <v>4.2</v>
      </c>
      <c r="F90" s="9"/>
    </row>
    <row r="91" spans="1:6" x14ac:dyDescent="0.25">
      <c r="A91" t="s">
        <v>28</v>
      </c>
      <c r="B91" s="8" t="s">
        <v>71</v>
      </c>
      <c r="C91" s="8" t="s">
        <v>76</v>
      </c>
      <c r="D91" s="8" t="s">
        <v>171</v>
      </c>
      <c r="E91" s="11">
        <v>0.5</v>
      </c>
      <c r="F91" s="9"/>
    </row>
    <row r="92" spans="1:6" x14ac:dyDescent="0.25">
      <c r="A92" t="s">
        <v>28</v>
      </c>
      <c r="B92" s="8" t="s">
        <v>71</v>
      </c>
      <c r="C92" s="8" t="s">
        <v>76</v>
      </c>
      <c r="D92" s="8" t="s">
        <v>172</v>
      </c>
      <c r="E92" s="11">
        <v>4.2</v>
      </c>
      <c r="F92" s="9"/>
    </row>
    <row r="93" spans="1:6" x14ac:dyDescent="0.25">
      <c r="A93" t="s">
        <v>28</v>
      </c>
      <c r="B93" s="8" t="s">
        <v>71</v>
      </c>
      <c r="C93" s="8" t="s">
        <v>76</v>
      </c>
      <c r="D93" s="8" t="s">
        <v>220</v>
      </c>
      <c r="E93" s="11">
        <v>0</v>
      </c>
      <c r="F93" s="9"/>
    </row>
    <row r="94" spans="1:6" x14ac:dyDescent="0.25">
      <c r="A94" t="s">
        <v>28</v>
      </c>
      <c r="B94" s="8" t="s">
        <v>71</v>
      </c>
      <c r="C94" s="8" t="s">
        <v>77</v>
      </c>
      <c r="D94" s="8" t="s">
        <v>173</v>
      </c>
      <c r="E94" s="11">
        <v>-0.1</v>
      </c>
      <c r="F94" s="9"/>
    </row>
    <row r="95" spans="1:6" x14ac:dyDescent="0.25">
      <c r="A95" t="s">
        <v>28</v>
      </c>
      <c r="B95" s="8" t="s">
        <v>71</v>
      </c>
      <c r="C95" s="8" t="s">
        <v>77</v>
      </c>
      <c r="D95" s="8" t="s">
        <v>174</v>
      </c>
      <c r="E95" s="11">
        <v>0.4</v>
      </c>
      <c r="F95" s="9"/>
    </row>
    <row r="96" spans="1:6" x14ac:dyDescent="0.25">
      <c r="A96" t="s">
        <v>28</v>
      </c>
      <c r="B96" s="8" t="s">
        <v>71</v>
      </c>
      <c r="C96" s="8" t="s">
        <v>77</v>
      </c>
      <c r="D96" s="8" t="s">
        <v>175</v>
      </c>
      <c r="E96" s="11">
        <v>2.4</v>
      </c>
      <c r="F96" s="9"/>
    </row>
    <row r="97" spans="1:6" x14ac:dyDescent="0.25">
      <c r="A97" t="s">
        <v>28</v>
      </c>
      <c r="B97" s="8" t="s">
        <v>71</v>
      </c>
      <c r="C97" s="8" t="s">
        <v>77</v>
      </c>
      <c r="D97" s="8" t="s">
        <v>176</v>
      </c>
      <c r="E97" s="11">
        <v>2.2999999999999998</v>
      </c>
      <c r="F97" s="9"/>
    </row>
    <row r="98" spans="1:6" x14ac:dyDescent="0.25">
      <c r="A98" t="s">
        <v>28</v>
      </c>
      <c r="B98" s="8" t="s">
        <v>71</v>
      </c>
      <c r="C98" s="8" t="s">
        <v>77</v>
      </c>
      <c r="D98" s="8" t="s">
        <v>221</v>
      </c>
      <c r="E98" s="11">
        <v>0</v>
      </c>
      <c r="F98" s="9"/>
    </row>
    <row r="99" spans="1:6" x14ac:dyDescent="0.25">
      <c r="A99" t="s">
        <v>28</v>
      </c>
      <c r="B99" s="8" t="s">
        <v>71</v>
      </c>
      <c r="C99" s="8" t="s">
        <v>72</v>
      </c>
      <c r="D99" s="8" t="s">
        <v>177</v>
      </c>
      <c r="E99" s="11">
        <v>16.7</v>
      </c>
      <c r="F99" s="9"/>
    </row>
    <row r="100" spans="1:6" x14ac:dyDescent="0.25">
      <c r="A100" t="s">
        <v>28</v>
      </c>
      <c r="B100" s="8" t="s">
        <v>71</v>
      </c>
      <c r="C100" s="8" t="s">
        <v>72</v>
      </c>
      <c r="D100" s="8" t="s">
        <v>178</v>
      </c>
      <c r="E100" s="11">
        <v>0.5</v>
      </c>
      <c r="F100" s="9"/>
    </row>
    <row r="101" spans="1:6" x14ac:dyDescent="0.25">
      <c r="A101" t="s">
        <v>28</v>
      </c>
      <c r="B101" s="8" t="s">
        <v>71</v>
      </c>
      <c r="C101" s="8" t="s">
        <v>72</v>
      </c>
      <c r="D101" s="8" t="s">
        <v>222</v>
      </c>
      <c r="E101" s="11">
        <v>0</v>
      </c>
      <c r="F101" s="9"/>
    </row>
    <row r="102" spans="1:6" x14ac:dyDescent="0.25">
      <c r="A102" t="s">
        <v>28</v>
      </c>
      <c r="B102" s="8" t="s">
        <v>2</v>
      </c>
      <c r="C102" s="8" t="s">
        <v>49</v>
      </c>
      <c r="D102" s="8" t="s">
        <v>179</v>
      </c>
      <c r="E102" s="11">
        <v>0.2</v>
      </c>
      <c r="F102" s="9"/>
    </row>
    <row r="103" spans="1:6" x14ac:dyDescent="0.25">
      <c r="A103" t="s">
        <v>28</v>
      </c>
      <c r="B103" s="8" t="s">
        <v>2</v>
      </c>
      <c r="C103" s="8" t="s">
        <v>50</v>
      </c>
      <c r="D103" s="8" t="s">
        <v>180</v>
      </c>
      <c r="E103" s="11">
        <v>2.4</v>
      </c>
      <c r="F103" s="9"/>
    </row>
    <row r="104" spans="1:6" x14ac:dyDescent="0.25">
      <c r="A104" t="s">
        <v>28</v>
      </c>
      <c r="B104" s="8" t="s">
        <v>2</v>
      </c>
      <c r="C104" s="8" t="s">
        <v>50</v>
      </c>
      <c r="D104" s="8" t="s">
        <v>181</v>
      </c>
      <c r="E104" s="11">
        <v>4.2</v>
      </c>
      <c r="F104" s="9"/>
    </row>
    <row r="105" spans="1:6" x14ac:dyDescent="0.25">
      <c r="A105" t="s">
        <v>28</v>
      </c>
      <c r="B105" s="8" t="s">
        <v>2</v>
      </c>
      <c r="C105" s="8" t="s">
        <v>50</v>
      </c>
      <c r="D105" s="8" t="s">
        <v>182</v>
      </c>
      <c r="E105" s="11">
        <v>0.1</v>
      </c>
      <c r="F105" s="9"/>
    </row>
    <row r="106" spans="1:6" x14ac:dyDescent="0.25">
      <c r="A106" t="s">
        <v>28</v>
      </c>
      <c r="B106" s="8" t="s">
        <v>2</v>
      </c>
      <c r="C106" s="8" t="s">
        <v>50</v>
      </c>
      <c r="D106" s="8" t="s">
        <v>183</v>
      </c>
      <c r="E106" s="11">
        <v>0.7</v>
      </c>
      <c r="F106" s="9"/>
    </row>
    <row r="107" spans="1:6" x14ac:dyDescent="0.25">
      <c r="A107" t="s">
        <v>28</v>
      </c>
      <c r="B107" s="8" t="s">
        <v>2</v>
      </c>
      <c r="C107" s="8" t="s">
        <v>50</v>
      </c>
      <c r="D107" s="8" t="s">
        <v>184</v>
      </c>
      <c r="E107" s="11">
        <v>0.8</v>
      </c>
      <c r="F107" s="9"/>
    </row>
    <row r="108" spans="1:6" x14ac:dyDescent="0.25">
      <c r="A108" t="s">
        <v>28</v>
      </c>
      <c r="B108" s="8" t="s">
        <v>2</v>
      </c>
      <c r="C108" s="8" t="s">
        <v>50</v>
      </c>
      <c r="D108" s="8" t="s">
        <v>185</v>
      </c>
      <c r="E108" s="11">
        <v>0</v>
      </c>
      <c r="F108" s="9"/>
    </row>
    <row r="109" spans="1:6" x14ac:dyDescent="0.25">
      <c r="A109" t="s">
        <v>28</v>
      </c>
      <c r="B109" s="8" t="s">
        <v>2</v>
      </c>
      <c r="C109" s="8" t="s">
        <v>50</v>
      </c>
      <c r="D109" s="8" t="s">
        <v>186</v>
      </c>
      <c r="E109" s="11">
        <v>0.5</v>
      </c>
      <c r="F109" s="9"/>
    </row>
    <row r="110" spans="1:6" x14ac:dyDescent="0.25">
      <c r="A110" t="s">
        <v>28</v>
      </c>
      <c r="B110" s="8" t="s">
        <v>2</v>
      </c>
      <c r="C110" s="8" t="s">
        <v>50</v>
      </c>
      <c r="D110" s="8" t="s">
        <v>187</v>
      </c>
      <c r="E110" s="11">
        <v>-0.7</v>
      </c>
      <c r="F110" s="9"/>
    </row>
    <row r="111" spans="1:6" x14ac:dyDescent="0.25">
      <c r="A111" t="s">
        <v>28</v>
      </c>
      <c r="B111" s="8" t="s">
        <v>2</v>
      </c>
      <c r="C111" s="8" t="s">
        <v>51</v>
      </c>
      <c r="D111" s="8" t="s">
        <v>188</v>
      </c>
      <c r="E111" s="11">
        <v>1.9</v>
      </c>
      <c r="F111" s="9"/>
    </row>
    <row r="112" spans="1:6" x14ac:dyDescent="0.25">
      <c r="A112" t="s">
        <v>28</v>
      </c>
      <c r="B112" s="8" t="s">
        <v>2</v>
      </c>
      <c r="C112" s="8" t="s">
        <v>82</v>
      </c>
      <c r="D112" s="8" t="s">
        <v>189</v>
      </c>
      <c r="E112" s="11">
        <v>0</v>
      </c>
      <c r="F112" s="9"/>
    </row>
    <row r="113" spans="1:6" x14ac:dyDescent="0.25">
      <c r="A113" t="s">
        <v>28</v>
      </c>
      <c r="B113" s="8" t="s">
        <v>2</v>
      </c>
      <c r="C113" s="8" t="s">
        <v>80</v>
      </c>
      <c r="D113" s="8" t="s">
        <v>80</v>
      </c>
      <c r="E113" s="11">
        <v>-0.1</v>
      </c>
      <c r="F113" s="9"/>
    </row>
    <row r="114" spans="1:6" x14ac:dyDescent="0.25">
      <c r="A114" t="s">
        <v>28</v>
      </c>
      <c r="B114" s="8" t="s">
        <v>190</v>
      </c>
      <c r="C114" s="8" t="s">
        <v>191</v>
      </c>
      <c r="D114" s="8"/>
      <c r="E114" s="11">
        <v>0.2</v>
      </c>
      <c r="F114" s="9"/>
    </row>
    <row r="115" spans="1:6" x14ac:dyDescent="0.25">
      <c r="A115" t="s">
        <v>52</v>
      </c>
      <c r="B115" s="8" t="s">
        <v>6</v>
      </c>
      <c r="C115" s="8" t="s">
        <v>6</v>
      </c>
      <c r="D115" s="8" t="s">
        <v>192</v>
      </c>
      <c r="E115" s="11">
        <v>2.2999999999999998</v>
      </c>
      <c r="F115" s="9"/>
    </row>
    <row r="116" spans="1:6" x14ac:dyDescent="0.25">
      <c r="A116" t="s">
        <v>52</v>
      </c>
      <c r="B116" s="8" t="s">
        <v>6</v>
      </c>
      <c r="C116" s="8" t="s">
        <v>6</v>
      </c>
      <c r="D116" s="8" t="s">
        <v>193</v>
      </c>
      <c r="E116" s="11">
        <v>15.3</v>
      </c>
      <c r="F116" s="9"/>
    </row>
    <row r="117" spans="1:6" x14ac:dyDescent="0.25">
      <c r="A117" t="s">
        <v>52</v>
      </c>
      <c r="B117" s="8" t="s">
        <v>6</v>
      </c>
      <c r="C117" s="8" t="s">
        <v>6</v>
      </c>
      <c r="D117" s="8" t="s">
        <v>194</v>
      </c>
      <c r="E117" s="11">
        <v>5.9</v>
      </c>
      <c r="F117" s="9"/>
    </row>
    <row r="118" spans="1:6" x14ac:dyDescent="0.25">
      <c r="A118" t="s">
        <v>52</v>
      </c>
      <c r="B118" s="8" t="s">
        <v>6</v>
      </c>
      <c r="C118" s="8" t="s">
        <v>6</v>
      </c>
      <c r="D118" s="8" t="s">
        <v>195</v>
      </c>
      <c r="E118" s="11">
        <v>0</v>
      </c>
      <c r="F118" s="9"/>
    </row>
    <row r="119" spans="1:6" x14ac:dyDescent="0.25">
      <c r="A119" t="s">
        <v>52</v>
      </c>
      <c r="B119" s="8" t="s">
        <v>7</v>
      </c>
      <c r="C119" s="8" t="s">
        <v>73</v>
      </c>
      <c r="D119" s="8"/>
      <c r="E119" s="11">
        <v>34.5</v>
      </c>
      <c r="F119" s="9"/>
    </row>
    <row r="120" spans="1:6" x14ac:dyDescent="0.25">
      <c r="A120" t="s">
        <v>52</v>
      </c>
      <c r="B120" s="8" t="s">
        <v>7</v>
      </c>
      <c r="C120" s="8" t="s">
        <v>53</v>
      </c>
      <c r="D120" s="8"/>
      <c r="E120" s="11">
        <v>1.9</v>
      </c>
      <c r="F120" s="9"/>
    </row>
    <row r="121" spans="1:6" x14ac:dyDescent="0.25">
      <c r="A121" t="s">
        <v>52</v>
      </c>
      <c r="B121" s="8" t="s">
        <v>7</v>
      </c>
      <c r="C121" s="8" t="s">
        <v>54</v>
      </c>
      <c r="D121" s="8"/>
      <c r="E121" s="11">
        <v>4.3</v>
      </c>
      <c r="F121" s="9"/>
    </row>
    <row r="122" spans="1:6" x14ac:dyDescent="0.25">
      <c r="A122" t="s">
        <v>52</v>
      </c>
      <c r="B122" s="8" t="s">
        <v>7</v>
      </c>
      <c r="C122" s="8" t="s">
        <v>55</v>
      </c>
      <c r="D122" s="8"/>
      <c r="E122" s="11">
        <v>0.3</v>
      </c>
      <c r="F122" s="9"/>
    </row>
    <row r="123" spans="1:6" x14ac:dyDescent="0.25">
      <c r="A123" t="s">
        <v>52</v>
      </c>
      <c r="B123" s="8" t="s">
        <v>26</v>
      </c>
      <c r="C123" s="8" t="s">
        <v>56</v>
      </c>
      <c r="D123" s="8"/>
      <c r="E123" s="11">
        <v>1.9</v>
      </c>
      <c r="F123" s="9"/>
    </row>
    <row r="124" spans="1:6" x14ac:dyDescent="0.25">
      <c r="A124" t="s">
        <v>52</v>
      </c>
      <c r="B124" s="8" t="s">
        <v>26</v>
      </c>
      <c r="C124" s="8" t="s">
        <v>57</v>
      </c>
      <c r="D124" s="8"/>
      <c r="E124" s="11">
        <v>0</v>
      </c>
      <c r="F124" s="9"/>
    </row>
    <row r="125" spans="1:6" x14ac:dyDescent="0.25">
      <c r="A125" t="s">
        <v>52</v>
      </c>
      <c r="B125" s="8" t="s">
        <v>15</v>
      </c>
      <c r="C125" s="8" t="s">
        <v>58</v>
      </c>
      <c r="D125" s="8"/>
      <c r="E125" s="11">
        <v>9.4</v>
      </c>
      <c r="F125" s="9"/>
    </row>
    <row r="126" spans="1:6" x14ac:dyDescent="0.25">
      <c r="A126" t="s">
        <v>52</v>
      </c>
      <c r="B126" s="8" t="s">
        <v>15</v>
      </c>
      <c r="C126" s="8" t="s">
        <v>59</v>
      </c>
      <c r="D126" s="8"/>
      <c r="E126" s="11">
        <v>22</v>
      </c>
      <c r="F126" s="9"/>
    </row>
    <row r="127" spans="1:6" x14ac:dyDescent="0.25">
      <c r="A127" t="s">
        <v>52</v>
      </c>
      <c r="B127" s="8" t="s">
        <v>15</v>
      </c>
      <c r="C127" s="8" t="s">
        <v>60</v>
      </c>
      <c r="D127" s="8"/>
      <c r="E127" s="11">
        <v>0.1</v>
      </c>
      <c r="F127" s="9"/>
    </row>
    <row r="128" spans="1:6" x14ac:dyDescent="0.25">
      <c r="A128" t="s">
        <v>52</v>
      </c>
      <c r="B128" s="8" t="s">
        <v>15</v>
      </c>
      <c r="C128" s="8" t="s">
        <v>61</v>
      </c>
      <c r="D128" s="8"/>
      <c r="E128" s="11">
        <v>27.4</v>
      </c>
      <c r="F128" s="9"/>
    </row>
    <row r="129" spans="1:6" x14ac:dyDescent="0.25">
      <c r="A129" t="s">
        <v>52</v>
      </c>
      <c r="B129" s="8" t="s">
        <v>15</v>
      </c>
      <c r="C129" s="8" t="s">
        <v>62</v>
      </c>
      <c r="D129" s="8"/>
      <c r="E129" s="11">
        <v>11</v>
      </c>
      <c r="F129" s="9"/>
    </row>
    <row r="130" spans="1:6" x14ac:dyDescent="0.25">
      <c r="A130" t="s">
        <v>52</v>
      </c>
      <c r="B130" s="8" t="s">
        <v>15</v>
      </c>
      <c r="C130" s="8" t="s">
        <v>74</v>
      </c>
      <c r="D130" s="8"/>
      <c r="E130" s="11">
        <v>0</v>
      </c>
      <c r="F130" s="9"/>
    </row>
    <row r="131" spans="1:6" x14ac:dyDescent="0.25">
      <c r="A131" t="s">
        <v>52</v>
      </c>
      <c r="B131" s="8" t="s">
        <v>15</v>
      </c>
      <c r="C131" s="8" t="s">
        <v>215</v>
      </c>
      <c r="D131" s="8"/>
      <c r="E131" s="11">
        <v>1.7</v>
      </c>
      <c r="F131" s="9"/>
    </row>
    <row r="132" spans="1:6" x14ac:dyDescent="0.25">
      <c r="A132" t="s">
        <v>52</v>
      </c>
      <c r="B132" s="8" t="s">
        <v>5</v>
      </c>
      <c r="C132" s="8" t="s">
        <v>63</v>
      </c>
      <c r="D132" s="8"/>
      <c r="E132" s="11">
        <v>10</v>
      </c>
      <c r="F132" s="9"/>
    </row>
    <row r="133" spans="1:6" x14ac:dyDescent="0.25">
      <c r="A133" t="s">
        <v>52</v>
      </c>
      <c r="B133" s="8" t="s">
        <v>5</v>
      </c>
      <c r="C133" s="8" t="s">
        <v>64</v>
      </c>
      <c r="D133" s="8"/>
      <c r="E133" s="11">
        <v>3.3</v>
      </c>
      <c r="F133" s="9"/>
    </row>
    <row r="134" spans="1:6" x14ac:dyDescent="0.25">
      <c r="A134" t="s">
        <v>52</v>
      </c>
      <c r="B134" s="8" t="s">
        <v>5</v>
      </c>
      <c r="C134" s="8" t="s">
        <v>65</v>
      </c>
      <c r="D134" s="8"/>
      <c r="E134" s="11">
        <v>31.3</v>
      </c>
      <c r="F134" s="9"/>
    </row>
    <row r="135" spans="1:6" x14ac:dyDescent="0.25">
      <c r="A135" t="s">
        <v>52</v>
      </c>
      <c r="B135" s="8" t="s">
        <v>5</v>
      </c>
      <c r="C135" s="8" t="s">
        <v>231</v>
      </c>
      <c r="D135" s="8"/>
      <c r="E135" s="11">
        <v>0</v>
      </c>
      <c r="F135" s="9"/>
    </row>
    <row r="136" spans="1:6" x14ac:dyDescent="0.25">
      <c r="A136" t="s">
        <v>52</v>
      </c>
      <c r="B136" s="8" t="s">
        <v>78</v>
      </c>
      <c r="C136" s="8"/>
      <c r="D136" s="8"/>
      <c r="E136" s="11">
        <v>-0.1</v>
      </c>
      <c r="F136" s="9"/>
    </row>
    <row r="137" spans="1:6" x14ac:dyDescent="0.25">
      <c r="A137" t="s">
        <v>17</v>
      </c>
      <c r="B137" s="8" t="s">
        <v>83</v>
      </c>
      <c r="C137" s="8" t="s">
        <v>66</v>
      </c>
      <c r="D137" s="8" t="s">
        <v>196</v>
      </c>
      <c r="E137" s="11">
        <v>49.3</v>
      </c>
      <c r="F137" s="9"/>
    </row>
    <row r="138" spans="1:6" x14ac:dyDescent="0.25">
      <c r="A138" t="s">
        <v>17</v>
      </c>
      <c r="B138" s="8" t="s">
        <v>84</v>
      </c>
      <c r="C138" s="8" t="s">
        <v>85</v>
      </c>
      <c r="D138" s="8" t="s">
        <v>197</v>
      </c>
      <c r="E138" s="11">
        <v>5.4</v>
      </c>
      <c r="F138" s="9"/>
    </row>
    <row r="139" spans="1:6" x14ac:dyDescent="0.25">
      <c r="A139" t="s">
        <v>17</v>
      </c>
      <c r="B139" s="8" t="s">
        <v>84</v>
      </c>
      <c r="C139" s="8" t="s">
        <v>85</v>
      </c>
      <c r="D139" s="8" t="s">
        <v>198</v>
      </c>
      <c r="E139" s="11">
        <v>0.4</v>
      </c>
      <c r="F139" s="9"/>
    </row>
    <row r="140" spans="1:6" x14ac:dyDescent="0.25">
      <c r="A140" t="s">
        <v>17</v>
      </c>
      <c r="B140" s="8" t="s">
        <v>84</v>
      </c>
      <c r="C140" s="8" t="s">
        <v>85</v>
      </c>
      <c r="D140" s="8" t="s">
        <v>199</v>
      </c>
      <c r="E140" s="11">
        <v>0.1</v>
      </c>
      <c r="F140" s="9"/>
    </row>
    <row r="141" spans="1:6" x14ac:dyDescent="0.25">
      <c r="A141" t="s">
        <v>17</v>
      </c>
      <c r="B141" s="8" t="s">
        <v>84</v>
      </c>
      <c r="C141" s="8" t="s">
        <v>85</v>
      </c>
      <c r="D141" s="8" t="s">
        <v>200</v>
      </c>
      <c r="E141" s="11">
        <v>1.5</v>
      </c>
      <c r="F141" s="9"/>
    </row>
    <row r="142" spans="1:6" x14ac:dyDescent="0.25">
      <c r="A142" t="s">
        <v>17</v>
      </c>
      <c r="B142" s="8" t="s">
        <v>86</v>
      </c>
      <c r="C142" s="8" t="s">
        <v>87</v>
      </c>
      <c r="D142" s="8" t="s">
        <v>223</v>
      </c>
      <c r="E142" s="11">
        <v>0</v>
      </c>
      <c r="F142" s="9"/>
    </row>
    <row r="143" spans="1:6" x14ac:dyDescent="0.25">
      <c r="A143" t="s">
        <v>17</v>
      </c>
      <c r="B143" s="8" t="s">
        <v>86</v>
      </c>
      <c r="C143" s="8" t="s">
        <v>87</v>
      </c>
      <c r="D143" s="8" t="s">
        <v>201</v>
      </c>
      <c r="E143" s="11">
        <v>20.7</v>
      </c>
      <c r="F143" s="9"/>
    </row>
    <row r="144" spans="1:6" x14ac:dyDescent="0.25">
      <c r="A144" t="s">
        <v>17</v>
      </c>
      <c r="B144" s="8" t="s">
        <v>86</v>
      </c>
      <c r="C144" s="8" t="s">
        <v>87</v>
      </c>
      <c r="D144" s="8" t="s">
        <v>202</v>
      </c>
      <c r="E144" s="11">
        <v>0.4</v>
      </c>
      <c r="F144" s="9"/>
    </row>
    <row r="145" spans="1:6" x14ac:dyDescent="0.25">
      <c r="A145" t="s">
        <v>17</v>
      </c>
      <c r="B145" s="8" t="s">
        <v>86</v>
      </c>
      <c r="C145" s="8" t="s">
        <v>87</v>
      </c>
      <c r="D145" s="8" t="s">
        <v>203</v>
      </c>
      <c r="E145" s="11">
        <v>5.8</v>
      </c>
      <c r="F145" s="9"/>
    </row>
    <row r="146" spans="1:6" x14ac:dyDescent="0.25">
      <c r="A146" t="s">
        <v>17</v>
      </c>
      <c r="B146" s="8" t="s">
        <v>86</v>
      </c>
      <c r="C146" s="8" t="s">
        <v>87</v>
      </c>
      <c r="D146" s="8" t="s">
        <v>204</v>
      </c>
      <c r="E146" s="11">
        <v>3.5</v>
      </c>
      <c r="F146" s="9"/>
    </row>
    <row r="147" spans="1:6" x14ac:dyDescent="0.25">
      <c r="A147" t="s">
        <v>17</v>
      </c>
      <c r="B147" s="8" t="s">
        <v>86</v>
      </c>
      <c r="C147" s="8" t="s">
        <v>88</v>
      </c>
      <c r="D147" s="8" t="s">
        <v>205</v>
      </c>
      <c r="E147" s="11">
        <v>0.3</v>
      </c>
      <c r="F147" s="9"/>
    </row>
    <row r="148" spans="1:6" x14ac:dyDescent="0.25">
      <c r="A148" t="s">
        <v>17</v>
      </c>
      <c r="B148" s="8" t="s">
        <v>86</v>
      </c>
      <c r="C148" s="8" t="s">
        <v>88</v>
      </c>
      <c r="D148" s="8" t="s">
        <v>206</v>
      </c>
      <c r="E148" s="11">
        <v>2</v>
      </c>
      <c r="F148" s="9"/>
    </row>
    <row r="149" spans="1:6" x14ac:dyDescent="0.25">
      <c r="A149" t="s">
        <v>17</v>
      </c>
      <c r="B149" s="8" t="s">
        <v>86</v>
      </c>
      <c r="C149" s="8" t="s">
        <v>88</v>
      </c>
      <c r="D149" s="8" t="s">
        <v>207</v>
      </c>
      <c r="E149" s="11">
        <v>1.2</v>
      </c>
      <c r="F149" s="9"/>
    </row>
    <row r="150" spans="1:6" x14ac:dyDescent="0.25">
      <c r="A150" t="s">
        <v>17</v>
      </c>
      <c r="B150" s="8" t="s">
        <v>86</v>
      </c>
      <c r="C150" s="8" t="s">
        <v>88</v>
      </c>
      <c r="D150" s="8" t="s">
        <v>208</v>
      </c>
      <c r="E150" s="11">
        <v>0.2</v>
      </c>
      <c r="F150" s="9"/>
    </row>
    <row r="151" spans="1:6" x14ac:dyDescent="0.25">
      <c r="A151" t="s">
        <v>17</v>
      </c>
      <c r="B151" s="8" t="s">
        <v>89</v>
      </c>
      <c r="C151" s="8" t="s">
        <v>22</v>
      </c>
      <c r="D151" s="8" t="s">
        <v>209</v>
      </c>
      <c r="E151" s="11">
        <v>0.1</v>
      </c>
      <c r="F151" s="9"/>
    </row>
    <row r="152" spans="1:6" x14ac:dyDescent="0.25">
      <c r="A152" t="s">
        <v>17</v>
      </c>
      <c r="B152" s="8" t="s">
        <v>89</v>
      </c>
      <c r="C152" s="8" t="s">
        <v>22</v>
      </c>
      <c r="D152" s="8" t="s">
        <v>210</v>
      </c>
      <c r="E152" s="11">
        <v>0.2</v>
      </c>
      <c r="F152" s="9"/>
    </row>
    <row r="153" spans="1:6" x14ac:dyDescent="0.25">
      <c r="A153" t="s">
        <v>17</v>
      </c>
      <c r="B153" s="8" t="s">
        <v>89</v>
      </c>
      <c r="C153" s="8" t="s">
        <v>90</v>
      </c>
      <c r="D153" s="8" t="s">
        <v>90</v>
      </c>
      <c r="E153" s="11">
        <v>0</v>
      </c>
      <c r="F153" s="9"/>
    </row>
    <row r="154" spans="1:6" x14ac:dyDescent="0.25">
      <c r="A154" t="s">
        <v>17</v>
      </c>
      <c r="B154" s="8" t="s">
        <v>89</v>
      </c>
      <c r="C154" s="8" t="s">
        <v>90</v>
      </c>
      <c r="D154" s="8" t="s">
        <v>211</v>
      </c>
      <c r="E154" s="11">
        <v>1.1000000000000001</v>
      </c>
      <c r="F154" s="9"/>
    </row>
    <row r="155" spans="1:6" x14ac:dyDescent="0.25">
      <c r="A155" t="s">
        <v>17</v>
      </c>
      <c r="B155" s="8" t="s">
        <v>89</v>
      </c>
      <c r="C155" s="8" t="s">
        <v>90</v>
      </c>
      <c r="D155" s="8" t="s">
        <v>232</v>
      </c>
      <c r="E155" s="11">
        <v>0</v>
      </c>
      <c r="F155" s="9"/>
    </row>
    <row r="156" spans="1:6" x14ac:dyDescent="0.25">
      <c r="A156" t="s">
        <v>17</v>
      </c>
      <c r="B156" s="8" t="s">
        <v>89</v>
      </c>
      <c r="C156" s="8" t="s">
        <v>18</v>
      </c>
      <c r="D156" s="8" t="s">
        <v>212</v>
      </c>
      <c r="E156" s="11">
        <v>1.5</v>
      </c>
      <c r="F156" s="9"/>
    </row>
    <row r="157" spans="1:6" x14ac:dyDescent="0.25">
      <c r="A157" t="s">
        <v>17</v>
      </c>
      <c r="B157" s="8" t="s">
        <v>233</v>
      </c>
      <c r="C157" s="8" t="s">
        <v>233</v>
      </c>
      <c r="D157" s="8"/>
      <c r="E157" s="11">
        <v>0</v>
      </c>
      <c r="F157" s="9"/>
    </row>
    <row r="158" spans="1:6" x14ac:dyDescent="0.25">
      <c r="A158" t="s">
        <v>17</v>
      </c>
      <c r="B158" s="8" t="s">
        <v>23</v>
      </c>
      <c r="C158" s="8" t="s">
        <v>91</v>
      </c>
      <c r="D158" s="8" t="s">
        <v>213</v>
      </c>
      <c r="E158" s="11">
        <v>0.4</v>
      </c>
      <c r="F158" s="9"/>
    </row>
    <row r="159" spans="1:6" x14ac:dyDescent="0.25">
      <c r="A159" t="s">
        <v>17</v>
      </c>
      <c r="B159" s="8" t="s">
        <v>92</v>
      </c>
      <c r="C159" s="8" t="s">
        <v>92</v>
      </c>
      <c r="D159" s="8" t="s">
        <v>214</v>
      </c>
      <c r="E159" s="11">
        <v>-1</v>
      </c>
      <c r="F159" s="9"/>
    </row>
    <row r="160" spans="1:6" x14ac:dyDescent="0.25">
      <c r="A160" t="s">
        <v>19</v>
      </c>
      <c r="B160" s="8" t="s">
        <v>20</v>
      </c>
      <c r="C160" s="8"/>
      <c r="D160" s="8"/>
      <c r="E160" s="11">
        <v>-1.8</v>
      </c>
      <c r="F160" s="9"/>
    </row>
    <row r="161" spans="1:6" x14ac:dyDescent="0.25">
      <c r="A161" t="s">
        <v>19</v>
      </c>
      <c r="B161" s="8" t="s">
        <v>81</v>
      </c>
      <c r="C161" s="8"/>
      <c r="D161" s="8"/>
      <c r="E161" s="11">
        <v>0.1</v>
      </c>
      <c r="F161" s="9"/>
    </row>
    <row r="162" spans="1:6" x14ac:dyDescent="0.25">
      <c r="A162" t="s">
        <v>21</v>
      </c>
      <c r="B162" s="8" t="s">
        <v>1</v>
      </c>
      <c r="C162" s="8"/>
      <c r="D162" s="8"/>
      <c r="E162" s="11">
        <v>0</v>
      </c>
      <c r="F162" s="9"/>
    </row>
    <row r="163" spans="1:6" x14ac:dyDescent="0.25">
      <c r="A163" t="s">
        <v>3</v>
      </c>
      <c r="B163" s="8" t="s">
        <v>3</v>
      </c>
      <c r="C163" s="8"/>
      <c r="D163" s="8"/>
      <c r="E163" s="11">
        <v>0.40000000000002273</v>
      </c>
      <c r="F163" s="9"/>
    </row>
    <row r="164" spans="1:6" x14ac:dyDescent="0.25">
      <c r="E164">
        <f>SUBTOTAL(109,Table2[Jul])</f>
        <v>731.89999999999964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7DA-7EBC-4446-9A04-20D5E034D109}">
  <dimension ref="A1:B9"/>
  <sheetViews>
    <sheetView workbookViewId="0">
      <selection activeCell="C29" sqref="C29"/>
    </sheetView>
  </sheetViews>
  <sheetFormatPr defaultRowHeight="15" x14ac:dyDescent="0.25"/>
  <cols>
    <col min="1" max="1" width="33.28515625" bestFit="1" customWidth="1"/>
  </cols>
  <sheetData>
    <row r="1" spans="1:2" x14ac:dyDescent="0.25">
      <c r="A1" s="3" t="s">
        <v>8</v>
      </c>
      <c r="B1" t="s">
        <v>0</v>
      </c>
    </row>
    <row r="2" spans="1:2" x14ac:dyDescent="0.25">
      <c r="A2" s="8" t="s">
        <v>9</v>
      </c>
      <c r="B2" s="6">
        <v>0</v>
      </c>
    </row>
    <row r="3" spans="1:2" x14ac:dyDescent="0.25">
      <c r="A3" s="8" t="s">
        <v>4</v>
      </c>
      <c r="B3" s="6">
        <v>3.8</v>
      </c>
    </row>
    <row r="4" spans="1:2" x14ac:dyDescent="0.25">
      <c r="A4" s="8" t="s">
        <v>10</v>
      </c>
      <c r="B4" s="6">
        <v>3.4</v>
      </c>
    </row>
    <row r="5" spans="1:2" x14ac:dyDescent="0.25">
      <c r="A5" s="8" t="s">
        <v>11</v>
      </c>
      <c r="B5" s="6">
        <v>0</v>
      </c>
    </row>
    <row r="6" spans="1:2" x14ac:dyDescent="0.25">
      <c r="A6" s="8" t="s">
        <v>12</v>
      </c>
      <c r="B6" s="6">
        <v>0</v>
      </c>
    </row>
    <row r="7" spans="1:2" x14ac:dyDescent="0.25">
      <c r="A7" s="8"/>
    </row>
    <row r="8" spans="1:2" s="1" customFormat="1" x14ac:dyDescent="0.25">
      <c r="A8" s="10" t="s">
        <v>13</v>
      </c>
      <c r="B8" s="7">
        <v>7.2</v>
      </c>
    </row>
    <row r="9" spans="1:2" x14ac:dyDescent="0.25">
      <c r="A9" s="1" t="s">
        <v>14</v>
      </c>
      <c r="B9" s="2">
        <f t="shared" ref="B9" si="0">B8-SUM(B2:B6)</f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FY27 Rev</vt:lpstr>
      <vt:lpstr>FY27 JV 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Isabella.Wang</dc:creator>
  <cp:lastModifiedBy>Christine Wang</cp:lastModifiedBy>
  <dcterms:created xsi:type="dcterms:W3CDTF">2021-09-13T04:19:51Z</dcterms:created>
  <dcterms:modified xsi:type="dcterms:W3CDTF">2026-08-27T07:28:35Z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70743cf-97e7-4fb6-b793-0a35c698e10d_Enabled">
    <vt:lpwstr>true</vt:lpwstr>
  </property>
  <property fmtid="{D5CDD505-2E9C-101B-9397-08002B2CF9AE}" pid="4" name="MSIP_Label_e70743cf-97e7-4fb6-b793-0a35c698e10d_SetDate">
    <vt:lpwstr>2024-04-07T23:02:43Z</vt:lpwstr>
  </property>
  <property fmtid="{D5CDD505-2E9C-101B-9397-08002B2CF9AE}" pid="5" name="MSIP_Label_e70743cf-97e7-4fb6-b793-0a35c698e10d_Method">
    <vt:lpwstr>Privileged</vt:lpwstr>
  </property>
  <property fmtid="{D5CDD505-2E9C-101B-9397-08002B2CF9AE}" pid="6" name="MSIP_Label_e70743cf-97e7-4fb6-b793-0a35c698e10d_Name">
    <vt:lpwstr>Internal-InternalOnly</vt:lpwstr>
  </property>
  <property fmtid="{D5CDD505-2E9C-101B-9397-08002B2CF9AE}" pid="7" name="MSIP_Label_e70743cf-97e7-4fb6-b793-0a35c698e10d_SiteId">
    <vt:lpwstr>fa4bc6e2-c0ed-43ec-9d6d-145e7e36a1a5</vt:lpwstr>
  </property>
  <property fmtid="{D5CDD505-2E9C-101B-9397-08002B2CF9AE}" pid="8" name="MSIP_Label_e70743cf-97e7-4fb6-b793-0a35c698e10d_ActionId">
    <vt:lpwstr>75be9e78-69fe-4aed-8052-6231354419c5</vt:lpwstr>
  </property>
  <property fmtid="{D5CDD505-2E9C-101B-9397-08002B2CF9AE}" pid="9" name="MSIP_Label_e70743cf-97e7-4fb6-b793-0a35c698e10d_ContentBits">
    <vt:lpwstr>2</vt:lpwstr>
  </property>
</Properties>
</file>