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wnergroup-my.sharepoint.com/personal/nathan_brogden_downergroup_com/Documents/Downloads/"/>
    </mc:Choice>
  </mc:AlternateContent>
  <xr:revisionPtr revIDLastSave="66" documentId="8_{DB9BC2FE-6810-46A3-857F-A601313A937D}" xr6:coauthVersionLast="47" xr6:coauthVersionMax="47" xr10:uidLastSave="{AD1A3738-112F-4602-BA7E-9F51719CB698}"/>
  <bookViews>
    <workbookView xWindow="-28920" yWindow="-105" windowWidth="29040" windowHeight="15840" xr2:uid="{4C59F8D7-1C62-459F-93F5-EF3BBAD29FDB}"/>
  </bookViews>
  <sheets>
    <sheet name="Setup_locations_Basic_Palantir" sheetId="1" r:id="rId1"/>
    <sheet name="Sheet1" sheetId="2" r:id="rId2"/>
  </sheets>
  <definedNames>
    <definedName name="_xlnm._FilterDatabase" localSheetId="0" hidden="1">Setup_locations_Basic_Palantir!$A$1:$T$947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I3" i="1"/>
  <c r="F4" i="1"/>
  <c r="G4" i="1"/>
  <c r="I4" i="1"/>
  <c r="F5" i="1"/>
  <c r="G5" i="1"/>
  <c r="I5" i="1"/>
  <c r="F6" i="1"/>
  <c r="G6" i="1"/>
  <c r="I6" i="1"/>
  <c r="F7" i="1"/>
  <c r="G7" i="1"/>
  <c r="I7" i="1"/>
  <c r="F8" i="1"/>
  <c r="G8" i="1"/>
  <c r="I8" i="1"/>
  <c r="F9" i="1"/>
  <c r="G9" i="1"/>
  <c r="I9" i="1"/>
  <c r="F10" i="1"/>
  <c r="G10" i="1"/>
  <c r="I10" i="1"/>
  <c r="F11" i="1"/>
  <c r="G11" i="1"/>
  <c r="I11" i="1"/>
  <c r="F12" i="1"/>
  <c r="G12" i="1"/>
  <c r="I12" i="1"/>
  <c r="F13" i="1"/>
  <c r="G13" i="1"/>
  <c r="I13" i="1"/>
  <c r="F14" i="1"/>
  <c r="G14" i="1"/>
  <c r="I14" i="1"/>
  <c r="F15" i="1"/>
  <c r="G15" i="1"/>
  <c r="I15" i="1"/>
  <c r="F16" i="1"/>
  <c r="G16" i="1"/>
  <c r="I16" i="1"/>
  <c r="F17" i="1"/>
  <c r="G17" i="1"/>
  <c r="I17" i="1"/>
  <c r="F18" i="1"/>
  <c r="G18" i="1"/>
  <c r="I18" i="1"/>
  <c r="F19" i="1"/>
  <c r="G19" i="1"/>
  <c r="I19" i="1"/>
  <c r="F20" i="1"/>
  <c r="G20" i="1"/>
  <c r="I20" i="1"/>
  <c r="F21" i="1"/>
  <c r="G21" i="1"/>
  <c r="I21" i="1"/>
  <c r="F22" i="1"/>
  <c r="G22" i="1"/>
  <c r="I22" i="1"/>
  <c r="F23" i="1"/>
  <c r="G23" i="1"/>
  <c r="I23" i="1"/>
  <c r="F24" i="1"/>
  <c r="G24" i="1"/>
  <c r="I24" i="1"/>
  <c r="F25" i="1"/>
  <c r="G25" i="1"/>
  <c r="I25" i="1"/>
  <c r="F26" i="1"/>
  <c r="G26" i="1"/>
  <c r="I26" i="1"/>
  <c r="F27" i="1"/>
  <c r="G27" i="1"/>
  <c r="I27" i="1"/>
  <c r="F28" i="1"/>
  <c r="G28" i="1"/>
  <c r="I28" i="1"/>
  <c r="F29" i="1"/>
  <c r="G29" i="1"/>
  <c r="I29" i="1"/>
  <c r="F30" i="1"/>
  <c r="G30" i="1"/>
  <c r="I30" i="1"/>
  <c r="F31" i="1"/>
  <c r="G31" i="1"/>
  <c r="I31" i="1"/>
  <c r="F32" i="1"/>
  <c r="G32" i="1"/>
  <c r="I32" i="1"/>
  <c r="F33" i="1"/>
  <c r="G33" i="1"/>
  <c r="I33" i="1"/>
  <c r="F34" i="1"/>
  <c r="G34" i="1"/>
  <c r="I34" i="1"/>
  <c r="F35" i="1"/>
  <c r="G35" i="1"/>
  <c r="I35" i="1"/>
  <c r="F36" i="1"/>
  <c r="G36" i="1"/>
  <c r="I36" i="1"/>
  <c r="F37" i="1"/>
  <c r="G37" i="1"/>
  <c r="I37" i="1"/>
  <c r="F38" i="1"/>
  <c r="G38" i="1"/>
  <c r="I38" i="1"/>
  <c r="F39" i="1"/>
  <c r="G39" i="1"/>
  <c r="I39" i="1"/>
  <c r="F40" i="1"/>
  <c r="G40" i="1"/>
  <c r="I40" i="1"/>
  <c r="F41" i="1"/>
  <c r="G41" i="1"/>
  <c r="I41" i="1"/>
  <c r="F42" i="1"/>
  <c r="G42" i="1"/>
  <c r="I42" i="1"/>
  <c r="F43" i="1"/>
  <c r="G43" i="1"/>
  <c r="I43" i="1"/>
  <c r="F44" i="1"/>
  <c r="G44" i="1"/>
  <c r="I44" i="1"/>
  <c r="F45" i="1"/>
  <c r="G45" i="1"/>
  <c r="I45" i="1"/>
  <c r="F46" i="1"/>
  <c r="G46" i="1"/>
  <c r="I46" i="1"/>
  <c r="F47" i="1"/>
  <c r="G47" i="1"/>
  <c r="I47" i="1"/>
  <c r="F48" i="1"/>
  <c r="G48" i="1"/>
  <c r="I48" i="1"/>
  <c r="F49" i="1"/>
  <c r="G49" i="1"/>
  <c r="I49" i="1"/>
  <c r="F50" i="1"/>
  <c r="G50" i="1"/>
  <c r="I50" i="1"/>
  <c r="F51" i="1"/>
  <c r="G51" i="1"/>
  <c r="I51" i="1"/>
  <c r="F52" i="1"/>
  <c r="G52" i="1"/>
  <c r="I52" i="1"/>
  <c r="F53" i="1"/>
  <c r="G53" i="1"/>
  <c r="I53" i="1"/>
  <c r="F54" i="1"/>
  <c r="G54" i="1"/>
  <c r="I54" i="1"/>
  <c r="F55" i="1"/>
  <c r="G55" i="1"/>
  <c r="I55" i="1"/>
  <c r="F56" i="1"/>
  <c r="G56" i="1"/>
  <c r="I56" i="1"/>
  <c r="F57" i="1"/>
  <c r="G57" i="1"/>
  <c r="I57" i="1"/>
  <c r="F58" i="1"/>
  <c r="G58" i="1"/>
  <c r="I58" i="1"/>
  <c r="F59" i="1"/>
  <c r="G59" i="1"/>
  <c r="I59" i="1"/>
  <c r="F60" i="1"/>
  <c r="G60" i="1"/>
  <c r="I60" i="1"/>
  <c r="F61" i="1"/>
  <c r="G61" i="1"/>
  <c r="I61" i="1"/>
  <c r="F62" i="1"/>
  <c r="G62" i="1"/>
  <c r="I62" i="1"/>
  <c r="F63" i="1"/>
  <c r="G63" i="1"/>
  <c r="I63" i="1"/>
  <c r="F64" i="1"/>
  <c r="G64" i="1"/>
  <c r="I64" i="1"/>
  <c r="F65" i="1"/>
  <c r="G65" i="1"/>
  <c r="I65" i="1"/>
  <c r="F66" i="1"/>
  <c r="G66" i="1"/>
  <c r="I66" i="1"/>
  <c r="F67" i="1"/>
  <c r="G67" i="1"/>
  <c r="I67" i="1"/>
  <c r="F68" i="1"/>
  <c r="G68" i="1"/>
  <c r="I68" i="1"/>
  <c r="F69" i="1"/>
  <c r="G69" i="1"/>
  <c r="I69" i="1"/>
  <c r="F70" i="1"/>
  <c r="G70" i="1"/>
  <c r="I70" i="1"/>
  <c r="F71" i="1"/>
  <c r="G71" i="1"/>
  <c r="I71" i="1"/>
  <c r="F72" i="1"/>
  <c r="G72" i="1"/>
  <c r="I72" i="1"/>
  <c r="F73" i="1"/>
  <c r="G73" i="1"/>
  <c r="I73" i="1"/>
  <c r="F74" i="1"/>
  <c r="G74" i="1"/>
  <c r="I74" i="1"/>
  <c r="F75" i="1"/>
  <c r="G75" i="1"/>
  <c r="I75" i="1"/>
  <c r="F76" i="1"/>
  <c r="G76" i="1"/>
  <c r="I76" i="1"/>
  <c r="F77" i="1"/>
  <c r="G77" i="1"/>
  <c r="I77" i="1"/>
  <c r="F78" i="1"/>
  <c r="G78" i="1"/>
  <c r="I78" i="1"/>
  <c r="F79" i="1"/>
  <c r="G79" i="1"/>
  <c r="I79" i="1"/>
  <c r="F80" i="1"/>
  <c r="G80" i="1"/>
  <c r="I80" i="1"/>
  <c r="F81" i="1"/>
  <c r="G81" i="1"/>
  <c r="I81" i="1"/>
  <c r="F82" i="1"/>
  <c r="G82" i="1"/>
  <c r="I82" i="1"/>
  <c r="F83" i="1"/>
  <c r="G83" i="1"/>
  <c r="I83" i="1"/>
  <c r="F84" i="1"/>
  <c r="G84" i="1"/>
  <c r="I84" i="1"/>
  <c r="F85" i="1"/>
  <c r="G85" i="1"/>
  <c r="I85" i="1"/>
  <c r="F86" i="1"/>
  <c r="G86" i="1"/>
  <c r="I86" i="1"/>
  <c r="F87" i="1"/>
  <c r="G87" i="1"/>
  <c r="I87" i="1"/>
  <c r="F88" i="1"/>
  <c r="G88" i="1"/>
  <c r="I88" i="1"/>
  <c r="F89" i="1"/>
  <c r="G89" i="1"/>
  <c r="I89" i="1"/>
  <c r="F90" i="1"/>
  <c r="G90" i="1"/>
  <c r="I90" i="1"/>
  <c r="F91" i="1"/>
  <c r="G91" i="1"/>
  <c r="I91" i="1"/>
  <c r="F92" i="1"/>
  <c r="G92" i="1"/>
  <c r="I92" i="1"/>
  <c r="F93" i="1"/>
  <c r="G93" i="1"/>
  <c r="I93" i="1"/>
  <c r="F94" i="1"/>
  <c r="G94" i="1"/>
  <c r="I94" i="1"/>
  <c r="F95" i="1"/>
  <c r="G95" i="1"/>
  <c r="I95" i="1"/>
  <c r="F96" i="1"/>
  <c r="G96" i="1"/>
  <c r="I96" i="1"/>
  <c r="F97" i="1"/>
  <c r="G97" i="1"/>
  <c r="I97" i="1"/>
  <c r="F98" i="1"/>
  <c r="G98" i="1"/>
  <c r="I98" i="1"/>
  <c r="F99" i="1"/>
  <c r="G99" i="1"/>
  <c r="I99" i="1"/>
  <c r="F100" i="1"/>
  <c r="G100" i="1"/>
  <c r="I100" i="1"/>
  <c r="F101" i="1"/>
  <c r="G101" i="1"/>
  <c r="I101" i="1"/>
  <c r="F102" i="1"/>
  <c r="G102" i="1"/>
  <c r="I102" i="1"/>
  <c r="F103" i="1"/>
  <c r="G103" i="1"/>
  <c r="I103" i="1"/>
  <c r="F104" i="1"/>
  <c r="G104" i="1"/>
  <c r="I104" i="1"/>
  <c r="F105" i="1"/>
  <c r="G105" i="1"/>
  <c r="I105" i="1"/>
  <c r="F106" i="1"/>
  <c r="G106" i="1"/>
  <c r="I106" i="1"/>
  <c r="F107" i="1"/>
  <c r="G107" i="1"/>
  <c r="I107" i="1"/>
  <c r="F108" i="1"/>
  <c r="G108" i="1"/>
  <c r="I108" i="1"/>
  <c r="F109" i="1"/>
  <c r="G109" i="1"/>
  <c r="I109" i="1"/>
  <c r="F110" i="1"/>
  <c r="G110" i="1"/>
  <c r="I110" i="1"/>
  <c r="F111" i="1"/>
  <c r="G111" i="1"/>
  <c r="I111" i="1"/>
  <c r="F112" i="1"/>
  <c r="G112" i="1"/>
  <c r="I112" i="1"/>
  <c r="F113" i="1"/>
  <c r="G113" i="1"/>
  <c r="I113" i="1"/>
  <c r="F114" i="1"/>
  <c r="G114" i="1"/>
  <c r="I114" i="1"/>
  <c r="F115" i="1"/>
  <c r="G115" i="1"/>
  <c r="I115" i="1"/>
  <c r="F116" i="1"/>
  <c r="G116" i="1"/>
  <c r="I116" i="1"/>
  <c r="F117" i="1"/>
  <c r="G117" i="1"/>
  <c r="I117" i="1"/>
  <c r="F118" i="1"/>
  <c r="G118" i="1"/>
  <c r="I118" i="1"/>
  <c r="F119" i="1"/>
  <c r="G119" i="1"/>
  <c r="I119" i="1"/>
  <c r="F120" i="1"/>
  <c r="G120" i="1"/>
  <c r="I120" i="1"/>
  <c r="F121" i="1"/>
  <c r="G121" i="1"/>
  <c r="I121" i="1"/>
  <c r="F122" i="1"/>
  <c r="G122" i="1"/>
  <c r="I122" i="1"/>
  <c r="F123" i="1"/>
  <c r="G123" i="1"/>
  <c r="I123" i="1"/>
  <c r="F124" i="1"/>
  <c r="G124" i="1"/>
  <c r="I124" i="1"/>
  <c r="F125" i="1"/>
  <c r="G125" i="1"/>
  <c r="I125" i="1"/>
  <c r="F126" i="1"/>
  <c r="G126" i="1"/>
  <c r="I126" i="1"/>
  <c r="F127" i="1"/>
  <c r="G127" i="1"/>
  <c r="I127" i="1"/>
  <c r="F128" i="1"/>
  <c r="G128" i="1"/>
  <c r="I128" i="1"/>
  <c r="F129" i="1"/>
  <c r="G129" i="1"/>
  <c r="I129" i="1"/>
  <c r="F130" i="1"/>
  <c r="G130" i="1"/>
  <c r="I130" i="1"/>
  <c r="F131" i="1"/>
  <c r="G131" i="1"/>
  <c r="I131" i="1"/>
  <c r="F132" i="1"/>
  <c r="G132" i="1"/>
  <c r="I132" i="1"/>
  <c r="F133" i="1"/>
  <c r="G133" i="1"/>
  <c r="I133" i="1"/>
  <c r="F134" i="1"/>
  <c r="G134" i="1"/>
  <c r="I134" i="1"/>
  <c r="F135" i="1"/>
  <c r="G135" i="1"/>
  <c r="I135" i="1"/>
  <c r="F136" i="1"/>
  <c r="G136" i="1"/>
  <c r="I136" i="1"/>
  <c r="F137" i="1"/>
  <c r="G137" i="1"/>
  <c r="I137" i="1"/>
  <c r="F138" i="1"/>
  <c r="G138" i="1"/>
  <c r="I138" i="1"/>
  <c r="F139" i="1"/>
  <c r="G139" i="1"/>
  <c r="I139" i="1"/>
  <c r="F140" i="1"/>
  <c r="G140" i="1"/>
  <c r="I140" i="1"/>
  <c r="F141" i="1"/>
  <c r="G141" i="1"/>
  <c r="I141" i="1"/>
  <c r="F142" i="1"/>
  <c r="G142" i="1"/>
  <c r="I142" i="1"/>
  <c r="F143" i="1"/>
  <c r="G143" i="1"/>
  <c r="I143" i="1"/>
  <c r="F144" i="1"/>
  <c r="G144" i="1"/>
  <c r="I144" i="1"/>
  <c r="F145" i="1"/>
  <c r="G145" i="1"/>
  <c r="I145" i="1"/>
  <c r="F146" i="1"/>
  <c r="G146" i="1"/>
  <c r="I146" i="1"/>
  <c r="F147" i="1"/>
  <c r="G147" i="1"/>
  <c r="I147" i="1"/>
  <c r="F148" i="1"/>
  <c r="G148" i="1"/>
  <c r="I148" i="1"/>
  <c r="F149" i="1"/>
  <c r="G149" i="1"/>
  <c r="I149" i="1"/>
  <c r="F150" i="1"/>
  <c r="G150" i="1"/>
  <c r="I150" i="1"/>
  <c r="F151" i="1"/>
  <c r="G151" i="1"/>
  <c r="I151" i="1"/>
  <c r="F152" i="1"/>
  <c r="G152" i="1"/>
  <c r="I152" i="1"/>
  <c r="F153" i="1"/>
  <c r="G153" i="1"/>
  <c r="I153" i="1"/>
  <c r="F154" i="1"/>
  <c r="G154" i="1"/>
  <c r="I154" i="1"/>
  <c r="F155" i="1"/>
  <c r="G155" i="1"/>
  <c r="I155" i="1"/>
  <c r="F156" i="1"/>
  <c r="G156" i="1"/>
  <c r="I156" i="1"/>
  <c r="F157" i="1"/>
  <c r="G157" i="1"/>
  <c r="I157" i="1"/>
  <c r="F158" i="1"/>
  <c r="G158" i="1"/>
  <c r="I158" i="1"/>
  <c r="F159" i="1"/>
  <c r="G159" i="1"/>
  <c r="I159" i="1"/>
  <c r="F160" i="1"/>
  <c r="G160" i="1"/>
  <c r="I160" i="1"/>
  <c r="F161" i="1"/>
  <c r="G161" i="1"/>
  <c r="I161" i="1"/>
  <c r="F162" i="1"/>
  <c r="G162" i="1"/>
  <c r="I162" i="1"/>
  <c r="F163" i="1"/>
  <c r="G163" i="1"/>
  <c r="I163" i="1"/>
  <c r="F164" i="1"/>
  <c r="G164" i="1"/>
  <c r="I164" i="1"/>
  <c r="F165" i="1"/>
  <c r="G165" i="1"/>
  <c r="I165" i="1"/>
  <c r="F166" i="1"/>
  <c r="G166" i="1"/>
  <c r="I166" i="1"/>
  <c r="F167" i="1"/>
  <c r="G167" i="1"/>
  <c r="I167" i="1"/>
  <c r="F168" i="1"/>
  <c r="G168" i="1"/>
  <c r="I168" i="1"/>
  <c r="F169" i="1"/>
  <c r="G169" i="1"/>
  <c r="I169" i="1"/>
  <c r="F170" i="1"/>
  <c r="G170" i="1"/>
  <c r="I170" i="1"/>
  <c r="F171" i="1"/>
  <c r="G171" i="1"/>
  <c r="I171" i="1"/>
  <c r="F172" i="1"/>
  <c r="G172" i="1"/>
  <c r="I172" i="1"/>
  <c r="F173" i="1"/>
  <c r="G173" i="1"/>
  <c r="I173" i="1"/>
  <c r="F174" i="1"/>
  <c r="G174" i="1"/>
  <c r="I174" i="1"/>
  <c r="F175" i="1"/>
  <c r="G175" i="1"/>
  <c r="I175" i="1"/>
  <c r="F176" i="1"/>
  <c r="G176" i="1"/>
  <c r="I176" i="1"/>
  <c r="F177" i="1"/>
  <c r="G177" i="1"/>
  <c r="I177" i="1"/>
  <c r="F178" i="1"/>
  <c r="G178" i="1"/>
  <c r="I178" i="1"/>
  <c r="F179" i="1"/>
  <c r="G179" i="1"/>
  <c r="I179" i="1"/>
  <c r="F180" i="1"/>
  <c r="G180" i="1"/>
  <c r="I180" i="1"/>
  <c r="F181" i="1"/>
  <c r="G181" i="1"/>
  <c r="I181" i="1"/>
  <c r="F182" i="1"/>
  <c r="G182" i="1"/>
  <c r="I182" i="1"/>
  <c r="F183" i="1"/>
  <c r="G183" i="1"/>
  <c r="I183" i="1"/>
  <c r="F184" i="1"/>
  <c r="G184" i="1"/>
  <c r="I184" i="1"/>
  <c r="F185" i="1"/>
  <c r="G185" i="1"/>
  <c r="I185" i="1"/>
  <c r="F186" i="1"/>
  <c r="G186" i="1"/>
  <c r="I186" i="1"/>
  <c r="F187" i="1"/>
  <c r="G187" i="1"/>
  <c r="I187" i="1"/>
  <c r="F188" i="1"/>
  <c r="G188" i="1"/>
  <c r="I188" i="1"/>
  <c r="F189" i="1"/>
  <c r="G189" i="1"/>
  <c r="I189" i="1"/>
  <c r="F190" i="1"/>
  <c r="G190" i="1"/>
  <c r="I190" i="1"/>
  <c r="F191" i="1"/>
  <c r="G191" i="1"/>
  <c r="I191" i="1"/>
  <c r="F192" i="1"/>
  <c r="G192" i="1"/>
  <c r="I192" i="1"/>
  <c r="F193" i="1"/>
  <c r="G193" i="1"/>
  <c r="I193" i="1"/>
  <c r="F194" i="1"/>
  <c r="G194" i="1"/>
  <c r="I194" i="1"/>
  <c r="F195" i="1"/>
  <c r="G195" i="1"/>
  <c r="I195" i="1"/>
  <c r="F196" i="1"/>
  <c r="G196" i="1"/>
  <c r="I196" i="1"/>
  <c r="F197" i="1"/>
  <c r="G197" i="1"/>
  <c r="I197" i="1"/>
  <c r="F198" i="1"/>
  <c r="G198" i="1"/>
  <c r="I198" i="1"/>
  <c r="F199" i="1"/>
  <c r="G199" i="1"/>
  <c r="I199" i="1"/>
  <c r="F200" i="1"/>
  <c r="G200" i="1"/>
  <c r="I200" i="1"/>
  <c r="F201" i="1"/>
  <c r="G201" i="1"/>
  <c r="I201" i="1"/>
  <c r="F202" i="1"/>
  <c r="G202" i="1"/>
  <c r="I202" i="1"/>
  <c r="F203" i="1"/>
  <c r="G203" i="1"/>
  <c r="I203" i="1"/>
  <c r="F204" i="1"/>
  <c r="G204" i="1"/>
  <c r="I204" i="1"/>
  <c r="F205" i="1"/>
  <c r="G205" i="1"/>
  <c r="I205" i="1"/>
  <c r="F206" i="1"/>
  <c r="G206" i="1"/>
  <c r="I206" i="1"/>
  <c r="F207" i="1"/>
  <c r="G207" i="1"/>
  <c r="I207" i="1"/>
  <c r="F208" i="1"/>
  <c r="G208" i="1"/>
  <c r="I208" i="1"/>
  <c r="F209" i="1"/>
  <c r="G209" i="1"/>
  <c r="I209" i="1"/>
  <c r="F210" i="1"/>
  <c r="G210" i="1"/>
  <c r="I210" i="1"/>
  <c r="F211" i="1"/>
  <c r="G211" i="1"/>
  <c r="I211" i="1"/>
  <c r="F212" i="1"/>
  <c r="G212" i="1"/>
  <c r="I212" i="1"/>
  <c r="F213" i="1"/>
  <c r="G213" i="1"/>
  <c r="I213" i="1"/>
  <c r="F214" i="1"/>
  <c r="G214" i="1"/>
  <c r="I214" i="1"/>
  <c r="F215" i="1"/>
  <c r="G215" i="1"/>
  <c r="I215" i="1"/>
  <c r="F216" i="1"/>
  <c r="G216" i="1"/>
  <c r="I216" i="1"/>
  <c r="F217" i="1"/>
  <c r="G217" i="1"/>
  <c r="I217" i="1"/>
  <c r="F218" i="1"/>
  <c r="G218" i="1"/>
  <c r="I218" i="1"/>
  <c r="F219" i="1"/>
  <c r="G219" i="1"/>
  <c r="I219" i="1"/>
  <c r="F220" i="1"/>
  <c r="G220" i="1"/>
  <c r="I220" i="1"/>
  <c r="F221" i="1"/>
  <c r="G221" i="1"/>
  <c r="I221" i="1"/>
  <c r="F222" i="1"/>
  <c r="G222" i="1"/>
  <c r="I222" i="1"/>
  <c r="F223" i="1"/>
  <c r="G223" i="1"/>
  <c r="I223" i="1"/>
  <c r="F224" i="1"/>
  <c r="G224" i="1"/>
  <c r="I224" i="1"/>
  <c r="F225" i="1"/>
  <c r="G225" i="1"/>
  <c r="I225" i="1"/>
  <c r="F226" i="1"/>
  <c r="G226" i="1"/>
  <c r="I226" i="1"/>
  <c r="F227" i="1"/>
  <c r="G227" i="1"/>
  <c r="I227" i="1"/>
  <c r="F228" i="1"/>
  <c r="G228" i="1"/>
  <c r="I228" i="1"/>
  <c r="F229" i="1"/>
  <c r="G229" i="1"/>
  <c r="I229" i="1"/>
  <c r="F230" i="1"/>
  <c r="G230" i="1"/>
  <c r="I230" i="1"/>
  <c r="F231" i="1"/>
  <c r="G231" i="1"/>
  <c r="I231" i="1"/>
  <c r="F232" i="1"/>
  <c r="G232" i="1"/>
  <c r="I232" i="1"/>
  <c r="F233" i="1"/>
  <c r="G233" i="1"/>
  <c r="I233" i="1"/>
  <c r="F234" i="1"/>
  <c r="G234" i="1"/>
  <c r="I234" i="1"/>
  <c r="F235" i="1"/>
  <c r="G235" i="1"/>
  <c r="I235" i="1"/>
  <c r="F236" i="1"/>
  <c r="G236" i="1"/>
  <c r="I236" i="1"/>
  <c r="F237" i="1"/>
  <c r="G237" i="1"/>
  <c r="I237" i="1"/>
  <c r="F238" i="1"/>
  <c r="G238" i="1"/>
  <c r="I238" i="1"/>
  <c r="F239" i="1"/>
  <c r="G239" i="1"/>
  <c r="I239" i="1"/>
  <c r="F240" i="1"/>
  <c r="G240" i="1"/>
  <c r="I240" i="1"/>
  <c r="F241" i="1"/>
  <c r="G241" i="1"/>
  <c r="I241" i="1"/>
  <c r="F242" i="1"/>
  <c r="G242" i="1"/>
  <c r="I242" i="1"/>
  <c r="F243" i="1"/>
  <c r="G243" i="1"/>
  <c r="I243" i="1"/>
  <c r="F244" i="1"/>
  <c r="G244" i="1"/>
  <c r="I244" i="1"/>
  <c r="F245" i="1"/>
  <c r="G245" i="1"/>
  <c r="I245" i="1"/>
  <c r="F246" i="1"/>
  <c r="G246" i="1"/>
  <c r="I246" i="1"/>
  <c r="F247" i="1"/>
  <c r="G247" i="1"/>
  <c r="I247" i="1"/>
  <c r="F248" i="1"/>
  <c r="G248" i="1"/>
  <c r="I248" i="1"/>
  <c r="F249" i="1"/>
  <c r="G249" i="1"/>
  <c r="I249" i="1"/>
  <c r="F250" i="1"/>
  <c r="G250" i="1"/>
  <c r="I250" i="1"/>
  <c r="F251" i="1"/>
  <c r="G251" i="1"/>
  <c r="I251" i="1"/>
  <c r="F252" i="1"/>
  <c r="G252" i="1"/>
  <c r="I252" i="1"/>
  <c r="F253" i="1"/>
  <c r="G253" i="1"/>
  <c r="I253" i="1"/>
  <c r="F254" i="1"/>
  <c r="G254" i="1"/>
  <c r="I254" i="1"/>
  <c r="F255" i="1"/>
  <c r="G255" i="1"/>
  <c r="I255" i="1"/>
  <c r="F256" i="1"/>
  <c r="G256" i="1"/>
  <c r="I256" i="1"/>
  <c r="F257" i="1"/>
  <c r="G257" i="1"/>
  <c r="I257" i="1"/>
  <c r="F258" i="1"/>
  <c r="G258" i="1"/>
  <c r="I258" i="1"/>
  <c r="F259" i="1"/>
  <c r="G259" i="1"/>
  <c r="I259" i="1"/>
  <c r="F260" i="1"/>
  <c r="G260" i="1"/>
  <c r="I260" i="1"/>
  <c r="F261" i="1"/>
  <c r="G261" i="1"/>
  <c r="I261" i="1"/>
  <c r="F262" i="1"/>
  <c r="G262" i="1"/>
  <c r="I262" i="1"/>
  <c r="F263" i="1"/>
  <c r="G263" i="1"/>
  <c r="I263" i="1"/>
  <c r="F264" i="1"/>
  <c r="G264" i="1"/>
  <c r="I264" i="1"/>
  <c r="F265" i="1"/>
  <c r="G265" i="1"/>
  <c r="I265" i="1"/>
  <c r="F266" i="1"/>
  <c r="G266" i="1"/>
  <c r="I266" i="1"/>
  <c r="F267" i="1"/>
  <c r="G267" i="1"/>
  <c r="I267" i="1"/>
  <c r="F268" i="1"/>
  <c r="G268" i="1"/>
  <c r="I268" i="1"/>
  <c r="F269" i="1"/>
  <c r="G269" i="1"/>
  <c r="I269" i="1"/>
  <c r="F270" i="1"/>
  <c r="G270" i="1"/>
  <c r="I270" i="1"/>
  <c r="F271" i="1"/>
  <c r="G271" i="1"/>
  <c r="I271" i="1"/>
  <c r="F272" i="1"/>
  <c r="G272" i="1"/>
  <c r="I272" i="1"/>
  <c r="F273" i="1"/>
  <c r="G273" i="1"/>
  <c r="I273" i="1"/>
  <c r="F274" i="1"/>
  <c r="G274" i="1"/>
  <c r="I274" i="1"/>
  <c r="F275" i="1"/>
  <c r="G275" i="1"/>
  <c r="I275" i="1"/>
  <c r="F276" i="1"/>
  <c r="G276" i="1"/>
  <c r="I276" i="1"/>
  <c r="F277" i="1"/>
  <c r="G277" i="1"/>
  <c r="I277" i="1"/>
  <c r="F278" i="1"/>
  <c r="G278" i="1"/>
  <c r="I278" i="1"/>
  <c r="F279" i="1"/>
  <c r="G279" i="1"/>
  <c r="I279" i="1"/>
  <c r="F280" i="1"/>
  <c r="G280" i="1"/>
  <c r="I280" i="1"/>
  <c r="F281" i="1"/>
  <c r="G281" i="1"/>
  <c r="I281" i="1"/>
  <c r="F282" i="1"/>
  <c r="G282" i="1"/>
  <c r="I282" i="1"/>
  <c r="F283" i="1"/>
  <c r="G283" i="1"/>
  <c r="I283" i="1"/>
  <c r="F284" i="1"/>
  <c r="G284" i="1"/>
  <c r="I284" i="1"/>
  <c r="F285" i="1"/>
  <c r="G285" i="1"/>
  <c r="I285" i="1"/>
  <c r="F286" i="1"/>
  <c r="G286" i="1"/>
  <c r="I286" i="1"/>
  <c r="F287" i="1"/>
  <c r="G287" i="1"/>
  <c r="I287" i="1"/>
  <c r="F288" i="1"/>
  <c r="G288" i="1"/>
  <c r="I288" i="1"/>
  <c r="F289" i="1"/>
  <c r="G289" i="1"/>
  <c r="I289" i="1"/>
  <c r="F290" i="1"/>
  <c r="G290" i="1"/>
  <c r="I290" i="1"/>
  <c r="F291" i="1"/>
  <c r="G291" i="1"/>
  <c r="I291" i="1"/>
  <c r="F292" i="1"/>
  <c r="G292" i="1"/>
  <c r="I292" i="1"/>
  <c r="F293" i="1"/>
  <c r="G293" i="1"/>
  <c r="I293" i="1"/>
  <c r="F294" i="1"/>
  <c r="G294" i="1"/>
  <c r="I294" i="1"/>
  <c r="F295" i="1"/>
  <c r="G295" i="1"/>
  <c r="I295" i="1"/>
  <c r="F296" i="1"/>
  <c r="G296" i="1"/>
  <c r="I296" i="1"/>
  <c r="F297" i="1"/>
  <c r="G297" i="1"/>
  <c r="I297" i="1"/>
  <c r="F298" i="1"/>
  <c r="G298" i="1"/>
  <c r="I298" i="1"/>
  <c r="F299" i="1"/>
  <c r="G299" i="1"/>
  <c r="I299" i="1"/>
  <c r="F300" i="1"/>
  <c r="G300" i="1"/>
  <c r="I300" i="1"/>
  <c r="F301" i="1"/>
  <c r="G301" i="1"/>
  <c r="I301" i="1"/>
  <c r="F302" i="1"/>
  <c r="G302" i="1"/>
  <c r="I302" i="1"/>
  <c r="F303" i="1"/>
  <c r="G303" i="1"/>
  <c r="I303" i="1"/>
  <c r="F304" i="1"/>
  <c r="G304" i="1"/>
  <c r="I304" i="1"/>
  <c r="F305" i="1"/>
  <c r="G305" i="1"/>
  <c r="I305" i="1"/>
  <c r="F306" i="1"/>
  <c r="G306" i="1"/>
  <c r="I306" i="1"/>
  <c r="F307" i="1"/>
  <c r="G307" i="1"/>
  <c r="I307" i="1"/>
  <c r="F308" i="1"/>
  <c r="G308" i="1"/>
  <c r="I308" i="1"/>
  <c r="F309" i="1"/>
  <c r="G309" i="1"/>
  <c r="I309" i="1"/>
  <c r="F310" i="1"/>
  <c r="G310" i="1"/>
  <c r="I310" i="1"/>
  <c r="F311" i="1"/>
  <c r="G311" i="1"/>
  <c r="I311" i="1"/>
  <c r="F312" i="1"/>
  <c r="G312" i="1"/>
  <c r="I312" i="1"/>
  <c r="F313" i="1"/>
  <c r="G313" i="1"/>
  <c r="I313" i="1"/>
  <c r="F314" i="1"/>
  <c r="G314" i="1"/>
  <c r="I314" i="1"/>
  <c r="F315" i="1"/>
  <c r="G315" i="1"/>
  <c r="I315" i="1"/>
  <c r="F316" i="1"/>
  <c r="G316" i="1"/>
  <c r="I316" i="1"/>
  <c r="F317" i="1"/>
  <c r="G317" i="1"/>
  <c r="I317" i="1"/>
  <c r="F318" i="1"/>
  <c r="G318" i="1"/>
  <c r="I318" i="1"/>
  <c r="F319" i="1"/>
  <c r="G319" i="1"/>
  <c r="I319" i="1"/>
  <c r="F320" i="1"/>
  <c r="G320" i="1"/>
  <c r="I320" i="1"/>
  <c r="F321" i="1"/>
  <c r="G321" i="1"/>
  <c r="I321" i="1"/>
  <c r="F322" i="1"/>
  <c r="G322" i="1"/>
  <c r="I322" i="1"/>
  <c r="F323" i="1"/>
  <c r="G323" i="1"/>
  <c r="I323" i="1"/>
  <c r="F324" i="1"/>
  <c r="G324" i="1"/>
  <c r="I324" i="1"/>
  <c r="F325" i="1"/>
  <c r="G325" i="1"/>
  <c r="I325" i="1"/>
  <c r="F326" i="1"/>
  <c r="G326" i="1"/>
  <c r="I326" i="1"/>
  <c r="F327" i="1"/>
  <c r="G327" i="1"/>
  <c r="I327" i="1"/>
  <c r="F328" i="1"/>
  <c r="G328" i="1"/>
  <c r="I328" i="1"/>
  <c r="F329" i="1"/>
  <c r="G329" i="1"/>
  <c r="I329" i="1"/>
  <c r="F330" i="1"/>
  <c r="G330" i="1"/>
  <c r="I330" i="1"/>
  <c r="F331" i="1"/>
  <c r="G331" i="1"/>
  <c r="I331" i="1"/>
  <c r="F332" i="1"/>
  <c r="G332" i="1"/>
  <c r="I332" i="1"/>
  <c r="F333" i="1"/>
  <c r="G333" i="1"/>
  <c r="I333" i="1"/>
  <c r="F334" i="1"/>
  <c r="G334" i="1"/>
  <c r="I334" i="1"/>
  <c r="F335" i="1"/>
  <c r="G335" i="1"/>
  <c r="I335" i="1"/>
  <c r="F336" i="1"/>
  <c r="G336" i="1"/>
  <c r="I336" i="1"/>
  <c r="F337" i="1"/>
  <c r="G337" i="1"/>
  <c r="I337" i="1"/>
  <c r="F338" i="1"/>
  <c r="G338" i="1"/>
  <c r="I338" i="1"/>
  <c r="F339" i="1"/>
  <c r="G339" i="1"/>
  <c r="I339" i="1"/>
  <c r="F340" i="1"/>
  <c r="G340" i="1"/>
  <c r="I340" i="1"/>
  <c r="F341" i="1"/>
  <c r="G341" i="1"/>
  <c r="I341" i="1"/>
  <c r="F342" i="1"/>
  <c r="G342" i="1"/>
  <c r="I342" i="1"/>
  <c r="F343" i="1"/>
  <c r="G343" i="1"/>
  <c r="I343" i="1"/>
  <c r="F344" i="1"/>
  <c r="G344" i="1"/>
  <c r="I344" i="1"/>
  <c r="F345" i="1"/>
  <c r="G345" i="1"/>
  <c r="I345" i="1"/>
  <c r="F346" i="1"/>
  <c r="G346" i="1"/>
  <c r="I346" i="1"/>
  <c r="F347" i="1"/>
  <c r="G347" i="1"/>
  <c r="I347" i="1"/>
  <c r="F348" i="1"/>
  <c r="G348" i="1"/>
  <c r="I348" i="1"/>
  <c r="F349" i="1"/>
  <c r="G349" i="1"/>
  <c r="I349" i="1"/>
  <c r="F350" i="1"/>
  <c r="G350" i="1"/>
  <c r="I350" i="1"/>
  <c r="F351" i="1"/>
  <c r="G351" i="1"/>
  <c r="I351" i="1"/>
  <c r="F352" i="1"/>
  <c r="G352" i="1"/>
  <c r="I352" i="1"/>
  <c r="F353" i="1"/>
  <c r="G353" i="1"/>
  <c r="I353" i="1"/>
  <c r="F354" i="1"/>
  <c r="G354" i="1"/>
  <c r="I354" i="1"/>
  <c r="F355" i="1"/>
  <c r="G355" i="1"/>
  <c r="I355" i="1"/>
  <c r="F356" i="1"/>
  <c r="G356" i="1"/>
  <c r="I356" i="1"/>
  <c r="F357" i="1"/>
  <c r="G357" i="1"/>
  <c r="I357" i="1"/>
  <c r="F358" i="1"/>
  <c r="G358" i="1"/>
  <c r="I358" i="1"/>
  <c r="F359" i="1"/>
  <c r="G359" i="1"/>
  <c r="I359" i="1"/>
  <c r="F360" i="1"/>
  <c r="G360" i="1"/>
  <c r="I360" i="1"/>
  <c r="F361" i="1"/>
  <c r="G361" i="1"/>
  <c r="I361" i="1"/>
  <c r="F362" i="1"/>
  <c r="G362" i="1"/>
  <c r="I362" i="1"/>
  <c r="F363" i="1"/>
  <c r="G363" i="1"/>
  <c r="I363" i="1"/>
  <c r="F364" i="1"/>
  <c r="G364" i="1"/>
  <c r="I364" i="1"/>
  <c r="F365" i="1"/>
  <c r="G365" i="1"/>
  <c r="I365" i="1"/>
  <c r="F366" i="1"/>
  <c r="G366" i="1"/>
  <c r="I366" i="1"/>
  <c r="F367" i="1"/>
  <c r="G367" i="1"/>
  <c r="I367" i="1"/>
  <c r="F368" i="1"/>
  <c r="G368" i="1"/>
  <c r="I368" i="1"/>
  <c r="F369" i="1"/>
  <c r="G369" i="1"/>
  <c r="I369" i="1"/>
  <c r="F370" i="1"/>
  <c r="G370" i="1"/>
  <c r="I370" i="1"/>
  <c r="F371" i="1"/>
  <c r="G371" i="1"/>
  <c r="I371" i="1"/>
  <c r="F372" i="1"/>
  <c r="G372" i="1"/>
  <c r="I372" i="1"/>
  <c r="F373" i="1"/>
  <c r="G373" i="1"/>
  <c r="I373" i="1"/>
  <c r="F374" i="1"/>
  <c r="G374" i="1"/>
  <c r="I374" i="1"/>
  <c r="F375" i="1"/>
  <c r="G375" i="1"/>
  <c r="I375" i="1"/>
  <c r="F376" i="1"/>
  <c r="G376" i="1"/>
  <c r="I376" i="1"/>
  <c r="F377" i="1"/>
  <c r="G377" i="1"/>
  <c r="I377" i="1"/>
  <c r="F378" i="1"/>
  <c r="G378" i="1"/>
  <c r="I378" i="1"/>
  <c r="F379" i="1"/>
  <c r="G379" i="1"/>
  <c r="I379" i="1"/>
  <c r="F380" i="1"/>
  <c r="G380" i="1"/>
  <c r="I380" i="1"/>
  <c r="F381" i="1"/>
  <c r="G381" i="1"/>
  <c r="I381" i="1"/>
  <c r="F382" i="1"/>
  <c r="G382" i="1"/>
  <c r="I382" i="1"/>
  <c r="F383" i="1"/>
  <c r="G383" i="1"/>
  <c r="I383" i="1"/>
  <c r="F384" i="1"/>
  <c r="G384" i="1"/>
  <c r="I384" i="1"/>
  <c r="F385" i="1"/>
  <c r="G385" i="1"/>
  <c r="I385" i="1"/>
  <c r="F386" i="1"/>
  <c r="G386" i="1"/>
  <c r="I386" i="1"/>
  <c r="F387" i="1"/>
  <c r="G387" i="1"/>
  <c r="I387" i="1"/>
  <c r="F388" i="1"/>
  <c r="G388" i="1"/>
  <c r="I388" i="1"/>
  <c r="F389" i="1"/>
  <c r="G389" i="1"/>
  <c r="I389" i="1"/>
  <c r="F390" i="1"/>
  <c r="G390" i="1"/>
  <c r="I390" i="1"/>
  <c r="F391" i="1"/>
  <c r="G391" i="1"/>
  <c r="I391" i="1"/>
  <c r="F392" i="1"/>
  <c r="G392" i="1"/>
  <c r="I392" i="1"/>
  <c r="F393" i="1"/>
  <c r="G393" i="1"/>
  <c r="I393" i="1"/>
  <c r="F394" i="1"/>
  <c r="G394" i="1"/>
  <c r="I394" i="1"/>
  <c r="F395" i="1"/>
  <c r="G395" i="1"/>
  <c r="I395" i="1"/>
  <c r="F396" i="1"/>
  <c r="G396" i="1"/>
  <c r="I396" i="1"/>
  <c r="F397" i="1"/>
  <c r="G397" i="1"/>
  <c r="I397" i="1"/>
  <c r="F398" i="1"/>
  <c r="G398" i="1"/>
  <c r="I398" i="1"/>
  <c r="F399" i="1"/>
  <c r="G399" i="1"/>
  <c r="I399" i="1"/>
  <c r="F400" i="1"/>
  <c r="G400" i="1"/>
  <c r="I400" i="1"/>
  <c r="F401" i="1"/>
  <c r="G401" i="1"/>
  <c r="I401" i="1"/>
  <c r="F402" i="1"/>
  <c r="G402" i="1"/>
  <c r="I402" i="1"/>
  <c r="F403" i="1"/>
  <c r="G403" i="1"/>
  <c r="I403" i="1"/>
  <c r="F404" i="1"/>
  <c r="G404" i="1"/>
  <c r="I404" i="1"/>
  <c r="F405" i="1"/>
  <c r="G405" i="1"/>
  <c r="I405" i="1"/>
  <c r="F406" i="1"/>
  <c r="G406" i="1"/>
  <c r="I406" i="1"/>
  <c r="F407" i="1"/>
  <c r="G407" i="1"/>
  <c r="I407" i="1"/>
  <c r="F408" i="1"/>
  <c r="G408" i="1"/>
  <c r="I408" i="1"/>
  <c r="F409" i="1"/>
  <c r="G409" i="1"/>
  <c r="I409" i="1"/>
  <c r="F410" i="1"/>
  <c r="G410" i="1"/>
  <c r="I410" i="1"/>
  <c r="F411" i="1"/>
  <c r="G411" i="1"/>
  <c r="I411" i="1"/>
  <c r="F412" i="1"/>
  <c r="G412" i="1"/>
  <c r="I412" i="1"/>
  <c r="F413" i="1"/>
  <c r="G413" i="1"/>
  <c r="I413" i="1"/>
  <c r="F414" i="1"/>
  <c r="G414" i="1"/>
  <c r="I414" i="1"/>
  <c r="F415" i="1"/>
  <c r="G415" i="1"/>
  <c r="I415" i="1"/>
  <c r="F416" i="1"/>
  <c r="G416" i="1"/>
  <c r="I416" i="1"/>
  <c r="F417" i="1"/>
  <c r="G417" i="1"/>
  <c r="I417" i="1"/>
  <c r="F418" i="1"/>
  <c r="G418" i="1"/>
  <c r="I418" i="1"/>
  <c r="F419" i="1"/>
  <c r="G419" i="1"/>
  <c r="I419" i="1"/>
  <c r="F420" i="1"/>
  <c r="G420" i="1"/>
  <c r="I420" i="1"/>
  <c r="F421" i="1"/>
  <c r="G421" i="1"/>
  <c r="I421" i="1"/>
  <c r="F422" i="1"/>
  <c r="G422" i="1"/>
  <c r="I422" i="1"/>
  <c r="F423" i="1"/>
  <c r="G423" i="1"/>
  <c r="I423" i="1"/>
  <c r="F424" i="1"/>
  <c r="G424" i="1"/>
  <c r="I424" i="1"/>
  <c r="F425" i="1"/>
  <c r="G425" i="1"/>
  <c r="I425" i="1"/>
  <c r="F426" i="1"/>
  <c r="G426" i="1"/>
  <c r="I426" i="1"/>
  <c r="F427" i="1"/>
  <c r="G427" i="1"/>
  <c r="I427" i="1"/>
  <c r="F428" i="1"/>
  <c r="G428" i="1"/>
  <c r="I428" i="1"/>
  <c r="F429" i="1"/>
  <c r="G429" i="1"/>
  <c r="I429" i="1"/>
  <c r="F430" i="1"/>
  <c r="G430" i="1"/>
  <c r="I430" i="1"/>
  <c r="F431" i="1"/>
  <c r="G431" i="1"/>
  <c r="I431" i="1"/>
  <c r="F432" i="1"/>
  <c r="G432" i="1"/>
  <c r="I432" i="1"/>
  <c r="F433" i="1"/>
  <c r="G433" i="1"/>
  <c r="I433" i="1"/>
  <c r="F434" i="1"/>
  <c r="G434" i="1"/>
  <c r="I434" i="1"/>
  <c r="F435" i="1"/>
  <c r="G435" i="1"/>
  <c r="I435" i="1"/>
  <c r="F436" i="1"/>
  <c r="G436" i="1"/>
  <c r="I436" i="1"/>
  <c r="F437" i="1"/>
  <c r="G437" i="1"/>
  <c r="I437" i="1"/>
  <c r="F438" i="1"/>
  <c r="G438" i="1"/>
  <c r="I438" i="1"/>
  <c r="F439" i="1"/>
  <c r="G439" i="1"/>
  <c r="I439" i="1"/>
  <c r="F440" i="1"/>
  <c r="G440" i="1"/>
  <c r="I440" i="1"/>
  <c r="F441" i="1"/>
  <c r="G441" i="1"/>
  <c r="I441" i="1"/>
  <c r="F442" i="1"/>
  <c r="G442" i="1"/>
  <c r="I442" i="1"/>
  <c r="F443" i="1"/>
  <c r="G443" i="1"/>
  <c r="I443" i="1"/>
  <c r="F444" i="1"/>
  <c r="G444" i="1"/>
  <c r="I444" i="1"/>
  <c r="F445" i="1"/>
  <c r="G445" i="1"/>
  <c r="I445" i="1"/>
  <c r="F446" i="1"/>
  <c r="G446" i="1"/>
  <c r="I446" i="1"/>
  <c r="F447" i="1"/>
  <c r="G447" i="1"/>
  <c r="I447" i="1"/>
  <c r="F448" i="1"/>
  <c r="G448" i="1"/>
  <c r="I448" i="1"/>
  <c r="F449" i="1"/>
  <c r="G449" i="1"/>
  <c r="I449" i="1"/>
  <c r="F450" i="1"/>
  <c r="G450" i="1"/>
  <c r="I450" i="1"/>
  <c r="F451" i="1"/>
  <c r="G451" i="1"/>
  <c r="I451" i="1"/>
  <c r="F452" i="1"/>
  <c r="G452" i="1"/>
  <c r="I452" i="1"/>
  <c r="F453" i="1"/>
  <c r="G453" i="1"/>
  <c r="I453" i="1"/>
  <c r="F454" i="1"/>
  <c r="G454" i="1"/>
  <c r="I454" i="1"/>
  <c r="F455" i="1"/>
  <c r="G455" i="1"/>
  <c r="I455" i="1"/>
  <c r="F456" i="1"/>
  <c r="G456" i="1"/>
  <c r="I456" i="1"/>
  <c r="F457" i="1"/>
  <c r="G457" i="1"/>
  <c r="I457" i="1"/>
  <c r="F458" i="1"/>
  <c r="G458" i="1"/>
  <c r="I458" i="1"/>
  <c r="F459" i="1"/>
  <c r="G459" i="1"/>
  <c r="I459" i="1"/>
  <c r="F460" i="1"/>
  <c r="G460" i="1"/>
  <c r="I460" i="1"/>
  <c r="F461" i="1"/>
  <c r="G461" i="1"/>
  <c r="I461" i="1"/>
  <c r="F462" i="1"/>
  <c r="G462" i="1"/>
  <c r="I462" i="1"/>
  <c r="F463" i="1"/>
  <c r="G463" i="1"/>
  <c r="I463" i="1"/>
  <c r="F464" i="1"/>
  <c r="G464" i="1"/>
  <c r="I464" i="1"/>
  <c r="F465" i="1"/>
  <c r="G465" i="1"/>
  <c r="I465" i="1"/>
  <c r="F466" i="1"/>
  <c r="G466" i="1"/>
  <c r="I466" i="1"/>
  <c r="F467" i="1"/>
  <c r="G467" i="1"/>
  <c r="I467" i="1"/>
  <c r="F468" i="1"/>
  <c r="G468" i="1"/>
  <c r="I468" i="1"/>
  <c r="F469" i="1"/>
  <c r="G469" i="1"/>
  <c r="I469" i="1"/>
  <c r="F470" i="1"/>
  <c r="G470" i="1"/>
  <c r="I470" i="1"/>
  <c r="F471" i="1"/>
  <c r="G471" i="1"/>
  <c r="I471" i="1"/>
  <c r="F472" i="1"/>
  <c r="G472" i="1"/>
  <c r="I472" i="1"/>
  <c r="F473" i="1"/>
  <c r="G473" i="1"/>
  <c r="I473" i="1"/>
  <c r="F474" i="1"/>
  <c r="G474" i="1"/>
  <c r="I474" i="1"/>
  <c r="F475" i="1"/>
  <c r="G475" i="1"/>
  <c r="I475" i="1"/>
  <c r="F476" i="1"/>
  <c r="G476" i="1"/>
  <c r="I476" i="1"/>
  <c r="F477" i="1"/>
  <c r="G477" i="1"/>
  <c r="I477" i="1"/>
  <c r="F478" i="1"/>
  <c r="G478" i="1"/>
  <c r="I478" i="1"/>
  <c r="F479" i="1"/>
  <c r="G479" i="1"/>
  <c r="I479" i="1"/>
  <c r="F480" i="1"/>
  <c r="G480" i="1"/>
  <c r="I480" i="1"/>
  <c r="F481" i="1"/>
  <c r="G481" i="1"/>
  <c r="I481" i="1"/>
  <c r="F482" i="1"/>
  <c r="G482" i="1"/>
  <c r="I482" i="1"/>
  <c r="F483" i="1"/>
  <c r="G483" i="1"/>
  <c r="I483" i="1"/>
  <c r="F484" i="1"/>
  <c r="G484" i="1"/>
  <c r="I484" i="1"/>
  <c r="F485" i="1"/>
  <c r="G485" i="1"/>
  <c r="I485" i="1"/>
  <c r="F486" i="1"/>
  <c r="G486" i="1"/>
  <c r="I486" i="1"/>
  <c r="F487" i="1"/>
  <c r="G487" i="1"/>
  <c r="I487" i="1"/>
  <c r="F488" i="1"/>
  <c r="G488" i="1"/>
  <c r="I488" i="1"/>
  <c r="F489" i="1"/>
  <c r="G489" i="1"/>
  <c r="I489" i="1"/>
  <c r="F490" i="1"/>
  <c r="G490" i="1"/>
  <c r="I490" i="1"/>
  <c r="F491" i="1"/>
  <c r="G491" i="1"/>
  <c r="I491" i="1"/>
  <c r="F492" i="1"/>
  <c r="G492" i="1"/>
  <c r="I492" i="1"/>
  <c r="F493" i="1"/>
  <c r="G493" i="1"/>
  <c r="I493" i="1"/>
  <c r="F494" i="1"/>
  <c r="G494" i="1"/>
  <c r="I494" i="1"/>
  <c r="F495" i="1"/>
  <c r="G495" i="1"/>
  <c r="I495" i="1"/>
  <c r="F496" i="1"/>
  <c r="G496" i="1"/>
  <c r="I496" i="1"/>
  <c r="F497" i="1"/>
  <c r="G497" i="1"/>
  <c r="I497" i="1"/>
  <c r="F498" i="1"/>
  <c r="G498" i="1"/>
  <c r="I498" i="1"/>
  <c r="F499" i="1"/>
  <c r="G499" i="1"/>
  <c r="I499" i="1"/>
  <c r="F500" i="1"/>
  <c r="G500" i="1"/>
  <c r="I500" i="1"/>
  <c r="F501" i="1"/>
  <c r="G501" i="1"/>
  <c r="I501" i="1"/>
  <c r="F502" i="1"/>
  <c r="G502" i="1"/>
  <c r="I502" i="1"/>
  <c r="F503" i="1"/>
  <c r="G503" i="1"/>
  <c r="I503" i="1"/>
  <c r="F504" i="1"/>
  <c r="G504" i="1"/>
  <c r="I504" i="1"/>
  <c r="F505" i="1"/>
  <c r="G505" i="1"/>
  <c r="I505" i="1"/>
  <c r="F506" i="1"/>
  <c r="G506" i="1"/>
  <c r="I506" i="1"/>
  <c r="F507" i="1"/>
  <c r="G507" i="1"/>
  <c r="I507" i="1"/>
  <c r="F508" i="1"/>
  <c r="G508" i="1"/>
  <c r="I508" i="1"/>
  <c r="F509" i="1"/>
  <c r="G509" i="1"/>
  <c r="I509" i="1"/>
  <c r="F510" i="1"/>
  <c r="G510" i="1"/>
  <c r="I510" i="1"/>
  <c r="F511" i="1"/>
  <c r="G511" i="1"/>
  <c r="I511" i="1"/>
  <c r="F512" i="1"/>
  <c r="G512" i="1"/>
  <c r="I512" i="1"/>
  <c r="F513" i="1"/>
  <c r="G513" i="1"/>
  <c r="I513" i="1"/>
  <c r="F514" i="1"/>
  <c r="G514" i="1"/>
  <c r="I514" i="1"/>
  <c r="F515" i="1"/>
  <c r="G515" i="1"/>
  <c r="I515" i="1"/>
  <c r="F516" i="1"/>
  <c r="G516" i="1"/>
  <c r="I516" i="1"/>
  <c r="F517" i="1"/>
  <c r="G517" i="1"/>
  <c r="I517" i="1"/>
  <c r="F518" i="1"/>
  <c r="G518" i="1"/>
  <c r="I518" i="1"/>
  <c r="F519" i="1"/>
  <c r="G519" i="1"/>
  <c r="I519" i="1"/>
  <c r="F520" i="1"/>
  <c r="G520" i="1"/>
  <c r="I520" i="1"/>
  <c r="F521" i="1"/>
  <c r="G521" i="1"/>
  <c r="I521" i="1"/>
  <c r="F522" i="1"/>
  <c r="G522" i="1"/>
  <c r="I522" i="1"/>
  <c r="F523" i="1"/>
  <c r="G523" i="1"/>
  <c r="I523" i="1"/>
  <c r="F524" i="1"/>
  <c r="G524" i="1"/>
  <c r="I524" i="1"/>
  <c r="F525" i="1"/>
  <c r="G525" i="1"/>
  <c r="I525" i="1"/>
  <c r="F526" i="1"/>
  <c r="G526" i="1"/>
  <c r="I526" i="1"/>
  <c r="F527" i="1"/>
  <c r="G527" i="1"/>
  <c r="I527" i="1"/>
  <c r="F528" i="1"/>
  <c r="G528" i="1"/>
  <c r="I528" i="1"/>
  <c r="F529" i="1"/>
  <c r="G529" i="1"/>
  <c r="I529" i="1"/>
  <c r="F530" i="1"/>
  <c r="G530" i="1"/>
  <c r="I530" i="1"/>
  <c r="F531" i="1"/>
  <c r="G531" i="1"/>
  <c r="I531" i="1"/>
  <c r="F532" i="1"/>
  <c r="G532" i="1"/>
  <c r="I532" i="1"/>
  <c r="F533" i="1"/>
  <c r="G533" i="1"/>
  <c r="I533" i="1"/>
  <c r="F534" i="1"/>
  <c r="G534" i="1"/>
  <c r="I534" i="1"/>
  <c r="F535" i="1"/>
  <c r="G535" i="1"/>
  <c r="I535" i="1"/>
  <c r="F536" i="1"/>
  <c r="G536" i="1"/>
  <c r="I536" i="1"/>
  <c r="F537" i="1"/>
  <c r="G537" i="1"/>
  <c r="I537" i="1"/>
  <c r="F538" i="1"/>
  <c r="G538" i="1"/>
  <c r="I538" i="1"/>
  <c r="F539" i="1"/>
  <c r="G539" i="1"/>
  <c r="I539" i="1"/>
  <c r="F540" i="1"/>
  <c r="G540" i="1"/>
  <c r="I540" i="1"/>
  <c r="F541" i="1"/>
  <c r="G541" i="1"/>
  <c r="I541" i="1"/>
  <c r="F542" i="1"/>
  <c r="G542" i="1"/>
  <c r="I542" i="1"/>
  <c r="F543" i="1"/>
  <c r="G543" i="1"/>
  <c r="I543" i="1"/>
  <c r="F544" i="1"/>
  <c r="G544" i="1"/>
  <c r="I544" i="1"/>
  <c r="F545" i="1"/>
  <c r="G545" i="1"/>
  <c r="I545" i="1"/>
  <c r="F546" i="1"/>
  <c r="G546" i="1"/>
  <c r="I546" i="1"/>
  <c r="F547" i="1"/>
  <c r="G547" i="1"/>
  <c r="I547" i="1"/>
  <c r="F548" i="1"/>
  <c r="G548" i="1"/>
  <c r="I548" i="1"/>
  <c r="F549" i="1"/>
  <c r="G549" i="1"/>
  <c r="I549" i="1"/>
  <c r="F550" i="1"/>
  <c r="G550" i="1"/>
  <c r="I550" i="1"/>
  <c r="F551" i="1"/>
  <c r="G551" i="1"/>
  <c r="I551" i="1"/>
  <c r="F552" i="1"/>
  <c r="G552" i="1"/>
  <c r="I552" i="1"/>
  <c r="F553" i="1"/>
  <c r="G553" i="1"/>
  <c r="I553" i="1"/>
  <c r="F554" i="1"/>
  <c r="G554" i="1"/>
  <c r="I554" i="1"/>
  <c r="F555" i="1"/>
  <c r="G555" i="1"/>
  <c r="I555" i="1"/>
  <c r="F556" i="1"/>
  <c r="G556" i="1"/>
  <c r="I556" i="1"/>
  <c r="F557" i="1"/>
  <c r="G557" i="1"/>
  <c r="I557" i="1"/>
  <c r="F558" i="1"/>
  <c r="G558" i="1"/>
  <c r="I558" i="1"/>
  <c r="F559" i="1"/>
  <c r="G559" i="1"/>
  <c r="I559" i="1"/>
  <c r="F560" i="1"/>
  <c r="G560" i="1"/>
  <c r="I560" i="1"/>
  <c r="F561" i="1"/>
  <c r="G561" i="1"/>
  <c r="I561" i="1"/>
  <c r="F562" i="1"/>
  <c r="G562" i="1"/>
  <c r="I562" i="1"/>
  <c r="F563" i="1"/>
  <c r="G563" i="1"/>
  <c r="I563" i="1"/>
  <c r="F564" i="1"/>
  <c r="G564" i="1"/>
  <c r="I564" i="1"/>
  <c r="F565" i="1"/>
  <c r="G565" i="1"/>
  <c r="I565" i="1"/>
  <c r="F566" i="1"/>
  <c r="G566" i="1"/>
  <c r="I566" i="1"/>
  <c r="F567" i="1"/>
  <c r="G567" i="1"/>
  <c r="I567" i="1"/>
  <c r="F568" i="1"/>
  <c r="G568" i="1"/>
  <c r="I568" i="1"/>
  <c r="F569" i="1"/>
  <c r="G569" i="1"/>
  <c r="I569" i="1"/>
  <c r="F570" i="1"/>
  <c r="G570" i="1"/>
  <c r="I570" i="1"/>
  <c r="F571" i="1"/>
  <c r="G571" i="1"/>
  <c r="I571" i="1"/>
  <c r="F572" i="1"/>
  <c r="G572" i="1"/>
  <c r="I572" i="1"/>
  <c r="F573" i="1"/>
  <c r="G573" i="1"/>
  <c r="I573" i="1"/>
  <c r="F574" i="1"/>
  <c r="G574" i="1"/>
  <c r="I574" i="1"/>
  <c r="F575" i="1"/>
  <c r="G575" i="1"/>
  <c r="I575" i="1"/>
  <c r="F576" i="1"/>
  <c r="G576" i="1"/>
  <c r="I576" i="1"/>
  <c r="F577" i="1"/>
  <c r="G577" i="1"/>
  <c r="I577" i="1"/>
  <c r="F578" i="1"/>
  <c r="G578" i="1"/>
  <c r="I578" i="1"/>
  <c r="F579" i="1"/>
  <c r="G579" i="1"/>
  <c r="I579" i="1"/>
  <c r="F580" i="1"/>
  <c r="G580" i="1"/>
  <c r="I580" i="1"/>
  <c r="F581" i="1"/>
  <c r="G581" i="1"/>
  <c r="I581" i="1"/>
  <c r="F582" i="1"/>
  <c r="G582" i="1"/>
  <c r="I582" i="1"/>
  <c r="F583" i="1"/>
  <c r="G583" i="1"/>
  <c r="I583" i="1"/>
  <c r="F584" i="1"/>
  <c r="G584" i="1"/>
  <c r="I584" i="1"/>
  <c r="F585" i="1"/>
  <c r="G585" i="1"/>
  <c r="I585" i="1"/>
  <c r="F586" i="1"/>
  <c r="G586" i="1"/>
  <c r="I586" i="1"/>
  <c r="F587" i="1"/>
  <c r="G587" i="1"/>
  <c r="I587" i="1"/>
  <c r="F588" i="1"/>
  <c r="G588" i="1"/>
  <c r="I588" i="1"/>
  <c r="F589" i="1"/>
  <c r="G589" i="1"/>
  <c r="I589" i="1"/>
  <c r="F590" i="1"/>
  <c r="G590" i="1"/>
  <c r="I590" i="1"/>
  <c r="F591" i="1"/>
  <c r="G591" i="1"/>
  <c r="I591" i="1"/>
  <c r="F592" i="1"/>
  <c r="G592" i="1"/>
  <c r="I592" i="1"/>
  <c r="F593" i="1"/>
  <c r="G593" i="1"/>
  <c r="I593" i="1"/>
  <c r="F594" i="1"/>
  <c r="G594" i="1"/>
  <c r="I594" i="1"/>
  <c r="F595" i="1"/>
  <c r="G595" i="1"/>
  <c r="I595" i="1"/>
  <c r="F596" i="1"/>
  <c r="G596" i="1"/>
  <c r="I596" i="1"/>
  <c r="F597" i="1"/>
  <c r="G597" i="1"/>
  <c r="I597" i="1"/>
  <c r="F598" i="1"/>
  <c r="G598" i="1"/>
  <c r="I598" i="1"/>
  <c r="F599" i="1"/>
  <c r="G599" i="1"/>
  <c r="I599" i="1"/>
  <c r="F600" i="1"/>
  <c r="G600" i="1"/>
  <c r="I600" i="1"/>
  <c r="F601" i="1"/>
  <c r="G601" i="1"/>
  <c r="I601" i="1"/>
  <c r="F602" i="1"/>
  <c r="G602" i="1"/>
  <c r="I602" i="1"/>
  <c r="F603" i="1"/>
  <c r="G603" i="1"/>
  <c r="I603" i="1"/>
  <c r="F604" i="1"/>
  <c r="G604" i="1"/>
  <c r="I604" i="1"/>
  <c r="F605" i="1"/>
  <c r="G605" i="1"/>
  <c r="I605" i="1"/>
  <c r="F606" i="1"/>
  <c r="G606" i="1"/>
  <c r="I606" i="1"/>
  <c r="F607" i="1"/>
  <c r="G607" i="1"/>
  <c r="I607" i="1"/>
  <c r="F608" i="1"/>
  <c r="G608" i="1"/>
  <c r="I608" i="1"/>
  <c r="F609" i="1"/>
  <c r="G609" i="1"/>
  <c r="I609" i="1"/>
  <c r="F610" i="1"/>
  <c r="G610" i="1"/>
  <c r="I610" i="1"/>
  <c r="F611" i="1"/>
  <c r="G611" i="1"/>
  <c r="I611" i="1"/>
  <c r="F612" i="1"/>
  <c r="G612" i="1"/>
  <c r="I612" i="1"/>
  <c r="F613" i="1"/>
  <c r="G613" i="1"/>
  <c r="I613" i="1"/>
  <c r="F614" i="1"/>
  <c r="G614" i="1"/>
  <c r="I614" i="1"/>
  <c r="F615" i="1"/>
  <c r="G615" i="1"/>
  <c r="I615" i="1"/>
  <c r="F616" i="1"/>
  <c r="G616" i="1"/>
  <c r="I616" i="1"/>
  <c r="F617" i="1"/>
  <c r="G617" i="1"/>
  <c r="I617" i="1"/>
  <c r="F618" i="1"/>
  <c r="G618" i="1"/>
  <c r="I618" i="1"/>
  <c r="F619" i="1"/>
  <c r="G619" i="1"/>
  <c r="I619" i="1"/>
  <c r="F620" i="1"/>
  <c r="G620" i="1"/>
  <c r="I620" i="1"/>
  <c r="F621" i="1"/>
  <c r="G621" i="1"/>
  <c r="I621" i="1"/>
  <c r="F622" i="1"/>
  <c r="G622" i="1"/>
  <c r="I622" i="1"/>
  <c r="F623" i="1"/>
  <c r="G623" i="1"/>
  <c r="I623" i="1"/>
  <c r="F624" i="1"/>
  <c r="G624" i="1"/>
  <c r="I624" i="1"/>
  <c r="F625" i="1"/>
  <c r="G625" i="1"/>
  <c r="I625" i="1"/>
  <c r="F626" i="1"/>
  <c r="G626" i="1"/>
  <c r="I626" i="1"/>
  <c r="F627" i="1"/>
  <c r="G627" i="1"/>
  <c r="I627" i="1"/>
  <c r="F628" i="1"/>
  <c r="G628" i="1"/>
  <c r="I628" i="1"/>
  <c r="F629" i="1"/>
  <c r="G629" i="1"/>
  <c r="I629" i="1"/>
  <c r="F630" i="1"/>
  <c r="G630" i="1"/>
  <c r="I630" i="1"/>
  <c r="F631" i="1"/>
  <c r="G631" i="1"/>
  <c r="I631" i="1"/>
  <c r="F632" i="1"/>
  <c r="G632" i="1"/>
  <c r="I632" i="1"/>
  <c r="F633" i="1"/>
  <c r="G633" i="1"/>
  <c r="I633" i="1"/>
  <c r="F634" i="1"/>
  <c r="G634" i="1"/>
  <c r="I634" i="1"/>
  <c r="F635" i="1"/>
  <c r="G635" i="1"/>
  <c r="I635" i="1"/>
  <c r="F636" i="1"/>
  <c r="G636" i="1"/>
  <c r="I636" i="1"/>
  <c r="F637" i="1"/>
  <c r="G637" i="1"/>
  <c r="I637" i="1"/>
  <c r="F638" i="1"/>
  <c r="G638" i="1"/>
  <c r="I638" i="1"/>
  <c r="F639" i="1"/>
  <c r="G639" i="1"/>
  <c r="I639" i="1"/>
  <c r="F640" i="1"/>
  <c r="G640" i="1"/>
  <c r="I640" i="1"/>
  <c r="F641" i="1"/>
  <c r="G641" i="1"/>
  <c r="I641" i="1"/>
  <c r="F642" i="1"/>
  <c r="G642" i="1"/>
  <c r="I642" i="1"/>
  <c r="F643" i="1"/>
  <c r="G643" i="1"/>
  <c r="I643" i="1"/>
  <c r="F644" i="1"/>
  <c r="G644" i="1"/>
  <c r="I644" i="1"/>
  <c r="F645" i="1"/>
  <c r="G645" i="1"/>
  <c r="I645" i="1"/>
  <c r="F646" i="1"/>
  <c r="G646" i="1"/>
  <c r="I646" i="1"/>
  <c r="F647" i="1"/>
  <c r="G647" i="1"/>
  <c r="I647" i="1"/>
  <c r="F648" i="1"/>
  <c r="G648" i="1"/>
  <c r="I648" i="1"/>
  <c r="F649" i="1"/>
  <c r="G649" i="1"/>
  <c r="I649" i="1"/>
  <c r="F650" i="1"/>
  <c r="G650" i="1"/>
  <c r="I650" i="1"/>
  <c r="F651" i="1"/>
  <c r="G651" i="1"/>
  <c r="I651" i="1"/>
  <c r="F652" i="1"/>
  <c r="G652" i="1"/>
  <c r="I652" i="1"/>
  <c r="F653" i="1"/>
  <c r="G653" i="1"/>
  <c r="I653" i="1"/>
  <c r="F654" i="1"/>
  <c r="G654" i="1"/>
  <c r="I654" i="1"/>
  <c r="F655" i="1"/>
  <c r="G655" i="1"/>
  <c r="I655" i="1"/>
  <c r="F656" i="1"/>
  <c r="G656" i="1"/>
  <c r="I656" i="1"/>
  <c r="F657" i="1"/>
  <c r="G657" i="1"/>
  <c r="I657" i="1"/>
  <c r="F658" i="1"/>
  <c r="G658" i="1"/>
  <c r="I658" i="1"/>
  <c r="F659" i="1"/>
  <c r="G659" i="1"/>
  <c r="I659" i="1"/>
  <c r="F660" i="1"/>
  <c r="G660" i="1"/>
  <c r="I660" i="1"/>
  <c r="F661" i="1"/>
  <c r="G661" i="1"/>
  <c r="I661" i="1"/>
  <c r="F662" i="1"/>
  <c r="G662" i="1"/>
  <c r="I662" i="1"/>
  <c r="F663" i="1"/>
  <c r="G663" i="1"/>
  <c r="I663" i="1"/>
  <c r="F664" i="1"/>
  <c r="G664" i="1"/>
  <c r="I664" i="1"/>
  <c r="F665" i="1"/>
  <c r="G665" i="1"/>
  <c r="I665" i="1"/>
  <c r="F666" i="1"/>
  <c r="G666" i="1"/>
  <c r="I666" i="1"/>
  <c r="F667" i="1"/>
  <c r="G667" i="1"/>
  <c r="I667" i="1"/>
  <c r="F668" i="1"/>
  <c r="G668" i="1"/>
  <c r="I668" i="1"/>
  <c r="F669" i="1"/>
  <c r="G669" i="1"/>
  <c r="I669" i="1"/>
  <c r="F670" i="1"/>
  <c r="G670" i="1"/>
  <c r="I670" i="1"/>
  <c r="F671" i="1"/>
  <c r="G671" i="1"/>
  <c r="I671" i="1"/>
  <c r="F672" i="1"/>
  <c r="G672" i="1"/>
  <c r="I672" i="1"/>
  <c r="F673" i="1"/>
  <c r="G673" i="1"/>
  <c r="I673" i="1"/>
  <c r="F674" i="1"/>
  <c r="G674" i="1"/>
  <c r="I674" i="1"/>
  <c r="F675" i="1"/>
  <c r="G675" i="1"/>
  <c r="I675" i="1"/>
  <c r="F676" i="1"/>
  <c r="G676" i="1"/>
  <c r="I676" i="1"/>
  <c r="F677" i="1"/>
  <c r="G677" i="1"/>
  <c r="I677" i="1"/>
  <c r="F678" i="1"/>
  <c r="G678" i="1"/>
  <c r="I678" i="1"/>
  <c r="F679" i="1"/>
  <c r="G679" i="1"/>
  <c r="I679" i="1"/>
  <c r="F680" i="1"/>
  <c r="G680" i="1"/>
  <c r="I680" i="1"/>
  <c r="F681" i="1"/>
  <c r="G681" i="1"/>
  <c r="I681" i="1"/>
  <c r="F682" i="1"/>
  <c r="G682" i="1"/>
  <c r="I682" i="1"/>
  <c r="F683" i="1"/>
  <c r="G683" i="1"/>
  <c r="I683" i="1"/>
  <c r="F684" i="1"/>
  <c r="G684" i="1"/>
  <c r="I684" i="1"/>
  <c r="F685" i="1"/>
  <c r="G685" i="1"/>
  <c r="I685" i="1"/>
  <c r="F686" i="1"/>
  <c r="G686" i="1"/>
  <c r="I686" i="1"/>
  <c r="F687" i="1"/>
  <c r="G687" i="1"/>
  <c r="I687" i="1"/>
  <c r="F688" i="1"/>
  <c r="G688" i="1"/>
  <c r="I688" i="1"/>
  <c r="F689" i="1"/>
  <c r="G689" i="1"/>
  <c r="I689" i="1"/>
  <c r="F690" i="1"/>
  <c r="G690" i="1"/>
  <c r="I690" i="1"/>
  <c r="F691" i="1"/>
  <c r="G691" i="1"/>
  <c r="I691" i="1"/>
  <c r="F692" i="1"/>
  <c r="G692" i="1"/>
  <c r="I692" i="1"/>
  <c r="F693" i="1"/>
  <c r="G693" i="1"/>
  <c r="I693" i="1"/>
  <c r="F694" i="1"/>
  <c r="G694" i="1"/>
  <c r="I694" i="1"/>
  <c r="F695" i="1"/>
  <c r="G695" i="1"/>
  <c r="I695" i="1"/>
  <c r="F696" i="1"/>
  <c r="G696" i="1"/>
  <c r="I696" i="1"/>
  <c r="F697" i="1"/>
  <c r="G697" i="1"/>
  <c r="I697" i="1"/>
  <c r="F698" i="1"/>
  <c r="G698" i="1"/>
  <c r="I698" i="1"/>
  <c r="F699" i="1"/>
  <c r="G699" i="1"/>
  <c r="I699" i="1"/>
  <c r="F700" i="1"/>
  <c r="G700" i="1"/>
  <c r="I700" i="1"/>
  <c r="F701" i="1"/>
  <c r="G701" i="1"/>
  <c r="I701" i="1"/>
  <c r="F702" i="1"/>
  <c r="G702" i="1"/>
  <c r="I702" i="1"/>
  <c r="F703" i="1"/>
  <c r="G703" i="1"/>
  <c r="I703" i="1"/>
  <c r="F704" i="1"/>
  <c r="G704" i="1"/>
  <c r="I704" i="1"/>
  <c r="F705" i="1"/>
  <c r="G705" i="1"/>
  <c r="I705" i="1"/>
  <c r="F706" i="1"/>
  <c r="G706" i="1"/>
  <c r="I706" i="1"/>
  <c r="F707" i="1"/>
  <c r="G707" i="1"/>
  <c r="I707" i="1"/>
  <c r="F708" i="1"/>
  <c r="G708" i="1"/>
  <c r="I708" i="1"/>
  <c r="F709" i="1"/>
  <c r="G709" i="1"/>
  <c r="I709" i="1"/>
  <c r="F710" i="1"/>
  <c r="G710" i="1"/>
  <c r="I710" i="1"/>
  <c r="F711" i="1"/>
  <c r="G711" i="1"/>
  <c r="I711" i="1"/>
  <c r="F712" i="1"/>
  <c r="G712" i="1"/>
  <c r="I712" i="1"/>
  <c r="F713" i="1"/>
  <c r="G713" i="1"/>
  <c r="I713" i="1"/>
  <c r="F714" i="1"/>
  <c r="G714" i="1"/>
  <c r="I714" i="1"/>
  <c r="F715" i="1"/>
  <c r="G715" i="1"/>
  <c r="I715" i="1"/>
  <c r="F716" i="1"/>
  <c r="G716" i="1"/>
  <c r="I716" i="1"/>
  <c r="F717" i="1"/>
  <c r="G717" i="1"/>
  <c r="I717" i="1"/>
  <c r="F718" i="1"/>
  <c r="G718" i="1"/>
  <c r="I718" i="1"/>
  <c r="F719" i="1"/>
  <c r="G719" i="1"/>
  <c r="I719" i="1"/>
  <c r="F720" i="1"/>
  <c r="G720" i="1"/>
  <c r="I720" i="1"/>
  <c r="F721" i="1"/>
  <c r="G721" i="1"/>
  <c r="I721" i="1"/>
  <c r="F722" i="1"/>
  <c r="G722" i="1"/>
  <c r="I722" i="1"/>
  <c r="F723" i="1"/>
  <c r="G723" i="1"/>
  <c r="I723" i="1"/>
  <c r="F724" i="1"/>
  <c r="G724" i="1"/>
  <c r="I724" i="1"/>
  <c r="F725" i="1"/>
  <c r="G725" i="1"/>
  <c r="I725" i="1"/>
  <c r="F726" i="1"/>
  <c r="G726" i="1"/>
  <c r="I726" i="1"/>
  <c r="F727" i="1"/>
  <c r="G727" i="1"/>
  <c r="I727" i="1"/>
  <c r="F728" i="1"/>
  <c r="G728" i="1"/>
  <c r="I728" i="1"/>
  <c r="F729" i="1"/>
  <c r="G729" i="1"/>
  <c r="I729" i="1"/>
  <c r="F730" i="1"/>
  <c r="G730" i="1"/>
  <c r="I730" i="1"/>
  <c r="F731" i="1"/>
  <c r="G731" i="1"/>
  <c r="I731" i="1"/>
  <c r="F732" i="1"/>
  <c r="G732" i="1"/>
  <c r="I732" i="1"/>
  <c r="F733" i="1"/>
  <c r="G733" i="1"/>
  <c r="I733" i="1"/>
  <c r="F734" i="1"/>
  <c r="G734" i="1"/>
  <c r="I734" i="1"/>
  <c r="F735" i="1"/>
  <c r="G735" i="1"/>
  <c r="I735" i="1"/>
  <c r="F736" i="1"/>
  <c r="G736" i="1"/>
  <c r="I736" i="1"/>
  <c r="F737" i="1"/>
  <c r="G737" i="1"/>
  <c r="I737" i="1"/>
  <c r="F738" i="1"/>
  <c r="G738" i="1"/>
  <c r="I738" i="1"/>
  <c r="F739" i="1"/>
  <c r="G739" i="1"/>
  <c r="I739" i="1"/>
  <c r="F740" i="1"/>
  <c r="G740" i="1"/>
  <c r="I740" i="1"/>
  <c r="F741" i="1"/>
  <c r="G741" i="1"/>
  <c r="I741" i="1"/>
  <c r="F742" i="1"/>
  <c r="G742" i="1"/>
  <c r="I742" i="1"/>
  <c r="F743" i="1"/>
  <c r="G743" i="1"/>
  <c r="I743" i="1"/>
  <c r="F744" i="1"/>
  <c r="G744" i="1"/>
  <c r="I744" i="1"/>
  <c r="F745" i="1"/>
  <c r="G745" i="1"/>
  <c r="I745" i="1"/>
  <c r="F746" i="1"/>
  <c r="G746" i="1"/>
  <c r="I746" i="1"/>
  <c r="F747" i="1"/>
  <c r="G747" i="1"/>
  <c r="I747" i="1"/>
  <c r="F748" i="1"/>
  <c r="G748" i="1"/>
  <c r="I748" i="1"/>
  <c r="F749" i="1"/>
  <c r="G749" i="1"/>
  <c r="I749" i="1"/>
  <c r="F750" i="1"/>
  <c r="G750" i="1"/>
  <c r="I750" i="1"/>
  <c r="F751" i="1"/>
  <c r="G751" i="1"/>
  <c r="I751" i="1"/>
  <c r="F752" i="1"/>
  <c r="G752" i="1"/>
  <c r="I752" i="1"/>
  <c r="F753" i="1"/>
  <c r="G753" i="1"/>
  <c r="I753" i="1"/>
  <c r="F754" i="1"/>
  <c r="G754" i="1"/>
  <c r="I754" i="1"/>
  <c r="F755" i="1"/>
  <c r="G755" i="1"/>
  <c r="I755" i="1"/>
  <c r="F756" i="1"/>
  <c r="G756" i="1"/>
  <c r="I756" i="1"/>
  <c r="F757" i="1"/>
  <c r="G757" i="1"/>
  <c r="I757" i="1"/>
  <c r="F758" i="1"/>
  <c r="G758" i="1"/>
  <c r="I758" i="1"/>
  <c r="F759" i="1"/>
  <c r="G759" i="1"/>
  <c r="I759" i="1"/>
  <c r="F760" i="1"/>
  <c r="G760" i="1"/>
  <c r="I760" i="1"/>
  <c r="F761" i="1"/>
  <c r="G761" i="1"/>
  <c r="I761" i="1"/>
  <c r="F762" i="1"/>
  <c r="G762" i="1"/>
  <c r="I762" i="1"/>
  <c r="F763" i="1"/>
  <c r="G763" i="1"/>
  <c r="I763" i="1"/>
  <c r="F764" i="1"/>
  <c r="G764" i="1"/>
  <c r="I764" i="1"/>
  <c r="F765" i="1"/>
  <c r="G765" i="1"/>
  <c r="I765" i="1"/>
  <c r="F766" i="1"/>
  <c r="G766" i="1"/>
  <c r="I766" i="1"/>
  <c r="F767" i="1"/>
  <c r="G767" i="1"/>
  <c r="I767" i="1"/>
  <c r="F768" i="1"/>
  <c r="G768" i="1"/>
  <c r="I768" i="1"/>
  <c r="F769" i="1"/>
  <c r="G769" i="1"/>
  <c r="I769" i="1"/>
  <c r="F770" i="1"/>
  <c r="G770" i="1"/>
  <c r="I770" i="1"/>
  <c r="F771" i="1"/>
  <c r="G771" i="1"/>
  <c r="I771" i="1"/>
  <c r="F772" i="1"/>
  <c r="G772" i="1"/>
  <c r="I772" i="1"/>
  <c r="F773" i="1"/>
  <c r="G773" i="1"/>
  <c r="I773" i="1"/>
  <c r="F774" i="1"/>
  <c r="G774" i="1"/>
  <c r="I774" i="1"/>
  <c r="F775" i="1"/>
  <c r="G775" i="1"/>
  <c r="I775" i="1"/>
  <c r="F776" i="1"/>
  <c r="G776" i="1"/>
  <c r="I776" i="1"/>
  <c r="F777" i="1"/>
  <c r="G777" i="1"/>
  <c r="I777" i="1"/>
  <c r="F778" i="1"/>
  <c r="G778" i="1"/>
  <c r="I778" i="1"/>
  <c r="F779" i="1"/>
  <c r="G779" i="1"/>
  <c r="I779" i="1"/>
  <c r="F780" i="1"/>
  <c r="G780" i="1"/>
  <c r="I780" i="1"/>
  <c r="F781" i="1"/>
  <c r="G781" i="1"/>
  <c r="I781" i="1"/>
  <c r="F782" i="1"/>
  <c r="G782" i="1"/>
  <c r="I782" i="1"/>
  <c r="F783" i="1"/>
  <c r="G783" i="1"/>
  <c r="I783" i="1"/>
  <c r="F784" i="1"/>
  <c r="G784" i="1"/>
  <c r="I784" i="1"/>
  <c r="F785" i="1"/>
  <c r="G785" i="1"/>
  <c r="I785" i="1"/>
  <c r="F786" i="1"/>
  <c r="G786" i="1"/>
  <c r="I786" i="1"/>
  <c r="F787" i="1"/>
  <c r="G787" i="1"/>
  <c r="I787" i="1"/>
  <c r="F788" i="1"/>
  <c r="G788" i="1"/>
  <c r="I788" i="1"/>
  <c r="F789" i="1"/>
  <c r="G789" i="1"/>
  <c r="I789" i="1"/>
  <c r="F790" i="1"/>
  <c r="G790" i="1"/>
  <c r="I790" i="1"/>
  <c r="F791" i="1"/>
  <c r="G791" i="1"/>
  <c r="I791" i="1"/>
  <c r="F792" i="1"/>
  <c r="G792" i="1"/>
  <c r="I792" i="1"/>
  <c r="F793" i="1"/>
  <c r="G793" i="1"/>
  <c r="I793" i="1"/>
  <c r="F794" i="1"/>
  <c r="G794" i="1"/>
  <c r="I794" i="1"/>
  <c r="F795" i="1"/>
  <c r="G795" i="1"/>
  <c r="I795" i="1"/>
  <c r="F796" i="1"/>
  <c r="G796" i="1"/>
  <c r="I796" i="1"/>
  <c r="F797" i="1"/>
  <c r="G797" i="1"/>
  <c r="I797" i="1"/>
  <c r="F798" i="1"/>
  <c r="G798" i="1"/>
  <c r="I798" i="1"/>
  <c r="F799" i="1"/>
  <c r="G799" i="1"/>
  <c r="I799" i="1"/>
  <c r="F800" i="1"/>
  <c r="G800" i="1"/>
  <c r="I800" i="1"/>
  <c r="F801" i="1"/>
  <c r="G801" i="1"/>
  <c r="I801" i="1"/>
  <c r="F802" i="1"/>
  <c r="G802" i="1"/>
  <c r="I802" i="1"/>
  <c r="F803" i="1"/>
  <c r="G803" i="1"/>
  <c r="I803" i="1"/>
  <c r="F804" i="1"/>
  <c r="G804" i="1"/>
  <c r="I804" i="1"/>
  <c r="F805" i="1"/>
  <c r="G805" i="1"/>
  <c r="I805" i="1"/>
  <c r="F806" i="1"/>
  <c r="G806" i="1"/>
  <c r="I806" i="1"/>
  <c r="F807" i="1"/>
  <c r="G807" i="1"/>
  <c r="I807" i="1"/>
  <c r="F808" i="1"/>
  <c r="G808" i="1"/>
  <c r="I808" i="1"/>
  <c r="F809" i="1"/>
  <c r="G809" i="1"/>
  <c r="I809" i="1"/>
  <c r="F810" i="1"/>
  <c r="G810" i="1"/>
  <c r="I810" i="1"/>
  <c r="F811" i="1"/>
  <c r="G811" i="1"/>
  <c r="I811" i="1"/>
  <c r="F812" i="1"/>
  <c r="G812" i="1"/>
  <c r="I812" i="1"/>
  <c r="F813" i="1"/>
  <c r="G813" i="1"/>
  <c r="I813" i="1"/>
  <c r="F814" i="1"/>
  <c r="G814" i="1"/>
  <c r="H814" i="1"/>
  <c r="I814" i="1"/>
  <c r="F815" i="1"/>
  <c r="G815" i="1"/>
  <c r="H815" i="1"/>
  <c r="I815" i="1"/>
  <c r="F816" i="1"/>
  <c r="G816" i="1"/>
  <c r="H816" i="1"/>
  <c r="I816" i="1"/>
  <c r="F817" i="1"/>
  <c r="G817" i="1"/>
  <c r="H817" i="1"/>
  <c r="I817" i="1"/>
  <c r="F818" i="1"/>
  <c r="G818" i="1"/>
  <c r="H818" i="1"/>
  <c r="I818" i="1"/>
  <c r="F819" i="1"/>
  <c r="G819" i="1"/>
  <c r="H819" i="1"/>
  <c r="I819" i="1"/>
  <c r="F820" i="1"/>
  <c r="G820" i="1"/>
  <c r="H820" i="1"/>
  <c r="I820" i="1"/>
  <c r="F821" i="1"/>
  <c r="G821" i="1"/>
  <c r="H821" i="1"/>
  <c r="I821" i="1"/>
  <c r="F822" i="1"/>
  <c r="G822" i="1"/>
  <c r="H822" i="1"/>
  <c r="I822" i="1"/>
  <c r="F823" i="1"/>
  <c r="G823" i="1"/>
  <c r="H823" i="1"/>
  <c r="I823" i="1"/>
  <c r="F824" i="1"/>
  <c r="G824" i="1"/>
  <c r="H824" i="1"/>
  <c r="I824" i="1"/>
  <c r="F825" i="1"/>
  <c r="G825" i="1"/>
  <c r="H825" i="1"/>
  <c r="I825" i="1"/>
  <c r="F826" i="1"/>
  <c r="G826" i="1"/>
  <c r="H826" i="1"/>
  <c r="I826" i="1"/>
  <c r="F827" i="1"/>
  <c r="G827" i="1"/>
  <c r="H827" i="1"/>
  <c r="I827" i="1"/>
  <c r="F828" i="1"/>
  <c r="G828" i="1"/>
  <c r="H828" i="1"/>
  <c r="I828" i="1"/>
  <c r="F829" i="1"/>
  <c r="G829" i="1"/>
  <c r="H829" i="1"/>
  <c r="I829" i="1"/>
  <c r="F830" i="1"/>
  <c r="G830" i="1"/>
  <c r="H830" i="1"/>
  <c r="I830" i="1"/>
  <c r="F831" i="1"/>
  <c r="G831" i="1"/>
  <c r="H831" i="1"/>
  <c r="I831" i="1"/>
  <c r="F832" i="1"/>
  <c r="G832" i="1"/>
  <c r="H832" i="1"/>
  <c r="I832" i="1"/>
  <c r="F833" i="1"/>
  <c r="G833" i="1"/>
  <c r="H833" i="1"/>
  <c r="I833" i="1"/>
  <c r="F834" i="1"/>
  <c r="G834" i="1"/>
  <c r="H834" i="1"/>
  <c r="I834" i="1"/>
  <c r="F835" i="1"/>
  <c r="G835" i="1"/>
  <c r="H835" i="1"/>
  <c r="I835" i="1"/>
  <c r="F836" i="1"/>
  <c r="G836" i="1"/>
  <c r="H836" i="1"/>
  <c r="I836" i="1"/>
  <c r="F837" i="1"/>
  <c r="G837" i="1"/>
  <c r="H837" i="1"/>
  <c r="I837" i="1"/>
  <c r="F838" i="1"/>
  <c r="G838" i="1"/>
  <c r="H838" i="1"/>
  <c r="I838" i="1"/>
  <c r="F839" i="1"/>
  <c r="G839" i="1"/>
  <c r="H839" i="1"/>
  <c r="I839" i="1"/>
  <c r="F840" i="1"/>
  <c r="G840" i="1"/>
  <c r="H840" i="1"/>
  <c r="I840" i="1"/>
  <c r="F841" i="1"/>
  <c r="G841" i="1"/>
  <c r="H841" i="1"/>
  <c r="I841" i="1"/>
  <c r="F842" i="1"/>
  <c r="G842" i="1"/>
  <c r="H842" i="1"/>
  <c r="I842" i="1"/>
  <c r="F843" i="1"/>
  <c r="G843" i="1"/>
  <c r="H843" i="1"/>
  <c r="I843" i="1"/>
  <c r="F844" i="1"/>
  <c r="G844" i="1"/>
  <c r="H844" i="1"/>
  <c r="I844" i="1"/>
  <c r="F845" i="1"/>
  <c r="G845" i="1"/>
  <c r="H845" i="1"/>
  <c r="I845" i="1"/>
  <c r="F846" i="1"/>
  <c r="G846" i="1"/>
  <c r="H846" i="1"/>
  <c r="I846" i="1"/>
  <c r="F847" i="1"/>
  <c r="G847" i="1"/>
  <c r="H847" i="1"/>
  <c r="I847" i="1"/>
  <c r="F848" i="1"/>
  <c r="G848" i="1"/>
  <c r="H848" i="1"/>
  <c r="I848" i="1"/>
  <c r="F849" i="1"/>
  <c r="G849" i="1"/>
  <c r="H849" i="1"/>
  <c r="I849" i="1"/>
  <c r="F850" i="1"/>
  <c r="G850" i="1"/>
  <c r="H850" i="1"/>
  <c r="I850" i="1"/>
  <c r="F851" i="1"/>
  <c r="G851" i="1"/>
  <c r="H851" i="1"/>
  <c r="I851" i="1"/>
  <c r="F852" i="1"/>
  <c r="G852" i="1"/>
  <c r="H852" i="1"/>
  <c r="I852" i="1"/>
  <c r="F853" i="1"/>
  <c r="G853" i="1"/>
  <c r="H853" i="1"/>
  <c r="I853" i="1"/>
  <c r="F854" i="1"/>
  <c r="G854" i="1"/>
  <c r="H854" i="1"/>
  <c r="I854" i="1"/>
  <c r="F855" i="1"/>
  <c r="G855" i="1"/>
  <c r="H855" i="1"/>
  <c r="I855" i="1"/>
  <c r="F856" i="1"/>
  <c r="G856" i="1"/>
  <c r="H856" i="1"/>
  <c r="I856" i="1"/>
  <c r="F857" i="1"/>
  <c r="G857" i="1"/>
  <c r="H857" i="1"/>
  <c r="I857" i="1"/>
  <c r="F858" i="1"/>
  <c r="G858" i="1"/>
  <c r="H858" i="1"/>
  <c r="I858" i="1"/>
  <c r="F859" i="1"/>
  <c r="G859" i="1"/>
  <c r="H859" i="1"/>
  <c r="I859" i="1"/>
  <c r="F860" i="1"/>
  <c r="G860" i="1"/>
  <c r="H860" i="1"/>
  <c r="I860" i="1"/>
  <c r="F861" i="1"/>
  <c r="G861" i="1"/>
  <c r="H861" i="1"/>
  <c r="I861" i="1"/>
  <c r="F862" i="1"/>
  <c r="G862" i="1"/>
  <c r="H862" i="1"/>
  <c r="I862" i="1"/>
  <c r="F863" i="1"/>
  <c r="G863" i="1"/>
  <c r="H863" i="1"/>
  <c r="I863" i="1"/>
  <c r="F864" i="1"/>
  <c r="G864" i="1"/>
  <c r="H864" i="1"/>
  <c r="I864" i="1"/>
  <c r="F865" i="1"/>
  <c r="G865" i="1"/>
  <c r="H865" i="1"/>
  <c r="I865" i="1"/>
  <c r="F866" i="1"/>
  <c r="G866" i="1"/>
  <c r="H866" i="1"/>
  <c r="I866" i="1"/>
  <c r="F867" i="1"/>
  <c r="G867" i="1"/>
  <c r="H867" i="1"/>
  <c r="I867" i="1"/>
  <c r="F868" i="1"/>
  <c r="G868" i="1"/>
  <c r="H868" i="1"/>
  <c r="I868" i="1"/>
  <c r="F869" i="1"/>
  <c r="G869" i="1"/>
  <c r="H869" i="1"/>
  <c r="I869" i="1"/>
  <c r="F870" i="1"/>
  <c r="G870" i="1"/>
  <c r="H870" i="1"/>
  <c r="I870" i="1"/>
  <c r="F871" i="1"/>
  <c r="G871" i="1"/>
  <c r="H871" i="1"/>
  <c r="I871" i="1"/>
  <c r="F872" i="1"/>
  <c r="G872" i="1"/>
  <c r="H872" i="1"/>
  <c r="I872" i="1"/>
  <c r="F873" i="1"/>
  <c r="G873" i="1"/>
  <c r="H873" i="1"/>
  <c r="I873" i="1"/>
  <c r="F874" i="1"/>
  <c r="G874" i="1"/>
  <c r="H874" i="1"/>
  <c r="I874" i="1"/>
  <c r="F875" i="1"/>
  <c r="G875" i="1"/>
  <c r="H875" i="1"/>
  <c r="I875" i="1"/>
  <c r="F876" i="1"/>
  <c r="G876" i="1"/>
  <c r="H876" i="1"/>
  <c r="I876" i="1"/>
  <c r="F877" i="1"/>
  <c r="G877" i="1"/>
  <c r="H877" i="1"/>
  <c r="I877" i="1"/>
  <c r="F878" i="1"/>
  <c r="G878" i="1"/>
  <c r="H878" i="1"/>
  <c r="I878" i="1"/>
  <c r="F879" i="1"/>
  <c r="G879" i="1"/>
  <c r="H879" i="1"/>
  <c r="I879" i="1"/>
  <c r="F880" i="1"/>
  <c r="G880" i="1"/>
  <c r="H880" i="1"/>
  <c r="I880" i="1"/>
  <c r="F881" i="1"/>
  <c r="G881" i="1"/>
  <c r="H881" i="1"/>
  <c r="I881" i="1"/>
  <c r="F882" i="1"/>
  <c r="G882" i="1"/>
  <c r="H882" i="1"/>
  <c r="I882" i="1"/>
  <c r="F883" i="1"/>
  <c r="G883" i="1"/>
  <c r="H883" i="1"/>
  <c r="I883" i="1"/>
  <c r="F884" i="1"/>
  <c r="G884" i="1"/>
  <c r="H884" i="1"/>
  <c r="I884" i="1"/>
  <c r="F885" i="1"/>
  <c r="G885" i="1"/>
  <c r="H885" i="1"/>
  <c r="I885" i="1"/>
  <c r="F886" i="1"/>
  <c r="G886" i="1"/>
  <c r="H886" i="1"/>
  <c r="I886" i="1"/>
  <c r="F887" i="1"/>
  <c r="G887" i="1"/>
  <c r="H887" i="1"/>
  <c r="I887" i="1"/>
  <c r="F888" i="1"/>
  <c r="G888" i="1"/>
  <c r="H888" i="1"/>
  <c r="I888" i="1"/>
  <c r="F889" i="1"/>
  <c r="G889" i="1"/>
  <c r="H889" i="1"/>
  <c r="I889" i="1"/>
  <c r="F890" i="1"/>
  <c r="G890" i="1"/>
  <c r="H890" i="1"/>
  <c r="I890" i="1"/>
  <c r="F891" i="1"/>
  <c r="G891" i="1"/>
  <c r="H891" i="1"/>
  <c r="I891" i="1"/>
  <c r="F892" i="1"/>
  <c r="G892" i="1"/>
  <c r="H892" i="1"/>
  <c r="I892" i="1"/>
  <c r="F893" i="1"/>
  <c r="G893" i="1"/>
  <c r="H893" i="1"/>
  <c r="I893" i="1"/>
  <c r="F894" i="1"/>
  <c r="G894" i="1"/>
  <c r="H894" i="1"/>
  <c r="I894" i="1"/>
  <c r="F895" i="1"/>
  <c r="G895" i="1"/>
  <c r="H895" i="1"/>
  <c r="I895" i="1"/>
  <c r="F896" i="1"/>
  <c r="G896" i="1"/>
  <c r="H896" i="1"/>
  <c r="I896" i="1"/>
  <c r="F897" i="1"/>
  <c r="G897" i="1"/>
  <c r="H897" i="1"/>
  <c r="I897" i="1"/>
  <c r="F898" i="1"/>
  <c r="G898" i="1"/>
  <c r="H898" i="1"/>
  <c r="I898" i="1"/>
  <c r="F899" i="1"/>
  <c r="G899" i="1"/>
  <c r="H899" i="1"/>
  <c r="I899" i="1"/>
  <c r="F900" i="1"/>
  <c r="G900" i="1"/>
  <c r="H900" i="1"/>
  <c r="I900" i="1"/>
  <c r="F901" i="1"/>
  <c r="G901" i="1"/>
  <c r="H901" i="1"/>
  <c r="I901" i="1"/>
  <c r="F902" i="1"/>
  <c r="G902" i="1"/>
  <c r="H902" i="1"/>
  <c r="I902" i="1"/>
  <c r="F903" i="1"/>
  <c r="G903" i="1"/>
  <c r="H903" i="1"/>
  <c r="I903" i="1"/>
  <c r="F904" i="1"/>
  <c r="G904" i="1"/>
  <c r="H904" i="1"/>
  <c r="I904" i="1"/>
  <c r="F905" i="1"/>
  <c r="G905" i="1"/>
  <c r="H905" i="1"/>
  <c r="I905" i="1"/>
  <c r="F906" i="1"/>
  <c r="G906" i="1"/>
  <c r="H906" i="1"/>
  <c r="I906" i="1"/>
  <c r="F907" i="1"/>
  <c r="G907" i="1"/>
  <c r="H907" i="1"/>
  <c r="I907" i="1"/>
  <c r="F908" i="1"/>
  <c r="G908" i="1"/>
  <c r="H908" i="1"/>
  <c r="I908" i="1"/>
  <c r="F909" i="1"/>
  <c r="G909" i="1"/>
  <c r="H909" i="1"/>
  <c r="I909" i="1"/>
  <c r="F910" i="1"/>
  <c r="G910" i="1"/>
  <c r="H910" i="1"/>
  <c r="I910" i="1"/>
  <c r="F911" i="1"/>
  <c r="G911" i="1"/>
  <c r="H911" i="1"/>
  <c r="I911" i="1"/>
  <c r="F912" i="1"/>
  <c r="G912" i="1"/>
  <c r="H912" i="1"/>
  <c r="I912" i="1"/>
  <c r="F913" i="1"/>
  <c r="G913" i="1"/>
  <c r="H913" i="1"/>
  <c r="I913" i="1"/>
  <c r="F914" i="1"/>
  <c r="G914" i="1"/>
  <c r="H914" i="1"/>
  <c r="I914" i="1"/>
  <c r="F915" i="1"/>
  <c r="G915" i="1"/>
  <c r="H915" i="1"/>
  <c r="I915" i="1"/>
  <c r="F916" i="1"/>
  <c r="G916" i="1"/>
  <c r="H916" i="1"/>
  <c r="I916" i="1"/>
  <c r="F917" i="1"/>
  <c r="G917" i="1"/>
  <c r="H917" i="1"/>
  <c r="I917" i="1"/>
  <c r="F918" i="1"/>
  <c r="G918" i="1"/>
  <c r="H918" i="1"/>
  <c r="I918" i="1"/>
  <c r="F919" i="1"/>
  <c r="G919" i="1"/>
  <c r="H919" i="1"/>
  <c r="I919" i="1"/>
  <c r="F920" i="1"/>
  <c r="G920" i="1"/>
  <c r="H920" i="1"/>
  <c r="I920" i="1"/>
  <c r="F921" i="1"/>
  <c r="G921" i="1"/>
  <c r="H921" i="1"/>
  <c r="I921" i="1"/>
  <c r="F922" i="1"/>
  <c r="G922" i="1"/>
  <c r="H922" i="1"/>
  <c r="I922" i="1"/>
  <c r="F923" i="1"/>
  <c r="G923" i="1"/>
  <c r="H923" i="1"/>
  <c r="I923" i="1"/>
  <c r="F924" i="1"/>
  <c r="G924" i="1"/>
  <c r="H924" i="1"/>
  <c r="I924" i="1"/>
  <c r="F925" i="1"/>
  <c r="G925" i="1"/>
  <c r="H925" i="1"/>
  <c r="I925" i="1"/>
  <c r="F926" i="1"/>
  <c r="G926" i="1"/>
  <c r="H926" i="1"/>
  <c r="I926" i="1"/>
  <c r="F927" i="1"/>
  <c r="G927" i="1"/>
  <c r="H927" i="1"/>
  <c r="I927" i="1"/>
  <c r="F928" i="1"/>
  <c r="G928" i="1"/>
  <c r="H928" i="1"/>
  <c r="I928" i="1"/>
  <c r="F929" i="1"/>
  <c r="G929" i="1"/>
  <c r="H929" i="1"/>
  <c r="I929" i="1"/>
  <c r="F930" i="1"/>
  <c r="G930" i="1"/>
  <c r="H930" i="1"/>
  <c r="I930" i="1"/>
  <c r="F931" i="1"/>
  <c r="G931" i="1"/>
  <c r="H931" i="1"/>
  <c r="I931" i="1"/>
  <c r="F932" i="1"/>
  <c r="G932" i="1"/>
  <c r="H932" i="1"/>
  <c r="I932" i="1"/>
  <c r="F933" i="1"/>
  <c r="G933" i="1"/>
  <c r="H933" i="1"/>
  <c r="I933" i="1"/>
  <c r="F934" i="1"/>
  <c r="G934" i="1"/>
  <c r="H934" i="1"/>
  <c r="I934" i="1"/>
  <c r="F935" i="1"/>
  <c r="G935" i="1"/>
  <c r="H935" i="1"/>
  <c r="I935" i="1"/>
  <c r="F936" i="1"/>
  <c r="G936" i="1"/>
  <c r="H936" i="1"/>
  <c r="I936" i="1"/>
  <c r="F937" i="1"/>
  <c r="G937" i="1"/>
  <c r="H937" i="1"/>
  <c r="I937" i="1"/>
  <c r="F938" i="1"/>
  <c r="G938" i="1"/>
  <c r="H938" i="1"/>
  <c r="I938" i="1"/>
  <c r="F939" i="1"/>
  <c r="G939" i="1"/>
  <c r="H939" i="1"/>
  <c r="I939" i="1"/>
  <c r="F940" i="1"/>
  <c r="G940" i="1"/>
  <c r="H940" i="1"/>
  <c r="I940" i="1"/>
  <c r="F941" i="1"/>
  <c r="G941" i="1"/>
  <c r="H941" i="1"/>
  <c r="I941" i="1"/>
  <c r="F942" i="1"/>
  <c r="G942" i="1"/>
  <c r="H942" i="1"/>
  <c r="I942" i="1"/>
  <c r="F943" i="1"/>
  <c r="G943" i="1"/>
  <c r="H943" i="1"/>
  <c r="I943" i="1"/>
  <c r="F944" i="1"/>
  <c r="G944" i="1"/>
  <c r="H944" i="1"/>
  <c r="I944" i="1"/>
  <c r="F945" i="1"/>
  <c r="G945" i="1"/>
  <c r="H945" i="1"/>
  <c r="I945" i="1"/>
  <c r="F946" i="1"/>
  <c r="G946" i="1"/>
  <c r="H946" i="1"/>
  <c r="I946" i="1"/>
  <c r="F947" i="1"/>
  <c r="G947" i="1"/>
  <c r="H947" i="1"/>
  <c r="I947" i="1"/>
  <c r="G2" i="1"/>
  <c r="I2" i="1"/>
  <c r="F2" i="1"/>
</calcChain>
</file>

<file path=xl/sharedStrings.xml><?xml version="1.0" encoding="utf-8"?>
<sst xmlns="http://schemas.openxmlformats.org/spreadsheetml/2006/main" count="4787" uniqueCount="1916">
  <si>
    <t>Organization</t>
  </si>
  <si>
    <t>Location Type</t>
  </si>
  <si>
    <t>Location Name</t>
  </si>
  <si>
    <t>Location Link</t>
  </si>
  <si>
    <t>Country</t>
  </si>
  <si>
    <t>Region</t>
  </si>
  <si>
    <t>Region Label</t>
  </si>
  <si>
    <t>Weather Station</t>
  </si>
  <si>
    <t>Station Assignment Method</t>
  </si>
  <si>
    <t xml:space="preserve"> Id </t>
  </si>
  <si>
    <t>Ref No</t>
  </si>
  <si>
    <t>Location Ref</t>
  </si>
  <si>
    <t>Location Notes</t>
  </si>
  <si>
    <t>Address Link</t>
  </si>
  <si>
    <t>Address Type</t>
  </si>
  <si>
    <t>Address</t>
  </si>
  <si>
    <t>City</t>
  </si>
  <si>
    <t>State</t>
  </si>
  <si>
    <t>Post Code</t>
  </si>
  <si>
    <t>Country Region</t>
  </si>
  <si>
    <t>Downer</t>
  </si>
  <si>
    <t>Australia</t>
  </si>
  <si>
    <t>Default station</t>
  </si>
  <si>
    <t>L9.J.170751</t>
  </si>
  <si>
    <t>Other</t>
  </si>
  <si>
    <t>_AI Testing</t>
  </si>
  <si>
    <t>North Ryde</t>
  </si>
  <si>
    <t>North Ryde [New South Wales]</t>
  </si>
  <si>
    <t>Manual over-ride</t>
  </si>
  <si>
    <t>New Zealand</t>
  </si>
  <si>
    <t>Hotel</t>
  </si>
  <si>
    <t>_CLOSED_Accommodation - NZ</t>
  </si>
  <si>
    <t>Auckland</t>
  </si>
  <si>
    <t>Auckland [New Zealand]</t>
  </si>
  <si>
    <t>Auckland, Whenuapai Aws</t>
  </si>
  <si>
    <t>L9.WAU.000887</t>
  </si>
  <si>
    <t>Plant</t>
  </si>
  <si>
    <t>L9.DNZJ.3512</t>
  </si>
  <si>
    <t>L9.J.37750008</t>
  </si>
  <si>
    <t>L9.J.170402</t>
  </si>
  <si>
    <t>L9.J.200421</t>
  </si>
  <si>
    <t>L9.J.23440036</t>
  </si>
  <si>
    <t>L9.J.23440042</t>
  </si>
  <si>
    <t>L9.J.17030214</t>
  </si>
  <si>
    <t>L9.S.14000514</t>
  </si>
  <si>
    <t>L9.J.241209</t>
  </si>
  <si>
    <t>L9.S.16013945</t>
  </si>
  <si>
    <t>L9.J.70700019</t>
  </si>
  <si>
    <t>L9.DNZJ.69601</t>
  </si>
  <si>
    <t>L9.J.37740100</t>
  </si>
  <si>
    <t>L9.DNZJ.8840</t>
  </si>
  <si>
    <t>L9.J.170257</t>
  </si>
  <si>
    <t>L9.J.170273</t>
  </si>
  <si>
    <t>L9.J.170258</t>
  </si>
  <si>
    <t>L9.J.20042031</t>
  </si>
  <si>
    <t>L9.S.23000270</t>
  </si>
  <si>
    <t>L9.S.26019486</t>
  </si>
  <si>
    <t>L9.S.26016560</t>
  </si>
  <si>
    <t>L9.J.39210066</t>
  </si>
  <si>
    <t>L9.J.377101</t>
  </si>
  <si>
    <t>L9.J.20042010</t>
  </si>
  <si>
    <t>L9.J.170201</t>
  </si>
  <si>
    <t>L9.DNZJ.8104</t>
  </si>
  <si>
    <t>L9.DNZJ.8150</t>
  </si>
  <si>
    <t>L9.J.37740013</t>
  </si>
  <si>
    <t>L9.DNZ.810.10.033</t>
  </si>
  <si>
    <t>L9.J.229250</t>
  </si>
  <si>
    <t>L9.J.170691</t>
  </si>
  <si>
    <t>L9.J.37740109</t>
  </si>
  <si>
    <t>L9.J.239004</t>
  </si>
  <si>
    <t>L9.J.170401</t>
  </si>
  <si>
    <t>L9.J.24120086</t>
  </si>
  <si>
    <t>Rubyanna</t>
  </si>
  <si>
    <t>L9.S.16014017</t>
  </si>
  <si>
    <t>L9.J.170238</t>
  </si>
  <si>
    <t>L9.J.38139001</t>
  </si>
  <si>
    <t>L9.J.170156</t>
  </si>
  <si>
    <t>L9.J.170525</t>
  </si>
  <si>
    <t>L9.J.170302</t>
  </si>
  <si>
    <t>L9.J.170621</t>
  </si>
  <si>
    <t>L9.J.170106</t>
  </si>
  <si>
    <t>L9.J.170115</t>
  </si>
  <si>
    <t>L9.J.170523</t>
  </si>
  <si>
    <t>L9.J.22910012</t>
  </si>
  <si>
    <t>L9.J.38280046</t>
  </si>
  <si>
    <t>L9.J.170927</t>
  </si>
  <si>
    <t>L9.S.26019532</t>
  </si>
  <si>
    <t>L9.J.170926</t>
  </si>
  <si>
    <t>L9.J.709301</t>
  </si>
  <si>
    <t>L9.S.24000333</t>
  </si>
  <si>
    <t>L9.J.170251</t>
  </si>
  <si>
    <t>L9.J.170232</t>
  </si>
  <si>
    <t>L9.J.170269</t>
  </si>
  <si>
    <t>L9.J.170591</t>
  </si>
  <si>
    <t>L9.DUN.32020</t>
  </si>
  <si>
    <t>L9.J.709100</t>
  </si>
  <si>
    <t>L9.J.170145</t>
  </si>
  <si>
    <t>L9.S.26014870</t>
  </si>
  <si>
    <t>L9.DNZ.810.10.075</t>
  </si>
  <si>
    <t>L9.DNZ.810.10.074</t>
  </si>
  <si>
    <t>L9.J.362990</t>
  </si>
  <si>
    <t>L9.J.230102</t>
  </si>
  <si>
    <t>L9.J.23440001</t>
  </si>
  <si>
    <t>L9.J.382010</t>
  </si>
  <si>
    <t>L9.J.70700016</t>
  </si>
  <si>
    <t>L9.S.14000496</t>
  </si>
  <si>
    <t>L9.S.13001519</t>
  </si>
  <si>
    <t>L9.J.170821</t>
  </si>
  <si>
    <t>L9.J.170526</t>
  </si>
  <si>
    <t>L9.J.170136</t>
  </si>
  <si>
    <t>L9.J.170802</t>
  </si>
  <si>
    <t>L9.J.241615</t>
  </si>
  <si>
    <t>L9.J.170517</t>
  </si>
  <si>
    <t>L9.J.170592</t>
  </si>
  <si>
    <t>L9.J.170137</t>
  </si>
  <si>
    <t>L9.DNZJ.8801</t>
  </si>
  <si>
    <t>L9.J.252102</t>
  </si>
  <si>
    <t>L9.S.24000046</t>
  </si>
  <si>
    <t>L9.J.170617</t>
  </si>
  <si>
    <t>L9.DNZJ.8803</t>
  </si>
  <si>
    <t>L9.J.381</t>
  </si>
  <si>
    <t>L9.J.23440326</t>
  </si>
  <si>
    <t>L9.S.26017088</t>
  </si>
  <si>
    <t>L9.S.24000170</t>
  </si>
  <si>
    <t>L9.J.709401</t>
  </si>
  <si>
    <t>L9.J.170262</t>
  </si>
  <si>
    <t>L9.S.24000130</t>
  </si>
  <si>
    <t>L9.J.240107</t>
  </si>
  <si>
    <t>L9.S.26005890</t>
  </si>
  <si>
    <t>L9.S.23000789</t>
  </si>
  <si>
    <t>L9.S.26018544</t>
  </si>
  <si>
    <t>L9.S.26018555</t>
  </si>
  <si>
    <t>L9.S.26018577</t>
  </si>
  <si>
    <t>L9.S.26004890</t>
  </si>
  <si>
    <t>L9.DNZJ.56746</t>
  </si>
  <si>
    <t>L9.DNZJ.55290</t>
  </si>
  <si>
    <t>L9.DUN.60010</t>
  </si>
  <si>
    <t>L9.DUN.20040</t>
  </si>
  <si>
    <t>L9.S.16012374</t>
  </si>
  <si>
    <t>L9.S.14000945</t>
  </si>
  <si>
    <t>L9.DUN.30520</t>
  </si>
  <si>
    <t>L9.S.21030283</t>
  </si>
  <si>
    <t>L9.J.709202</t>
  </si>
  <si>
    <t>L9.S.16013434</t>
  </si>
  <si>
    <t>L9.S.13000907</t>
  </si>
  <si>
    <t>L9.DNZJ.55163</t>
  </si>
  <si>
    <t>L9.J.37740099</t>
  </si>
  <si>
    <t>L9.J.24150013</t>
  </si>
  <si>
    <t>L9.DNZJ.54936</t>
  </si>
  <si>
    <t>L9.S.26020493</t>
  </si>
  <si>
    <t>L9.J.23440263</t>
  </si>
  <si>
    <t>L9.J.70700018</t>
  </si>
  <si>
    <t>L9.J.37740121</t>
  </si>
  <si>
    <t>L9.DUN.80311</t>
  </si>
  <si>
    <t>L9.DUN.80220</t>
  </si>
  <si>
    <t>L9.J.229150</t>
  </si>
  <si>
    <t>L9.J.241908</t>
  </si>
  <si>
    <t>L9.S.24000002</t>
  </si>
  <si>
    <t>L9.J.170909</t>
  </si>
  <si>
    <t>Essential EMS North Coast</t>
  </si>
  <si>
    <t>Plant Pool</t>
  </si>
  <si>
    <t>SA Power Networks</t>
  </si>
  <si>
    <t>Western Power Meter Reading Service</t>
  </si>
  <si>
    <t>Spotless Australia Overhead</t>
  </si>
  <si>
    <t>Jemena Asset JGN - Gas Mtring Serv</t>
  </si>
  <si>
    <t>National Bitumen Trans</t>
  </si>
  <si>
    <t>Citylink &amp; WGT Inc Resp &amp; Main</t>
  </si>
  <si>
    <t>SA Metro Maintenance</t>
  </si>
  <si>
    <t>Melbourne City Council Serv Del</t>
  </si>
  <si>
    <t>NEMA Field O/H</t>
  </si>
  <si>
    <t>Sydney Water P4s Clearing</t>
  </si>
  <si>
    <t>Laying Services Rosehi</t>
  </si>
  <si>
    <t>Power Systems MV Leases</t>
  </si>
  <si>
    <t>SA Spray</t>
  </si>
  <si>
    <t>AU BSC Fleet - LV</t>
  </si>
  <si>
    <t>Hume Maintenance</t>
  </si>
  <si>
    <t>North West Metro Support</t>
  </si>
  <si>
    <t>GSC Planning Support</t>
  </si>
  <si>
    <t>GSC Laverton Depot</t>
  </si>
  <si>
    <t>Melbourne Laying Servi</t>
  </si>
  <si>
    <t>Micro Operations</t>
  </si>
  <si>
    <t>Laying Contracting Services</t>
  </si>
  <si>
    <t>Sprayseal Aust East</t>
  </si>
  <si>
    <t>UASG Bal Sheet</t>
  </si>
  <si>
    <t>Eyre Flinders Maintenance</t>
  </si>
  <si>
    <t>Plant - Leongatha</t>
  </si>
  <si>
    <t>City of Yarra Streets Serv Del</t>
  </si>
  <si>
    <t>SA North Maintenance</t>
  </si>
  <si>
    <t>Plant - Bairnsdale</t>
  </si>
  <si>
    <t>SA Asphalt Lay</t>
  </si>
  <si>
    <t>Project Energy Connect (SAPEC)</t>
  </si>
  <si>
    <t>NSW Stabilisaton Services</t>
  </si>
  <si>
    <t>ESC Plant</t>
  </si>
  <si>
    <t>Powercor Aus - Electric Mtring Ser</t>
  </si>
  <si>
    <t>WA Sprayseal</t>
  </si>
  <si>
    <t>National Emulsion Tran</t>
  </si>
  <si>
    <t>UWS Recoverable</t>
  </si>
  <si>
    <t>Pipetech Plant National</t>
  </si>
  <si>
    <t>Mid North York Maintenance</t>
  </si>
  <si>
    <t>WA Metro Laying Servic</t>
  </si>
  <si>
    <t>SA Water</t>
  </si>
  <si>
    <t>Plant - Lilydale</t>
  </si>
  <si>
    <t>Gas Meter Reading</t>
  </si>
  <si>
    <t>SE Water Transition</t>
  </si>
  <si>
    <t>Yarra Trams cln Admin mgmt Overhead</t>
  </si>
  <si>
    <t>Shoalhaven  Estate Upkeep</t>
  </si>
  <si>
    <t>ITS QLD</t>
  </si>
  <si>
    <t>SPO Facilities &amp; Asset Service</t>
  </si>
  <si>
    <t>SA Civil Support</t>
  </si>
  <si>
    <t>North East - Minor Civ</t>
  </si>
  <si>
    <t>Ausgrid - Electric Metering Serv</t>
  </si>
  <si>
    <t>Plant - Traralgon</t>
  </si>
  <si>
    <t>Pipetech Plant NPT</t>
  </si>
  <si>
    <t>AWMA Estate Upkeep</t>
  </si>
  <si>
    <t>NT PWC</t>
  </si>
  <si>
    <t>Plant Bayswater (Child 2)</t>
  </si>
  <si>
    <t>NT Laying Sevices</t>
  </si>
  <si>
    <t>Plant - Wodonga</t>
  </si>
  <si>
    <t>SA Profiling</t>
  </si>
  <si>
    <t>Melton Support</t>
  </si>
  <si>
    <t>Plant Campbellfield (Child1)</t>
  </si>
  <si>
    <t>Elec Vic Ext - Plant</t>
  </si>
  <si>
    <t>MTM Management &amp; Admin</t>
  </si>
  <si>
    <t>Vic Civil Works</t>
  </si>
  <si>
    <t>UU - Plant Clearing</t>
  </si>
  <si>
    <t>Zinfra GMDRS</t>
  </si>
  <si>
    <t>SA Housing - Aust Mob</t>
  </si>
  <si>
    <t>Plant - UG Central</t>
  </si>
  <si>
    <t>NT Spray Services</t>
  </si>
  <si>
    <t>Townsville South Estate Upkeep</t>
  </si>
  <si>
    <t>WTP Waratah Head Contract</t>
  </si>
  <si>
    <t>Telstra Wireless Trial NO</t>
  </si>
  <si>
    <t>Plant - Beaconfield</t>
  </si>
  <si>
    <t>GSC System Ops</t>
  </si>
  <si>
    <t>ACT Sprayseal</t>
  </si>
  <si>
    <t>UWS Transition</t>
  </si>
  <si>
    <t>SEW Plant clearing</t>
  </si>
  <si>
    <t>North West Tas Maint</t>
  </si>
  <si>
    <t>Katherine Operations</t>
  </si>
  <si>
    <t>UAM QLD Plant</t>
  </si>
  <si>
    <t>Sydney Water (MRP) - Water MtrServ</t>
  </si>
  <si>
    <t>HCMT TLS VIC Project</t>
  </si>
  <si>
    <t>North Connex Maintenance</t>
  </si>
  <si>
    <t>Shepparton Contracting</t>
  </si>
  <si>
    <t>Syd Water Operational Support</t>
  </si>
  <si>
    <t>GC - Payroll Clearing</t>
  </si>
  <si>
    <t>WA Stabilising</t>
  </si>
  <si>
    <t>Amberley Estate Upkeep</t>
  </si>
  <si>
    <t>Utilita - Payroll Clearing</t>
  </si>
  <si>
    <t>NSW Plant</t>
  </si>
  <si>
    <t>ITS Victoria</t>
  </si>
  <si>
    <t>Multinet Gas - Gas Metering Serv</t>
  </si>
  <si>
    <t>Melbourne City Council Overhead</t>
  </si>
  <si>
    <t>Russell  Estate Upkeep</t>
  </si>
  <si>
    <t>Barwon Regional Wat-Water Mtr Serv</t>
  </si>
  <si>
    <t>ACT Laying</t>
  </si>
  <si>
    <t>Plant - Sale</t>
  </si>
  <si>
    <t>WA Bitumen Transport</t>
  </si>
  <si>
    <t>Vic Stabilisation Services</t>
  </si>
  <si>
    <t>Mogo Sprayseal</t>
  </si>
  <si>
    <t>Hobart Contracting Ser</t>
  </si>
  <si>
    <t>Riverland Mallee Maintenance</t>
  </si>
  <si>
    <t>Canberra Training Bases Transport</t>
  </si>
  <si>
    <t>UE External Works Overhead</t>
  </si>
  <si>
    <t>RIS Finance and Accoun</t>
  </si>
  <si>
    <t>ITS - WA</t>
  </si>
  <si>
    <t>Plant - Benalla</t>
  </si>
  <si>
    <t>Sprayseal Contracting</t>
  </si>
  <si>
    <t>Rockhampton Estate Upkeep</t>
  </si>
  <si>
    <t>OM&amp;S Plant-Const</t>
  </si>
  <si>
    <t>Contracting Services T</t>
  </si>
  <si>
    <t>Mtr Read (ACT) - Embed MtrServ-FF</t>
  </si>
  <si>
    <t>Plant - Thomastown</t>
  </si>
  <si>
    <t>Plant &amp; Equipment - New</t>
  </si>
  <si>
    <t>RAAF Base Wagga Estate Upkeep</t>
  </si>
  <si>
    <t>Roads Infra Plant Pool</t>
  </si>
  <si>
    <t>Kapooka Military Estate Upkeep</t>
  </si>
  <si>
    <t>Plant - Warragul</t>
  </si>
  <si>
    <t>AES Service VIC HUB contracts</t>
  </si>
  <si>
    <t>Plant - Seymour</t>
  </si>
  <si>
    <t>Contracting Services B</t>
  </si>
  <si>
    <t>Gippsl&amp; Water - Water Mtr Serv SD</t>
  </si>
  <si>
    <t>N2P Evolution WA OH</t>
  </si>
  <si>
    <t>Perth Transport Auth Contract OH</t>
  </si>
  <si>
    <t>Adelaide Metro - Admin</t>
  </si>
  <si>
    <t>Canberra Training Bases Est. Upkeep</t>
  </si>
  <si>
    <t>Wesfarmers MSA DEL</t>
  </si>
  <si>
    <t>Laboratory Sydney</t>
  </si>
  <si>
    <t>Brisbane Estate Upkeep</t>
  </si>
  <si>
    <t>Wodonga Laying Service</t>
  </si>
  <si>
    <t>HFC NSW OH</t>
  </si>
  <si>
    <t>Logan Payroll Clearing</t>
  </si>
  <si>
    <t>Plant -New Connections Central</t>
  </si>
  <si>
    <t>BHP Maintenance Services</t>
  </si>
  <si>
    <t>Bluescope Management Serv Del</t>
  </si>
  <si>
    <t>N2P Evolution NSW OH</t>
  </si>
  <si>
    <t>ESC Plant - Lilydale</t>
  </si>
  <si>
    <t>North East Region Water Corporatio</t>
  </si>
  <si>
    <t>Sydney Water (ME) 48 Hour Notice</t>
  </si>
  <si>
    <t>Narrandera Sprayseal</t>
  </si>
  <si>
    <t>QLD Laboratory</t>
  </si>
  <si>
    <t>MIMA WA OH</t>
  </si>
  <si>
    <t>Townsville North Estate Upkeep</t>
  </si>
  <si>
    <t>AWMA Land</t>
  </si>
  <si>
    <t>Zero Harm &amp; Quality</t>
  </si>
  <si>
    <t>SA Stabilising</t>
  </si>
  <si>
    <t>Melbourne Water Jv Clearing Ac</t>
  </si>
  <si>
    <t>ESC Plant - Underground</t>
  </si>
  <si>
    <t>Qld Stabilisation Services</t>
  </si>
  <si>
    <t>TFO Wideband NOH Direct</t>
  </si>
  <si>
    <t>Baw Baw Maintenance</t>
  </si>
  <si>
    <t>Brisbane Land</t>
  </si>
  <si>
    <t>SA Zubri / Aftercare</t>
  </si>
  <si>
    <t>ODM - Overheads QLD</t>
  </si>
  <si>
    <t>DEP PPE Plant Pool</t>
  </si>
  <si>
    <t>RIS Zero Harm</t>
  </si>
  <si>
    <t>ITS - Vic Projects</t>
  </si>
  <si>
    <t>NSW Sch#2 Management Serv Del</t>
  </si>
  <si>
    <t>CPT North - Unit Rates BU</t>
  </si>
  <si>
    <t>NEMA Office O/H</t>
  </si>
  <si>
    <t>United Energy - Electric Mtring SD</t>
  </si>
  <si>
    <t>Campbell Park/ADFA Estate Upkeep</t>
  </si>
  <si>
    <t>Mogo Laying</t>
  </si>
  <si>
    <t>HVO HV Works</t>
  </si>
  <si>
    <t>Wodonga Sprayseal Serv</t>
  </si>
  <si>
    <t>Western Power Metering Field Service</t>
  </si>
  <si>
    <t>NSW Schools #1 Mgt Sev Del</t>
  </si>
  <si>
    <t>Unitywater Plant Clearing</t>
  </si>
  <si>
    <t>IND East - Hexham OH</t>
  </si>
  <si>
    <t>DM NSW JV Monthly Bill</t>
  </si>
  <si>
    <t>ESC Lilydale Support</t>
  </si>
  <si>
    <t>Bayswater Maintenance</t>
  </si>
  <si>
    <t>Rural &amp; Reserve Mainte</t>
  </si>
  <si>
    <t>Brisbane Range &amp; Training</t>
  </si>
  <si>
    <t>Shoalhaven  Land</t>
  </si>
  <si>
    <t>GSC Warrnambool Support</t>
  </si>
  <si>
    <t>Eraring Maintenance FY22</t>
  </si>
  <si>
    <t>Melbourne City Council East ServDel</t>
  </si>
  <si>
    <t>Kapooka Military Transport</t>
  </si>
  <si>
    <t>Canberra Training Bases Land</t>
  </si>
  <si>
    <t>UAM VIC Plant</t>
  </si>
  <si>
    <t>Qld Civil Works</t>
  </si>
  <si>
    <t>TFO ARCW NSW OH Direct</t>
  </si>
  <si>
    <t>Powercor Plant</t>
  </si>
  <si>
    <t>Plant - Mansfield</t>
  </si>
  <si>
    <t>4052 City of Gold Coast MtrRdng SD</t>
  </si>
  <si>
    <t>Shoalhaven  Clean</t>
  </si>
  <si>
    <t>EMOS OH LM Technical Services</t>
  </si>
  <si>
    <t>Townsville South Range &amp; Training</t>
  </si>
  <si>
    <t>NEWPORT OVERHEADS</t>
  </si>
  <si>
    <t>Defence Estate Works Programmes SD</t>
  </si>
  <si>
    <t>PAS QLD Management Ov</t>
  </si>
  <si>
    <t>Cairns Estate Upkeep</t>
  </si>
  <si>
    <t>AusNet - Dundonnell Transmiss</t>
  </si>
  <si>
    <t>Spotless-Utilities</t>
  </si>
  <si>
    <t>Plant - Public Lighting</t>
  </si>
  <si>
    <t>Gillman Workshop</t>
  </si>
  <si>
    <t>PAS NSW Management</t>
  </si>
  <si>
    <t>Sydney Workshop</t>
  </si>
  <si>
    <t>Canungra Estate Upkeep</t>
  </si>
  <si>
    <t>Myer FM Non Ops Overhead</t>
  </si>
  <si>
    <t>MNC Plant Pool</t>
  </si>
  <si>
    <t>UAM NSW Plant</t>
  </si>
  <si>
    <t>Standby Gen Res OHDS</t>
  </si>
  <si>
    <t>Melbourne Floats</t>
  </si>
  <si>
    <t>LWIA PM006 Office Costs 17/18</t>
  </si>
  <si>
    <t>Darling Downs Estate Upkeep</t>
  </si>
  <si>
    <t>Unity Water Program</t>
  </si>
  <si>
    <t>Vic Schools Cleaning Mgt Serv Del</t>
  </si>
  <si>
    <t>WPA PM00 Recurring Recharges</t>
  </si>
  <si>
    <t>SA Surfacing Support</t>
  </si>
  <si>
    <t>SA Housing - Inhouse Trades</t>
  </si>
  <si>
    <t>Spotless Utilities</t>
  </si>
  <si>
    <t>SNSW Estate Development</t>
  </si>
  <si>
    <t>Asphalt Production Win</t>
  </si>
  <si>
    <t>SPO-SI&amp;CS</t>
  </si>
  <si>
    <t>MARYBOROUGH OVERHEADS</t>
  </si>
  <si>
    <t>Darwin Workshop</t>
  </si>
  <si>
    <t>Plant - Wangaratta</t>
  </si>
  <si>
    <t>ODM - Overheads WA</t>
  </si>
  <si>
    <t>E&amp;O-Wagga Indirect CHILD</t>
  </si>
  <si>
    <t>HCMT Train Admin &amp; Mgmt</t>
  </si>
  <si>
    <t>PAS Fleet Base Estab Overhead</t>
  </si>
  <si>
    <t>Oil &amp; Gas - Plant - DEP</t>
  </si>
  <si>
    <t>QLD INS STH1-Asset Insp Ergon</t>
  </si>
  <si>
    <t>Mtr Read (VIC) - Embedded Mtr Serv</t>
  </si>
  <si>
    <t>Rejuvenation Contracti</t>
  </si>
  <si>
    <t>Asphalt Production Bay</t>
  </si>
  <si>
    <t>Cairns Land</t>
  </si>
  <si>
    <t>ISP - Ausnet</t>
  </si>
  <si>
    <t>Tasmania Workshop</t>
  </si>
  <si>
    <t>EMOS Regional Mgt Overhead</t>
  </si>
  <si>
    <t>Darling Downs Land</t>
  </si>
  <si>
    <t>PAS Shoalhaven Overhead</t>
  </si>
  <si>
    <t>Townsville South Land</t>
  </si>
  <si>
    <t>Powercor</t>
  </si>
  <si>
    <t>Deakin Uni Melbourne Burwood Campus</t>
  </si>
  <si>
    <t>MPSC SLR YR 12 to 13</t>
  </si>
  <si>
    <t>Rockhampton Range &amp; Training</t>
  </si>
  <si>
    <t>SA NT Unify Direct OH</t>
  </si>
  <si>
    <t>ODM - Overheads NSW</t>
  </si>
  <si>
    <t>Amberley Land</t>
  </si>
  <si>
    <t>METRO NTH WEST - VR</t>
  </si>
  <si>
    <t>PAS Canberra Trng Bases Overhead</t>
  </si>
  <si>
    <t>QLD Traffic Management</t>
  </si>
  <si>
    <t>Mornington Maintenance</t>
  </si>
  <si>
    <t>Townsville South Clean</t>
  </si>
  <si>
    <t>Minor Works - Sec &amp; Comms - AA</t>
  </si>
  <si>
    <t>Perth Plant Pool</t>
  </si>
  <si>
    <t>GSC Pipeline Patrol</t>
  </si>
  <si>
    <t>Melbourne Workshop</t>
  </si>
  <si>
    <t>HQJOC Security Serv Del</t>
  </si>
  <si>
    <t>SA Schools Management Serv Del</t>
  </si>
  <si>
    <t>Civil Maintenance OH</t>
  </si>
  <si>
    <t>Central Coast - Water Mtr Serv</t>
  </si>
  <si>
    <t>4055 City of Gold Coast Mgemt SD.</t>
  </si>
  <si>
    <t>EMOS OH EU Technical Services</t>
  </si>
  <si>
    <t>Cairns Regional - Water Mtring Ser</t>
  </si>
  <si>
    <t>Asphalt Production Som</t>
  </si>
  <si>
    <t>HCMT Train Pakenham East Depot</t>
  </si>
  <si>
    <t>SA Schools Roma Mitchell Overhead</t>
  </si>
  <si>
    <t>Canberra Training Bases Range&amp;Trng</t>
  </si>
  <si>
    <t>Stabilisation Civil Wo</t>
  </si>
  <si>
    <t>NSW Civil Projects</t>
  </si>
  <si>
    <t>Plant Department - Transmissio</t>
  </si>
  <si>
    <t>MARYBOROUGH FACILITIES MAINTEN</t>
  </si>
  <si>
    <t>Asphalt Production Arc</t>
  </si>
  <si>
    <t>Logistics</t>
  </si>
  <si>
    <t>Transgrid ? Line 99F Refurbish</t>
  </si>
  <si>
    <t>GSC Bendigo Depot</t>
  </si>
  <si>
    <t>IntelliHUB Field Services</t>
  </si>
  <si>
    <t>PSMC Extension 1A, 2</t>
  </si>
  <si>
    <t>VIC Emulsion</t>
  </si>
  <si>
    <t>Harman Estate Upkeep</t>
  </si>
  <si>
    <t>QAL</t>
  </si>
  <si>
    <t>Yarra Maintenance Supp</t>
  </si>
  <si>
    <t>PAS BSC - TWS Sth Overhead</t>
  </si>
  <si>
    <t>Queensland Workshop</t>
  </si>
  <si>
    <t>Laboratory WA</t>
  </si>
  <si>
    <t>Pipetech Plant QLD</t>
  </si>
  <si>
    <t>Coliban Water - Water Metering Ser</t>
  </si>
  <si>
    <t>HFC QLD OH</t>
  </si>
  <si>
    <t>Rockhampton Land</t>
  </si>
  <si>
    <t>Asphalt Production Hum</t>
  </si>
  <si>
    <t>PAS Brisbane Overhead</t>
  </si>
  <si>
    <t>PAS Kapooka MA Overhead</t>
  </si>
  <si>
    <t>Utilities Asset Management</t>
  </si>
  <si>
    <t>MS Plant - DEP</t>
  </si>
  <si>
    <t>Yarra Trams clning Network cleaners</t>
  </si>
  <si>
    <t>PAS BSC - RCK TARM</t>
  </si>
  <si>
    <t>PAS Liverpool Mil Area Overhead</t>
  </si>
  <si>
    <t>Townsville North Overhead</t>
  </si>
  <si>
    <t>Myer FM VIC Plumbing Serv Del</t>
  </si>
  <si>
    <t>Canberra Training Bases Clean</t>
  </si>
  <si>
    <t>RAAF Base Wagga Clean</t>
  </si>
  <si>
    <t>Kapooka Military Land</t>
  </si>
  <si>
    <t>Jemena Asset JEN-Electric Mtr Serv</t>
  </si>
  <si>
    <t>MPSC SLR YEAR 11 201</t>
  </si>
  <si>
    <t>Redcliffs Terminal Station</t>
  </si>
  <si>
    <t>SA Laboratory Services</t>
  </si>
  <si>
    <t>Townsville North Clean</t>
  </si>
  <si>
    <t>Asphalt Production Bli</t>
  </si>
  <si>
    <t>RAAF Base Wagga Land</t>
  </si>
  <si>
    <t>Autocare Pinnacle Rd Core Serv Del</t>
  </si>
  <si>
    <t>TVM Rail Maint - PTA</t>
  </si>
  <si>
    <t>Contracting - Metro South</t>
  </si>
  <si>
    <t>UniAdl Plumbing Serv Del</t>
  </si>
  <si>
    <t>Plant Hard Surface (Child 4)</t>
  </si>
  <si>
    <t>Elec Vic Ext -EDA - Major Proj</t>
  </si>
  <si>
    <t>Bluescope Works</t>
  </si>
  <si>
    <t>Townsville North Land</t>
  </si>
  <si>
    <t>AllConnex - Logan - Water Metering</t>
  </si>
  <si>
    <t>Myer FM NSW Electrical Serv Del</t>
  </si>
  <si>
    <t>Darling Downs Airfield Ops</t>
  </si>
  <si>
    <t>WA Workshop</t>
  </si>
  <si>
    <t>Marine Services FY21</t>
  </si>
  <si>
    <t>PS Substations Clrg</t>
  </si>
  <si>
    <t>ANU - Maintenance SD</t>
  </si>
  <si>
    <t>Bulga Hunter Valley</t>
  </si>
  <si>
    <t>TFO ARCW WA OH Direct</t>
  </si>
  <si>
    <t>KMW Team DEP</t>
  </si>
  <si>
    <t>ESC Beaconsfield Support</t>
  </si>
  <si>
    <t>WA INS-Asset Insp Western Pwr</t>
  </si>
  <si>
    <t>Safety Environment &amp; Q</t>
  </si>
  <si>
    <t>RAPM - Management</t>
  </si>
  <si>
    <t>ANU - Mgt &amp; Admin SD</t>
  </si>
  <si>
    <t>HCMT - Depot</t>
  </si>
  <si>
    <t>GE RNC Minor Capital Works OH</t>
  </si>
  <si>
    <t>Riverina Redev Pgm Serv Del</t>
  </si>
  <si>
    <t>Townsville South Transport</t>
  </si>
  <si>
    <t>Instrumentation &amp; Radiation</t>
  </si>
  <si>
    <t>Zubri Contracting Serv</t>
  </si>
  <si>
    <t>Brendale Production</t>
  </si>
  <si>
    <t>SA Maintenance Support</t>
  </si>
  <si>
    <t>Contract Management</t>
  </si>
  <si>
    <t>Orange Hosp - Bloomfield Serv Del</t>
  </si>
  <si>
    <t>Pipetech Plant NSW</t>
  </si>
  <si>
    <t>Melbourne Laboratory</t>
  </si>
  <si>
    <t>Teralba Production</t>
  </si>
  <si>
    <t>AE Smith Service Overhead</t>
  </si>
  <si>
    <t>GSC Woodend Depot</t>
  </si>
  <si>
    <t>QUU (MR) - Water Metering Serv</t>
  </si>
  <si>
    <t>NSW / ACT Plant</t>
  </si>
  <si>
    <t>Defence New Business</t>
  </si>
  <si>
    <t>New Connections Clearing</t>
  </si>
  <si>
    <t>Kwinana Maintenance Operations</t>
  </si>
  <si>
    <t>NSW Sch#2 Kelso HS Maintenance</t>
  </si>
  <si>
    <t>Engineering Direct OH</t>
  </si>
  <si>
    <t>Facilities Services - Clean Admin</t>
  </si>
  <si>
    <t>Canungra Range &amp; Training</t>
  </si>
  <si>
    <t>Myer FM VIC Shopfitting Serv Del</t>
  </si>
  <si>
    <t>Uni of Newcastle - Main Campus SD</t>
  </si>
  <si>
    <t>PS EBA Clrg</t>
  </si>
  <si>
    <t>ESC Plant - Thomastown</t>
  </si>
  <si>
    <t>Myer FM VIC Electrical Serv Del</t>
  </si>
  <si>
    <t>HQJOC Maint Service Delivery</t>
  </si>
  <si>
    <t>Data &amp; Fibre Small Works</t>
  </si>
  <si>
    <t>Russell  Clean</t>
  </si>
  <si>
    <t>Jesmond to Callaghan Upgrade</t>
  </si>
  <si>
    <t>Orange Hosp - Admin Overhead</t>
  </si>
  <si>
    <t>MIMA NSW OH</t>
  </si>
  <si>
    <t>Rockhampton Mgt</t>
  </si>
  <si>
    <t>Shoalhaven  Transport</t>
  </si>
  <si>
    <t>SPO Defence</t>
  </si>
  <si>
    <t>Rubyanna O&amp;M</t>
  </si>
  <si>
    <t>Asphalt Production Rosehill -</t>
  </si>
  <si>
    <t>Australian Sports Commission</t>
  </si>
  <si>
    <t>Water Ops Direct OH</t>
  </si>
  <si>
    <t>Riverina Workshop</t>
  </si>
  <si>
    <t>Elec Vic  Ext -External Works</t>
  </si>
  <si>
    <t>Shepparton Support</t>
  </si>
  <si>
    <t>Flowbird</t>
  </si>
  <si>
    <t>QUU (MRP) - Water Metering Serv</t>
  </si>
  <si>
    <t>Myer FM NSW Shopfitting Serv Del</t>
  </si>
  <si>
    <t>Telstra Wireless E2E NSW</t>
  </si>
  <si>
    <t>EU-OPERATIONS - NSW.8701</t>
  </si>
  <si>
    <t>NSW Sch#1 Glenwood HS Maintenance</t>
  </si>
  <si>
    <t>nbn MAC OHD - QLD</t>
  </si>
  <si>
    <t>Sydney RU Management</t>
  </si>
  <si>
    <t>IND East - Wollongong OH</t>
  </si>
  <si>
    <t>Redland Meter Reading</t>
  </si>
  <si>
    <t>DOWNER SEYMOUR WHYTE JV - B2B</t>
  </si>
  <si>
    <t>Southbank Grounds Serv Del</t>
  </si>
  <si>
    <t>BSS Pre-Contracts &amp; Development</t>
  </si>
  <si>
    <t>TWB Panel NSW OH</t>
  </si>
  <si>
    <t>TWB Panel NOH</t>
  </si>
  <si>
    <t>AAT - Actew AGL Alliance Clear</t>
  </si>
  <si>
    <t>PAS Williamtown EU-Correc</t>
  </si>
  <si>
    <t>Minor Civil Services V</t>
  </si>
  <si>
    <t>PAS Canungra Overhead</t>
  </si>
  <si>
    <t>MSW North West OH (Clearing)</t>
  </si>
  <si>
    <t>GSC Warrnambool Depot</t>
  </si>
  <si>
    <t>Transgrid - Line 10 &amp; Line 11</t>
  </si>
  <si>
    <t>Plant - Myrtleford</t>
  </si>
  <si>
    <t>Skilltech Management</t>
  </si>
  <si>
    <t>Barwon Water Smartpipe Serv Del</t>
  </si>
  <si>
    <t>QLD INS STH2-Asset Insp Ergon</t>
  </si>
  <si>
    <t>Amberley BSSC</t>
  </si>
  <si>
    <t>Minor Works - Electrical - LB</t>
  </si>
  <si>
    <t>GSC Geelong Support</t>
  </si>
  <si>
    <t>South Gippsland Water - WMS</t>
  </si>
  <si>
    <t>FMS SA Trade Team Overhead</t>
  </si>
  <si>
    <t>UniAdl Electrical Serv Del</t>
  </si>
  <si>
    <t>Construction Vic</t>
  </si>
  <si>
    <t>CCEP NSW Ops Mgmt Serv Del</t>
  </si>
  <si>
    <t>Central Region Bundle 1</t>
  </si>
  <si>
    <t>Plant - UG East</t>
  </si>
  <si>
    <t>Utilities - Legacy 370</t>
  </si>
  <si>
    <t>Hobart Minor Civil Ser</t>
  </si>
  <si>
    <t>Asphalt Production She</t>
  </si>
  <si>
    <t>SEQ General Indirects Serv Del</t>
  </si>
  <si>
    <t>NCM NSW</t>
  </si>
  <si>
    <t>HV Small Works FY 21</t>
  </si>
  <si>
    <t>Ross River SF O&amp;M</t>
  </si>
  <si>
    <t>ACTION - Transport Canberra</t>
  </si>
  <si>
    <t>Clyde Road Early Works</t>
  </si>
  <si>
    <t>National Laboratory</t>
  </si>
  <si>
    <t>QLD Floats</t>
  </si>
  <si>
    <t>VIC Sch Management</t>
  </si>
  <si>
    <t>AWMA Clean</t>
  </si>
  <si>
    <t>PAS Williamtown Overhead</t>
  </si>
  <si>
    <t>GSC Geelong Depot</t>
  </si>
  <si>
    <t>VIC Sch Mernda Central P-6 Grounds</t>
  </si>
  <si>
    <t>Mechanical Hexham Works</t>
  </si>
  <si>
    <t>Harman Clean</t>
  </si>
  <si>
    <t>Yr 9 16/17 PSMC - NE</t>
  </si>
  <si>
    <t>Brisbane Clean</t>
  </si>
  <si>
    <t>Berrybank 2 - TXL Only</t>
  </si>
  <si>
    <t>Harman Zone Project - TXL</t>
  </si>
  <si>
    <t>GE RNC Plant Pool</t>
  </si>
  <si>
    <t>Cairns Clean</t>
  </si>
  <si>
    <t>NSW Sch#2 Ashtonfield PS Maint</t>
  </si>
  <si>
    <t>LANDFILL OPERATIONS</t>
  </si>
  <si>
    <t>T&amp;CS National OH</t>
  </si>
  <si>
    <t>Qld Uni - Precinct</t>
  </si>
  <si>
    <t>SA Housing Mgt Fee Admin OH</t>
  </si>
  <si>
    <t>Amberley Cleaning</t>
  </si>
  <si>
    <t>Harman Zone Project - Subs</t>
  </si>
  <si>
    <t>Capability</t>
  </si>
  <si>
    <t>Sundry Mech Projects - S/East</t>
  </si>
  <si>
    <t>HQJOC Cleaning Serv Del</t>
  </si>
  <si>
    <t>1000/16016869</t>
  </si>
  <si>
    <t>SW Branch Operations FY21</t>
  </si>
  <si>
    <t>PTA (Train) - Joondalup Line Trains</t>
  </si>
  <si>
    <t>Ausgrid Management</t>
  </si>
  <si>
    <t>Qenos Altona Mgmt &amp; Admin SD</t>
  </si>
  <si>
    <t>Canungra Transport</t>
  </si>
  <si>
    <t>PAS RAAF Richmond Overhead</t>
  </si>
  <si>
    <t>Orica Yarwun Maintenance</t>
  </si>
  <si>
    <t>CAT Facility Maint Electrician</t>
  </si>
  <si>
    <t>Adelaide Metro Mgmt &amp; Admin OH</t>
  </si>
  <si>
    <t>Plant Department - Renewables</t>
  </si>
  <si>
    <t>NT Southern Ops Suppor</t>
  </si>
  <si>
    <t>AIM FM Overhead</t>
  </si>
  <si>
    <t>EMOS Transition</t>
  </si>
  <si>
    <t>Victoria Production Su</t>
  </si>
  <si>
    <t>8303 Townsville CC Smartpipe SD</t>
  </si>
  <si>
    <t>Electrical Minor Projects</t>
  </si>
  <si>
    <t>Hume Workshop</t>
  </si>
  <si>
    <t>UniAdl Carpentry Serv Del</t>
  </si>
  <si>
    <t>PG CS ENERGY ALLIANCE OH</t>
  </si>
  <si>
    <t>BHP Food Services</t>
  </si>
  <si>
    <t>NSW WhoG Mgt Overhead</t>
  </si>
  <si>
    <t>Asphalt Production Gos</t>
  </si>
  <si>
    <t>Hexham Factory Works 2023</t>
  </si>
  <si>
    <t>ESC Plant - Beaconsfield</t>
  </si>
  <si>
    <t>Pipetech National</t>
  </si>
  <si>
    <t>Substations - DUA</t>
  </si>
  <si>
    <t>Mornington Cleansing</t>
  </si>
  <si>
    <t>Transport Sydney</t>
  </si>
  <si>
    <t>Univ of Melb - Management &amp; Admin</t>
  </si>
  <si>
    <t>PAS Brisbane EU- Correct</t>
  </si>
  <si>
    <t>PGI West WA Plant</t>
  </si>
  <si>
    <t>PD NSWPF Overhead</t>
  </si>
  <si>
    <t>RAAF Williamtown HV</t>
  </si>
  <si>
    <t>APA VIC Maintenance Depot</t>
  </si>
  <si>
    <t>PAS Darling Downs Overhead</t>
  </si>
  <si>
    <t>WA Regional Laying Ser</t>
  </si>
  <si>
    <t>Darling Downs Clean</t>
  </si>
  <si>
    <t>Sunbury O&amp;M</t>
  </si>
  <si>
    <t>Rockhampton Clean</t>
  </si>
  <si>
    <t>ESC Underground Support</t>
  </si>
  <si>
    <t>Manufacturing OH</t>
  </si>
  <si>
    <t>133 Overheads &amp; Assets</t>
  </si>
  <si>
    <t>PAS Amberley EU- Prevent</t>
  </si>
  <si>
    <t>PAS BSC - Cairns Overhead</t>
  </si>
  <si>
    <t>Floats Sydney</t>
  </si>
  <si>
    <t>GSC Horsham Depot</t>
  </si>
  <si>
    <t>SCUH Management &amp; Admin SD</t>
  </si>
  <si>
    <t>Nebo Substation</t>
  </si>
  <si>
    <t>4053 City of Gold Coast MtrReplcem</t>
  </si>
  <si>
    <t>Automation FY21</t>
  </si>
  <si>
    <t>PAS Canberra Trng Bases EU-Correc</t>
  </si>
  <si>
    <t>Airports General Delivery</t>
  </si>
  <si>
    <t>8369 NT PWC Embed MRP</t>
  </si>
  <si>
    <t>Cannington Emulsion</t>
  </si>
  <si>
    <t>Pipetech NSW/ACT</t>
  </si>
  <si>
    <t>VIC / SA / TAS OH</t>
  </si>
  <si>
    <t>Asphalt Prod Bathurst (New)</t>
  </si>
  <si>
    <t>DHHS DFATS FM Serv Del</t>
  </si>
  <si>
    <t>Bluescope Hastings</t>
  </si>
  <si>
    <t>1000/13000926</t>
  </si>
  <si>
    <t>Deakin Uni Geelong Waterfront Cmps</t>
  </si>
  <si>
    <t>PAS Shoalhaven EU- Correc</t>
  </si>
  <si>
    <t>PAS Amberley EU- Correc</t>
  </si>
  <si>
    <t>ACT Region Mgt Overhead</t>
  </si>
  <si>
    <t>Qld EMOS Mgt</t>
  </si>
  <si>
    <t>PAS Amberley Overhead</t>
  </si>
  <si>
    <t>Stanwell Unit 1 Major Overhaul</t>
  </si>
  <si>
    <t>ESC New Connections</t>
  </si>
  <si>
    <t>NQ Region Mgt Overhead</t>
  </si>
  <si>
    <t>PAS BSC - TWS Sth TARM</t>
  </si>
  <si>
    <t>Utilities Facility Nth Syd</t>
  </si>
  <si>
    <t>QLD Emulsion</t>
  </si>
  <si>
    <t>Newcastle Industrial Overheads</t>
  </si>
  <si>
    <t>Clare SF O&amp;M</t>
  </si>
  <si>
    <t>ESC Corporate Support</t>
  </si>
  <si>
    <t>GSC Ararat Depot</t>
  </si>
  <si>
    <t>Transgrid ? Lines 998/94U</t>
  </si>
  <si>
    <t>Avive - Brisbane-Hard FM</t>
  </si>
  <si>
    <t>DBS Duralie</t>
  </si>
  <si>
    <t>CSL Proj Mgt Serv Del</t>
  </si>
  <si>
    <t>NSW Sch#1 Shrwd Ridge PS Maint</t>
  </si>
  <si>
    <t>TAFE Qld Loganlea</t>
  </si>
  <si>
    <t>Berrybank 2 - Substations Only</t>
  </si>
  <si>
    <t>TMP Management OH</t>
  </si>
  <si>
    <t>PAS BSC - Towns N Overhead</t>
  </si>
  <si>
    <t>NEMA VicRoads O/H</t>
  </si>
  <si>
    <t>Autocare Laverton Nth Core Serv Del</t>
  </si>
  <si>
    <t>Bango Wind Farm</t>
  </si>
  <si>
    <t>PCEC - Maintenance Home SD</t>
  </si>
  <si>
    <t>Orange Hosp - Orange Opertnl OH</t>
  </si>
  <si>
    <t>NSW Maintenance Servic</t>
  </si>
  <si>
    <t>Shoalhaven  Airfield Ops</t>
  </si>
  <si>
    <t>Tasmania RUM</t>
  </si>
  <si>
    <t>TFO ARCW VIC OH Direct</t>
  </si>
  <si>
    <t>Seymour - Support</t>
  </si>
  <si>
    <t>Plant Pool - Aust East</t>
  </si>
  <si>
    <t>UU-WW-NonRecoverable</t>
  </si>
  <si>
    <t>Proserpine WWTP</t>
  </si>
  <si>
    <t>Berry to Bomaderry Works</t>
  </si>
  <si>
    <t>GSC Colac Depot</t>
  </si>
  <si>
    <t>Transgrid - Lines 94T_945</t>
  </si>
  <si>
    <t>Support - Manufacturing</t>
  </si>
  <si>
    <t>HFC FTTC MIMA Proj Closeout</t>
  </si>
  <si>
    <t>FTTC Program OH Project</t>
  </si>
  <si>
    <t>Myer FM NSW Plumbing Serv Del</t>
  </si>
  <si>
    <t>Cairns Transport</t>
  </si>
  <si>
    <t>CH0102-Orange SD Security</t>
  </si>
  <si>
    <t>PAS Liverpool Mil Area Land</t>
  </si>
  <si>
    <t>Laboratory Wodonga</t>
  </si>
  <si>
    <t>EAST PRESTON OPERATIONS</t>
  </si>
  <si>
    <t>WesCEF Electrical</t>
  </si>
  <si>
    <t>RAP/Recycling - Rosehill Devon</t>
  </si>
  <si>
    <t>GSC Ballarat Depot</t>
  </si>
  <si>
    <t>PAS Shoalhaven Land</t>
  </si>
  <si>
    <t>RAP/Recycling</t>
  </si>
  <si>
    <t>NSW Sch#1 JohnEdm HS Maintenance</t>
  </si>
  <si>
    <t>RAAF BASE TINDAL Stage 2</t>
  </si>
  <si>
    <t>Orange Hosp - Bloomfield Overhead</t>
  </si>
  <si>
    <t>Power Systems East - DUA</t>
  </si>
  <si>
    <t>PAS Kapooka MA EU-Correc</t>
  </si>
  <si>
    <t>OM&amp;S Operational Services</t>
  </si>
  <si>
    <t>Vales Point Power Station Work</t>
  </si>
  <si>
    <t>CPT North Project Work Orders</t>
  </si>
  <si>
    <t>TG PEC Scope 2</t>
  </si>
  <si>
    <t>Avive - Mt Eliza-Hard FM</t>
  </si>
  <si>
    <t>IT Infra Design &amp; Solutions</t>
  </si>
  <si>
    <t>Myer FM QLD Electrical Serv Del</t>
  </si>
  <si>
    <t>Royal Parade Management</t>
  </si>
  <si>
    <t>Direct OH (Child 5)</t>
  </si>
  <si>
    <t>Emulsions Operations</t>
  </si>
  <si>
    <t>Shoalhaven Overhead</t>
  </si>
  <si>
    <t>Ross River Solar Farm</t>
  </si>
  <si>
    <t>Melb Transport (Excl F</t>
  </si>
  <si>
    <t>NSW RU Management</t>
  </si>
  <si>
    <t>PAS Brisbane EU- Prevent</t>
  </si>
  <si>
    <t>Vic Sch Inner CSM4 Overhead</t>
  </si>
  <si>
    <t>Facilities Services - Sec Admin</t>
  </si>
  <si>
    <t>Canungra Land</t>
  </si>
  <si>
    <t>ASMTI Shoalwater Bay Expansion</t>
  </si>
  <si>
    <t>PAS Singleton Overhead</t>
  </si>
  <si>
    <t>QTMP MFG Facility Torbanlea</t>
  </si>
  <si>
    <t>TFO Wideband NOH Indirect</t>
  </si>
  <si>
    <t>Airports Operational Services</t>
  </si>
  <si>
    <t>NSW Sch#1 Dapto PS Maintenance</t>
  </si>
  <si>
    <t>Orange Hosp - Admin Serv. Del.</t>
  </si>
  <si>
    <t>NSW Sch#1 Woongarrah PS Maintenance</t>
  </si>
  <si>
    <t>AWMA Transport</t>
  </si>
  <si>
    <t>Yarra Ranges CT1960</t>
  </si>
  <si>
    <t>RAP/Recycling - Melbourne</t>
  </si>
  <si>
    <t>Downer EDI Rail - Cardiff Security</t>
  </si>
  <si>
    <t>Colongra Maintenance</t>
  </si>
  <si>
    <t>RPS - Finance</t>
  </si>
  <si>
    <t>VIC Schools Bayside CSM5 Overhead</t>
  </si>
  <si>
    <t>WesCEF Access Works</t>
  </si>
  <si>
    <t>Orange Hosp - Bathurst Optnl OH</t>
  </si>
  <si>
    <t>E&amp;T Plant</t>
  </si>
  <si>
    <t>Mechanical Labour Hire</t>
  </si>
  <si>
    <t>Vic Sch Inner CSM1 Overhead</t>
  </si>
  <si>
    <t>OM&amp;S  DEL</t>
  </si>
  <si>
    <t>Downer RAAF Base Williamtown</t>
  </si>
  <si>
    <t>VEC Plant &amp; Equipment</t>
  </si>
  <si>
    <t>Brisbane Transport</t>
  </si>
  <si>
    <t>RAAF Base Wagga Airfield Ops</t>
  </si>
  <si>
    <t>IS Business Support</t>
  </si>
  <si>
    <t>NSW Sch#2 RopesCross PS Maintenance</t>
  </si>
  <si>
    <t>EQL South East Reading</t>
  </si>
  <si>
    <t>Asphalt Production Dar</t>
  </si>
  <si>
    <t>QLD - Overhead</t>
  </si>
  <si>
    <t>Gorgon - Plant</t>
  </si>
  <si>
    <t>MWE Kogan Outage 2022</t>
  </si>
  <si>
    <t>E&amp;C - P&amp;G Project East</t>
  </si>
  <si>
    <t>GSC Portland Depot</t>
  </si>
  <si>
    <t>CARDIFF OVERHEADS</t>
  </si>
  <si>
    <t>TGPEC Scope 1</t>
  </si>
  <si>
    <t>Plant Drilling (Child 3)</t>
  </si>
  <si>
    <t>WA Sch - Landsdale East PS Grounds</t>
  </si>
  <si>
    <t>NSW Sch#2 Rouse Hill HS Maintenance</t>
  </si>
  <si>
    <t>Tomago Maintenance Services</t>
  </si>
  <si>
    <t>MIMA QLD OH</t>
  </si>
  <si>
    <t>Estate Dev&amp;Base Upgrades Admin SD</t>
  </si>
  <si>
    <t>Asphalt Production Lau</t>
  </si>
  <si>
    <t>Moolarben Undergroun</t>
  </si>
  <si>
    <t>Vic Sch Bayside CSM2 Overhead</t>
  </si>
  <si>
    <t>NSW Sch#2 Kariong Mtns HS Maint</t>
  </si>
  <si>
    <t>Canungra Clean</t>
  </si>
  <si>
    <t>Downer Security Maryborough QLD SD</t>
  </si>
  <si>
    <t>PAS Brisbane TARM</t>
  </si>
  <si>
    <t>QTMP Main Facility Ormeau</t>
  </si>
  <si>
    <t>Transmission - DUA</t>
  </si>
  <si>
    <t>Wheatstone - Work Orders</t>
  </si>
  <si>
    <t>PAS Darling Downs EU- Prevent</t>
  </si>
  <si>
    <t>C2090 5 KEY BRIDGES</t>
  </si>
  <si>
    <t>Amberley Overhead</t>
  </si>
  <si>
    <t>Orange Hosp - Cleaning Serv. Del</t>
  </si>
  <si>
    <t>EMOS OH Asset Technical Services</t>
  </si>
  <si>
    <t>PCEC - Sales &amp; Marketing SD</t>
  </si>
  <si>
    <t>PAS Darling Downs Land</t>
  </si>
  <si>
    <t>PAS Williamtown EU-Prevent</t>
  </si>
  <si>
    <t>Asphalt Production Str</t>
  </si>
  <si>
    <t>BHP Grounds &amp; Gardens</t>
  </si>
  <si>
    <t>WA Unify Direct OH</t>
  </si>
  <si>
    <t>South Bank Contract Mgmt Serv Del</t>
  </si>
  <si>
    <t>PAS BSC - RCK Overhead</t>
  </si>
  <si>
    <t>Shoalhaven  Range &amp; Training</t>
  </si>
  <si>
    <t>PAS Canungra EU- Prevent</t>
  </si>
  <si>
    <t>NSW Sch#2 Halinda SSP Maintenance</t>
  </si>
  <si>
    <t>Balance Sheet</t>
  </si>
  <si>
    <t>LWIA PM005 Office Costs</t>
  </si>
  <si>
    <t>NSW Sch#1 Ironbark Rdg PS Maint</t>
  </si>
  <si>
    <t>PS Project Development</t>
  </si>
  <si>
    <t>MNC Management Overhead</t>
  </si>
  <si>
    <t>Blackwater 2018 3Yr Plt</t>
  </si>
  <si>
    <t>QTMP PMS Base Scope</t>
  </si>
  <si>
    <t>PLQ Gladstone to Boyne</t>
  </si>
  <si>
    <t>Services - Metallurgical</t>
  </si>
  <si>
    <t>Murra Warra</t>
  </si>
  <si>
    <t>RPS Zero Harm Clrg</t>
  </si>
  <si>
    <t>Qld EMOS Mgt Overhead</t>
  </si>
  <si>
    <t>Asphalt Production Kar</t>
  </si>
  <si>
    <t>Bluescope Hastings Overhead</t>
  </si>
  <si>
    <t>NSW Sch#2 Warnervale PS Maintenance</t>
  </si>
  <si>
    <t>NSW Sch#1 Tallowood SS Maintenance</t>
  </si>
  <si>
    <t>QLD BU OHDS</t>
  </si>
  <si>
    <t>VIC Sch Mernda Sth PS Grounds</t>
  </si>
  <si>
    <t>MAYNE OVERHEADS</t>
  </si>
  <si>
    <t>PAS BSC - TWS Sth EU- Prevent</t>
  </si>
  <si>
    <t>PAS RAAF Richmond EU- Correc</t>
  </si>
  <si>
    <t>Plant West - DEP</t>
  </si>
  <si>
    <t>RAIL RECHARGE - TLS</t>
  </si>
  <si>
    <t>Landfill - Copping</t>
  </si>
  <si>
    <t>PAS Darling Downs EU- Correc</t>
  </si>
  <si>
    <t>Amberley Transport</t>
  </si>
  <si>
    <t>PAS Canberra Trng Bases Land</t>
  </si>
  <si>
    <t>Canberra Training Bases Mgt</t>
  </si>
  <si>
    <t>PAS Brisbane Land</t>
  </si>
  <si>
    <t>VIC Sch Armstrong Ck EDUPrecGrounds</t>
  </si>
  <si>
    <t>PAS Amberley Land</t>
  </si>
  <si>
    <t>VIC DES-Design General</t>
  </si>
  <si>
    <t>Sunbury WWTP D&amp;C</t>
  </si>
  <si>
    <t>Maintenance North Over</t>
  </si>
  <si>
    <t>Mogo Workshop</t>
  </si>
  <si>
    <t>PAS Singleton EU-Correc</t>
  </si>
  <si>
    <t>Asphalt Production Bat</t>
  </si>
  <si>
    <t>Special Frces Training Fac-Holswrthy</t>
  </si>
  <si>
    <t>NSW Sch#2 Elderslie PS Maintenance</t>
  </si>
  <si>
    <t>PCEC - Food &amp; Beverage SD</t>
  </si>
  <si>
    <t>Bathurst Hosp - Cleaning Serv. Del.</t>
  </si>
  <si>
    <t>Vic Sch Bayside CSM1 Overhead</t>
  </si>
  <si>
    <t>CS0101-Food Safety</t>
  </si>
  <si>
    <t>GE RNC Mobilisation</t>
  </si>
  <si>
    <t>NQLD Service OH (DEP)</t>
  </si>
  <si>
    <t>Santos Upstream Services</t>
  </si>
  <si>
    <t>Beryl Solar Farm</t>
  </si>
  <si>
    <t>WA Sch - Baldivis PS Grounds</t>
  </si>
  <si>
    <t>Myer FM NSW Mgmt Serv Del</t>
  </si>
  <si>
    <t>NSW Sch#1 Kllyv Ridge PS Maint</t>
  </si>
  <si>
    <t>Asphalt Production Rosehill</t>
  </si>
  <si>
    <t>PAS BSC - TWS Sth EU- Correc</t>
  </si>
  <si>
    <t>PAS Kapooka MA EU- Prevent</t>
  </si>
  <si>
    <t>Plant Department ? Comms</t>
  </si>
  <si>
    <t>PAS Singleton TARM</t>
  </si>
  <si>
    <t>NSW Sch#1 Shell Cove PS Maintenance</t>
  </si>
  <si>
    <t>nRAH Facilities Management Services</t>
  </si>
  <si>
    <t>NSW Sch#2 Tullimbar PS Maintenance</t>
  </si>
  <si>
    <t>Darwin LNG</t>
  </si>
  <si>
    <t>PG SS NGT OH</t>
  </si>
  <si>
    <t>I&amp;E West - Ropes &amp; Other</t>
  </si>
  <si>
    <t>Wambo TXL</t>
  </si>
  <si>
    <t>OTR AU WR - St Ives</t>
  </si>
  <si>
    <t>PAS Liverpool Mil Area EU- Correc</t>
  </si>
  <si>
    <t>E&amp;O-Mackay Ops &amp; Maint. PARENT</t>
  </si>
  <si>
    <t>PAS RAAF Richmond EU- Prevent</t>
  </si>
  <si>
    <t>LWIA PBE090 Alfred Street Risi</t>
  </si>
  <si>
    <t>Hope Valley Production</t>
  </si>
  <si>
    <t>Rail Major Project HCMT OH</t>
  </si>
  <si>
    <t>PAS Canberra Trng Bases TARM</t>
  </si>
  <si>
    <t>Qenos Botany Cleaning SD</t>
  </si>
  <si>
    <t>PAS Canungra EU- Correc</t>
  </si>
  <si>
    <t>PAS Kapooka MA TARM</t>
  </si>
  <si>
    <t>PAS BSC - Cairns EU- Prevent</t>
  </si>
  <si>
    <t>PAS BSC - Towns N Land</t>
  </si>
  <si>
    <t>NSW Sch#2 Middleton Gr PS Maint</t>
  </si>
  <si>
    <t>PAS Liverpool Mil Area EU- Prevent</t>
  </si>
  <si>
    <t>CARDIFF FACILITIES MAINTENANCE</t>
  </si>
  <si>
    <t>Scaffolding</t>
  </si>
  <si>
    <t>ESC Logistics Support</t>
  </si>
  <si>
    <t>WA Sch - Harrisdale SS Grounds</t>
  </si>
  <si>
    <t>QLD &amp; VIC Proc. &amp; Supply Chain</t>
  </si>
  <si>
    <t>DHL BMS Engineering Serv Del</t>
  </si>
  <si>
    <t>NSW/VIC RU Management</t>
  </si>
  <si>
    <t>PAS Liverpool Mil Area TARM</t>
  </si>
  <si>
    <t>PG Plant (MHPS)</t>
  </si>
  <si>
    <t>PAS BSC - TWS Sth Land</t>
  </si>
  <si>
    <t>PAS Sydney &amp; Metro Army EU-Correc</t>
  </si>
  <si>
    <t>SSV General</t>
  </si>
  <si>
    <t>PAS Sydney &amp; Metro Army EU-Prevent</t>
  </si>
  <si>
    <t>ChCh EQ SCIRT Work</t>
  </si>
  <si>
    <t>Numurkah O&amp;M</t>
  </si>
  <si>
    <t>IND ELECTRICAL West OH (DEL)</t>
  </si>
  <si>
    <t>Numurkah SF O&amp;M</t>
  </si>
  <si>
    <t>Powercor Support</t>
  </si>
  <si>
    <t>RPQ Fleet Pool</t>
  </si>
  <si>
    <t>Clare Solar Farm</t>
  </si>
  <si>
    <t>TfNSW - MIG - Minto Ingleburn</t>
  </si>
  <si>
    <t>GSC Contract Manager</t>
  </si>
  <si>
    <t>Transgrid ? Line 99F</t>
  </si>
  <si>
    <t>GSC Mains &amp; Services Support</t>
  </si>
  <si>
    <t>NEWCASTLE LIGHT RAIL MNG CONT</t>
  </si>
  <si>
    <t>EU-BRISBANE OPS.8512</t>
  </si>
  <si>
    <t>National - Overhead</t>
  </si>
  <si>
    <t>Bluescope No.6BF ? ECI</t>
  </si>
  <si>
    <t>APLNG Well Site M&amp;E</t>
  </si>
  <si>
    <t>PAS Williamtown Land</t>
  </si>
  <si>
    <t>NCM VIC</t>
  </si>
  <si>
    <t>NTPWC Elizabeth Parent</t>
  </si>
  <si>
    <t>Darwin Maintenance</t>
  </si>
  <si>
    <t>AWMA Range &amp; Training</t>
  </si>
  <si>
    <t>PAS Canungra TARM</t>
  </si>
  <si>
    <t>Nyrstar</t>
  </si>
  <si>
    <t>Telstra Wideband VIC OH</t>
  </si>
  <si>
    <t>AES Mackay Projects</t>
  </si>
  <si>
    <t>PAS Fleet Base Estab EU- Correc</t>
  </si>
  <si>
    <t>NT Northern Ops Suppor</t>
  </si>
  <si>
    <t>PAS Shoalhaven Aero</t>
  </si>
  <si>
    <t>Utilities - Finance</t>
  </si>
  <si>
    <t>PAS Kapooka MA Land</t>
  </si>
  <si>
    <t>PAS Singleton EU- Prevent</t>
  </si>
  <si>
    <t>Maint Support - LGA</t>
  </si>
  <si>
    <t>PAS Shoalhaven TARM</t>
  </si>
  <si>
    <t>BlueScope No.6 BF Early Works</t>
  </si>
  <si>
    <t>PAS Amberley Aero</t>
  </si>
  <si>
    <t>EU-BRISBANE PROJECTS O'HEADS.8515</t>
  </si>
  <si>
    <t>PAS Canungra Land</t>
  </si>
  <si>
    <t>Channel Island C6 Overhaul</t>
  </si>
  <si>
    <t>BHP Yarnima TLine SP1 &amp; SP2</t>
  </si>
  <si>
    <t>RE O&amp;M clrg</t>
  </si>
  <si>
    <t>ESC Thomastown Support</t>
  </si>
  <si>
    <t>Pre-Contracts Management</t>
  </si>
  <si>
    <t>UE Fleet &amp; Assets</t>
  </si>
  <si>
    <t>GSC Derrimut Support</t>
  </si>
  <si>
    <t>ITS Labour &amp; Light Vehicles</t>
  </si>
  <si>
    <t>Santos Upstream Development</t>
  </si>
  <si>
    <t>PAS Williamtown Aero</t>
  </si>
  <si>
    <t>PAS BSC - Towns N EU- Correc</t>
  </si>
  <si>
    <t>PAS Singleton Land</t>
  </si>
  <si>
    <t>Asset Management Overhead</t>
  </si>
  <si>
    <t>PAS Sydney Maritime Estab EU- Correc</t>
  </si>
  <si>
    <t>FTTC NSW C Construction OH</t>
  </si>
  <si>
    <t>PAS RAAF Richmond Land</t>
  </si>
  <si>
    <t>FTTC NSW S Construction OH</t>
  </si>
  <si>
    <t>Asphalt Production Nar</t>
  </si>
  <si>
    <t>O'Herns Road - Stage 2 Upgrade</t>
  </si>
  <si>
    <t>PAS BSC - Towns N EU- Prevent</t>
  </si>
  <si>
    <t>WA Civil Works</t>
  </si>
  <si>
    <t>South East Region OH</t>
  </si>
  <si>
    <t>AES &amp; Son NQ QLD T HUB contracts</t>
  </si>
  <si>
    <t>DHS Melbourne Serv Del</t>
  </si>
  <si>
    <t>Darling Downs Overhead</t>
  </si>
  <si>
    <t>Construction Staff South</t>
  </si>
  <si>
    <t>Construction Staff North</t>
  </si>
  <si>
    <t>Kainga Ora-MGMK (Manukau/Mangere)</t>
  </si>
  <si>
    <t>Wellington - WM 251</t>
  </si>
  <si>
    <t>GR Services Pre Connect</t>
  </si>
  <si>
    <t>NSpark Mobile Network National</t>
  </si>
  <si>
    <t>Kainga Ora - WEL (Wellington)</t>
  </si>
  <si>
    <t>Waiouru Grounds Serv Del</t>
  </si>
  <si>
    <t>Projects Corrections &amp; JusticeDEL</t>
  </si>
  <si>
    <t>Adelaide - Normanton to Geor</t>
  </si>
  <si>
    <t>Manuwatu Overhead</t>
  </si>
  <si>
    <t>Milling</t>
  </si>
  <si>
    <t>South Island CorrectionsDEL</t>
  </si>
  <si>
    <t>Masterton - Subs 241</t>
  </si>
  <si>
    <t>Lower North Island CorrectionsDEL</t>
  </si>
  <si>
    <t>AOR Specials-Welington_Mgt</t>
  </si>
  <si>
    <t>People - Const. Otago Southlnd</t>
  </si>
  <si>
    <t>Northern CorrectionsDEL</t>
  </si>
  <si>
    <t>AOR Specials-Ctrl_Auckland</t>
  </si>
  <si>
    <t>Central RegionalDEL</t>
  </si>
  <si>
    <t>Gas Wellington Tech Direct OH</t>
  </si>
  <si>
    <t>Linton Cleaning Serv Del</t>
  </si>
  <si>
    <t>NZ Sch-Sylvester PS Works</t>
  </si>
  <si>
    <t>1000/26020680</t>
  </si>
  <si>
    <t>TBA</t>
  </si>
  <si>
    <t>Palmerston North Substation</t>
  </si>
  <si>
    <t>Central CorrectionsDEL</t>
  </si>
  <si>
    <t>LINZ Contract OH</t>
  </si>
  <si>
    <t>People (TC - Tasman)</t>
  </si>
  <si>
    <t>SQ&amp;E</t>
  </si>
  <si>
    <t>AOR Specials-Palmerston North</t>
  </si>
  <si>
    <t>Plant - Microsurfacing</t>
  </si>
  <si>
    <t>NULL</t>
  </si>
  <si>
    <t>Ohakea Operations Admin ServDel</t>
  </si>
  <si>
    <t>Aluminium Smelters Ltd</t>
  </si>
  <si>
    <t>1000/26020749</t>
  </si>
  <si>
    <t>AOR Specials-Tauranga</t>
  </si>
  <si>
    <t>Burnham Grounds Service Delivery</t>
  </si>
  <si>
    <t>NZ Steel Overhead</t>
  </si>
  <si>
    <t>Estimating</t>
  </si>
  <si>
    <t>Wiri PPP Overhead</t>
  </si>
  <si>
    <t>1000/26020735</t>
  </si>
  <si>
    <t>1000/26020736</t>
  </si>
  <si>
    <t>AOR Specials-Hamilton1</t>
  </si>
  <si>
    <t>Ciber Mobile Asphalt Plant</t>
  </si>
  <si>
    <t>Inventory and Procurement</t>
  </si>
  <si>
    <t>1000/26020751</t>
  </si>
  <si>
    <t>1000/26020723</t>
  </si>
  <si>
    <t>1000/26020742</t>
  </si>
  <si>
    <t>AOR Specials-Christchurch1</t>
  </si>
  <si>
    <t>Northern RegionalDEL</t>
  </si>
  <si>
    <t>10.075 Fibre Conn Lake District C Ota</t>
  </si>
  <si>
    <t>AOR Specials-Whangarei</t>
  </si>
  <si>
    <t>1000/26020683</t>
  </si>
  <si>
    <t>Palmerston North Lines Super</t>
  </si>
  <si>
    <t>1000/26020682</t>
  </si>
  <si>
    <t>Ohakea Grounds Serv Del</t>
  </si>
  <si>
    <t>1000/26020752</t>
  </si>
  <si>
    <t>WEL Networks - Indirect Costs</t>
  </si>
  <si>
    <t>AOR Specials-Nelson2</t>
  </si>
  <si>
    <t>Invercargill AOR</t>
  </si>
  <si>
    <t>SSL NZ Def Kensington Army Hall</t>
  </si>
  <si>
    <t>1000/26020744</t>
  </si>
  <si>
    <t>Waiouru Admin Serv Del.</t>
  </si>
  <si>
    <t>1000/26020737</t>
  </si>
  <si>
    <t>Plant - Rejuv Surfacing</t>
  </si>
  <si>
    <t>1000/26020750</t>
  </si>
  <si>
    <t>WE - DESIGN</t>
  </si>
  <si>
    <t>AOR Specials-Dunedin4</t>
  </si>
  <si>
    <t>Kenepuru Patient Food Serv. Del.</t>
  </si>
  <si>
    <t>AOR Specials-Hawkes_Bay</t>
  </si>
  <si>
    <t>Linton Grounds Serv Del</t>
  </si>
  <si>
    <t>Linton Operations Serv Del.</t>
  </si>
  <si>
    <t>1000/26020745</t>
  </si>
  <si>
    <t>Regional Mgt-Dunedin</t>
  </si>
  <si>
    <t>Ohakea Cleaning Serv. Del.</t>
  </si>
  <si>
    <t>Waiouru Cleaning Serv. Del</t>
  </si>
  <si>
    <t>Oceana Gold</t>
  </si>
  <si>
    <t>Waiouru Projects Overhead</t>
  </si>
  <si>
    <t>Electricity Services Manager</t>
  </si>
  <si>
    <t>Linton Mgmt &amp; Admin Overhead</t>
  </si>
  <si>
    <t>WCC Tahiwi</t>
  </si>
  <si>
    <t>1000/26020743</t>
  </si>
  <si>
    <t>AOR Specials-Central_Otago</t>
  </si>
  <si>
    <t>Nat Ops Admin</t>
  </si>
  <si>
    <t>WEL Underground Services</t>
  </si>
  <si>
    <t>CCANZ Overhead</t>
  </si>
  <si>
    <t>Generation &amp; Private Networks</t>
  </si>
  <si>
    <t>Divisional Overheads</t>
  </si>
  <si>
    <t>Ohakea Maintenance Overhead</t>
  </si>
  <si>
    <t>Waiouru Maintenance Overhead</t>
  </si>
  <si>
    <t>Te Pukenga Witt Facilities Main</t>
  </si>
  <si>
    <t>Southern Management &amp; Admin</t>
  </si>
  <si>
    <t>1000/26020738</t>
  </si>
  <si>
    <t>AOR Specials-Gisborne</t>
  </si>
  <si>
    <t>AOR-Hawkes_Bay</t>
  </si>
  <si>
    <t>Gas Taranaki Gas Tch Direct OH</t>
  </si>
  <si>
    <t>WCC-Civic Centre</t>
  </si>
  <si>
    <t>10.033 Logistics Operations</t>
  </si>
  <si>
    <t>Linton Maintenance Overhead</t>
  </si>
  <si>
    <t>CS0201 - Call Centres NZ</t>
  </si>
  <si>
    <t>Northland Operations Overhead</t>
  </si>
  <si>
    <t>1000/26020688</t>
  </si>
  <si>
    <t>1000/26020679</t>
  </si>
  <si>
    <t>3 Waters Corrections</t>
  </si>
  <si>
    <t>Finance and Corporate Services</t>
  </si>
  <si>
    <t>BP Fairy Springs</t>
  </si>
  <si>
    <t>Kainga Ora - OTTK (Otara/Takanini)</t>
  </si>
  <si>
    <t>NZ Sch-Kumeu PS Works</t>
  </si>
  <si>
    <t>AOR Specials-Timaru</t>
  </si>
  <si>
    <t>NZ Sch-Shirley Boys HS Works</t>
  </si>
  <si>
    <t>Burnham Cleaning Serv Delivery</t>
  </si>
  <si>
    <t>Waiouru Maintenance Serv Del.</t>
  </si>
  <si>
    <t>Gore DC - RCM</t>
  </si>
  <si>
    <t>Manawatu Support Serv. Del.</t>
  </si>
  <si>
    <t>NZ Aluminium Smelters Serv Del</t>
  </si>
  <si>
    <t>AOR Specials-West_Coast</t>
  </si>
  <si>
    <t>Enterprise NZ Trust</t>
  </si>
  <si>
    <t>Gas Taranaki Indirect OH</t>
  </si>
  <si>
    <t>AOR Specials-Taranaki</t>
  </si>
  <si>
    <t>Southern Cross Food Serv. Del.</t>
  </si>
  <si>
    <t>10.074 Fibre Connect Canterbury</t>
  </si>
  <si>
    <t>1000/26020681</t>
  </si>
  <si>
    <t>AOR-Whangarei</t>
  </si>
  <si>
    <t>Mt Smart Stadium Overhead</t>
  </si>
  <si>
    <t>HamiltonCityCncilH3Claudelands</t>
  </si>
  <si>
    <t>Masterton School Serv Del</t>
  </si>
  <si>
    <t>Asset ManagementDEL</t>
  </si>
  <si>
    <t>Mt Smart Stadium Admin. Serv Del</t>
  </si>
  <si>
    <t>Linton Grounds Overhead</t>
  </si>
  <si>
    <t>Broadcast Works</t>
  </si>
  <si>
    <t>NZ Education Food-Management</t>
  </si>
  <si>
    <t>Hawkes Bay (TF1)</t>
  </si>
  <si>
    <t>L9.S.16013626</t>
  </si>
  <si>
    <t>L9.J.150220</t>
  </si>
  <si>
    <t>L9.S.16016295</t>
  </si>
  <si>
    <t>L9.S.16016729</t>
  </si>
  <si>
    <t>L9.J.302001</t>
  </si>
  <si>
    <t>L9.S.16013399</t>
  </si>
  <si>
    <t>L9.J.170935</t>
  </si>
  <si>
    <t>L9.J.170267</t>
  </si>
  <si>
    <t>L9.S.16011998</t>
  </si>
  <si>
    <t>L9.J.170811</t>
  </si>
  <si>
    <t>L9.J.241604</t>
  </si>
  <si>
    <t>L9.J.170131</t>
  </si>
  <si>
    <t>L9.J.240117</t>
  </si>
  <si>
    <t>L9.J.170860</t>
  </si>
  <si>
    <t>L9.J.170292</t>
  </si>
  <si>
    <t>L9.J.170231</t>
  </si>
  <si>
    <t>L9.J.241721</t>
  </si>
  <si>
    <t>L9.J.241733</t>
  </si>
  <si>
    <t>L9.J.170305</t>
  </si>
  <si>
    <t>L9.J.170910</t>
  </si>
  <si>
    <t>L9.J.170362</t>
  </si>
  <si>
    <t>L9.J.305001</t>
  </si>
  <si>
    <t>L9.J.241984</t>
  </si>
  <si>
    <t>L9.S.16012018</t>
  </si>
  <si>
    <t>L9.J.170266</t>
  </si>
  <si>
    <t>L9.J.241983</t>
  </si>
  <si>
    <t>L9.J.170516</t>
  </si>
  <si>
    <t>L9.J.37740097</t>
  </si>
  <si>
    <t>L9.J.170111</t>
  </si>
  <si>
    <t>L9.J.241821</t>
  </si>
  <si>
    <t>L9.S.16013433</t>
  </si>
  <si>
    <t>L9.J.170934</t>
  </si>
  <si>
    <t>L9.J.2416000202</t>
  </si>
  <si>
    <t>L9.J.239003</t>
  </si>
  <si>
    <t>L9.J.170253</t>
  </si>
  <si>
    <t>L9.J.170616</t>
  </si>
  <si>
    <t>L9.S.16015977</t>
  </si>
  <si>
    <t>L9.J.241977</t>
  </si>
  <si>
    <t>L9.J.241736</t>
  </si>
  <si>
    <t>L9.J.24160252</t>
  </si>
  <si>
    <t>L9.S.16016344</t>
  </si>
  <si>
    <t>L9.S.16011492</t>
  </si>
  <si>
    <t>L9.J.150503</t>
  </si>
  <si>
    <t>L9.J.170509</t>
  </si>
  <si>
    <t>L9.J.170351</t>
  </si>
  <si>
    <t>L9.S.16013400</t>
  </si>
  <si>
    <t>L9.J.241985</t>
  </si>
  <si>
    <t>L9.J.239012</t>
  </si>
  <si>
    <t>L9.S.16011513</t>
  </si>
  <si>
    <t>L9.S.16016228</t>
  </si>
  <si>
    <t>L9.J.170539</t>
  </si>
  <si>
    <t>L9.J.241991</t>
  </si>
  <si>
    <t>L9.J.170522</t>
  </si>
  <si>
    <t>L9.J.240106</t>
  </si>
  <si>
    <t>L9.J.241822</t>
  </si>
  <si>
    <t>L9.S.16016221</t>
  </si>
  <si>
    <t>L9.J.170353</t>
  </si>
  <si>
    <t>L9.J.241600</t>
  </si>
  <si>
    <t>L9.S.16015646</t>
  </si>
  <si>
    <t>L9.S.16016392</t>
  </si>
  <si>
    <t>L9.J.241980</t>
  </si>
  <si>
    <t>L9.S.16011418</t>
  </si>
  <si>
    <t>L9.J.71000001</t>
  </si>
  <si>
    <t>L9.J.23440098</t>
  </si>
  <si>
    <t>L9.J.241979</t>
  </si>
  <si>
    <t>L9.J.241734</t>
  </si>
  <si>
    <t>L9.J.170103</t>
  </si>
  <si>
    <t>L9.J.2416000201</t>
  </si>
  <si>
    <t>L9.J.241614</t>
  </si>
  <si>
    <t>L9.J.170260</t>
  </si>
  <si>
    <t>L9.J.170527</t>
  </si>
  <si>
    <t>L9.S.16013402</t>
  </si>
  <si>
    <t>L9.J.71300001</t>
  </si>
  <si>
    <t>L9.J.170309</t>
  </si>
  <si>
    <t>L9.J.23020001</t>
  </si>
  <si>
    <t>L9.J.170606</t>
  </si>
  <si>
    <t>L9.S.16011357</t>
  </si>
  <si>
    <t>L9.J.241602</t>
  </si>
  <si>
    <t>L9.J.382052</t>
  </si>
  <si>
    <t>L9.S.16013431</t>
  </si>
  <si>
    <t>L9.S.14000665</t>
  </si>
  <si>
    <t>L9.S.16011481</t>
  </si>
  <si>
    <t>L9.J.170102</t>
  </si>
  <si>
    <t>L9.J.241986</t>
  </si>
  <si>
    <t>L9.J.170936</t>
  </si>
  <si>
    <t>L9.J.170354</t>
  </si>
  <si>
    <t>L9.J.170107</t>
  </si>
  <si>
    <t>L9.J.170318</t>
  </si>
  <si>
    <t>L9.J.170252</t>
  </si>
  <si>
    <t>L9.S.16011464</t>
  </si>
  <si>
    <t>L9.J.170261</t>
  </si>
  <si>
    <t>L9.J.241994</t>
  </si>
  <si>
    <t>L9.J.170116</t>
  </si>
  <si>
    <t>L9.S.16011428</t>
  </si>
  <si>
    <t>L9.J.382602</t>
  </si>
  <si>
    <t>L9.J.170127</t>
  </si>
  <si>
    <t>L9.S.16013407</t>
  </si>
  <si>
    <t>L9.J.241978</t>
  </si>
  <si>
    <t>L9.J.38275032</t>
  </si>
  <si>
    <t>L9.S.16011503</t>
  </si>
  <si>
    <t>L9.J.170851</t>
  </si>
  <si>
    <t>L9.S.16011523</t>
  </si>
  <si>
    <t>L9.J.241987</t>
  </si>
  <si>
    <t>L9.S.16015016</t>
  </si>
  <si>
    <t>L9.J.241996</t>
  </si>
  <si>
    <t>L9.J.170129</t>
  </si>
  <si>
    <t>L9.S.16013449</t>
  </si>
  <si>
    <t>L9.J.23440316</t>
  </si>
  <si>
    <t>L9.S.14000280</t>
  </si>
  <si>
    <t>L9.S.16016059</t>
  </si>
  <si>
    <t>L9.S.16011461</t>
  </si>
  <si>
    <t>L9.J.38130001</t>
  </si>
  <si>
    <t>L9.J.170110</t>
  </si>
  <si>
    <t>L9.S.16011367</t>
  </si>
  <si>
    <t>L9.J.170311</t>
  </si>
  <si>
    <t>L9.J.23440032</t>
  </si>
  <si>
    <t>L9.J.241201</t>
  </si>
  <si>
    <t>L9.J.241981</t>
  </si>
  <si>
    <t>L9.S.16012005</t>
  </si>
  <si>
    <t>L9.J.23440313</t>
  </si>
  <si>
    <t>L9.J.241832</t>
  </si>
  <si>
    <t>L9.S.16016239</t>
  </si>
  <si>
    <t>L9.J.170403</t>
  </si>
  <si>
    <t>L9.J.23440025</t>
  </si>
  <si>
    <t>L9.S.16011408</t>
  </si>
  <si>
    <t>L9.S.16011510</t>
  </si>
  <si>
    <t>L9.J.23440140</t>
  </si>
  <si>
    <t>L9.J.170521</t>
  </si>
  <si>
    <t>L9.J.241835</t>
  </si>
  <si>
    <t>L9.J.170954</t>
  </si>
  <si>
    <t>L9.J.23440242</t>
  </si>
  <si>
    <t>L9.J.170263</t>
  </si>
  <si>
    <t>L9.S.16011364</t>
  </si>
  <si>
    <t>L9.J.170518</t>
  </si>
  <si>
    <t>L9.J.23440181</t>
  </si>
  <si>
    <t>L9.J.170829</t>
  </si>
  <si>
    <t>L9.J.170259</t>
  </si>
  <si>
    <t>L9.S.16012384</t>
  </si>
  <si>
    <t>L9.J.24180042</t>
  </si>
  <si>
    <t>L9.J.170812</t>
  </si>
  <si>
    <t>L9.S.16013442</t>
  </si>
  <si>
    <t>L9.S.16011451</t>
  </si>
  <si>
    <t>L9.J.38220073</t>
  </si>
  <si>
    <t>L9.J.170312</t>
  </si>
  <si>
    <t>L9.S.16016100</t>
  </si>
  <si>
    <t>L9.S.16012364</t>
  </si>
  <si>
    <t>L9.J.241618</t>
  </si>
  <si>
    <t>L9.J.382201</t>
  </si>
  <si>
    <t>L9.J.241811</t>
  </si>
  <si>
    <t>L9.J.38215138</t>
  </si>
  <si>
    <t>L9.J.170726</t>
  </si>
  <si>
    <t>L9.S.16011366</t>
  </si>
  <si>
    <t>L9.S.16011489</t>
  </si>
  <si>
    <t>L9.J.241710</t>
  </si>
  <si>
    <t>L9.J.38220105</t>
  </si>
  <si>
    <t>L9.S.16012000</t>
  </si>
  <si>
    <t>L9.S.16011526</t>
  </si>
  <si>
    <t>L9.S.16011458</t>
  </si>
  <si>
    <t>L9.J.229350</t>
  </si>
  <si>
    <t>L9.J.170952</t>
  </si>
  <si>
    <t>L9.J.23440257</t>
  </si>
  <si>
    <t>L9.J.230510</t>
  </si>
  <si>
    <t>L9.J.241995</t>
  </si>
  <si>
    <t>L9.S.16013995</t>
  </si>
  <si>
    <t>L9.S.16011488</t>
  </si>
  <si>
    <t>L9.S.16016623</t>
  </si>
  <si>
    <t>L9.S.16011417</t>
  </si>
  <si>
    <t>L9.S.16016095</t>
  </si>
  <si>
    <t>L9.S.16017842</t>
  </si>
  <si>
    <t>L9.S.16011398</t>
  </si>
  <si>
    <t>L9.J.2413009602</t>
  </si>
  <si>
    <t>L9.J.241997</t>
  </si>
  <si>
    <t>L9.S.16017976</t>
  </si>
  <si>
    <t>L9.S.16011377</t>
  </si>
  <si>
    <t>L9.S.14000953</t>
  </si>
  <si>
    <t>L9.J.254503</t>
  </si>
  <si>
    <t>L9.J.23420018</t>
  </si>
  <si>
    <t>L9.J.170323</t>
  </si>
  <si>
    <t>L9.J.2412011001</t>
  </si>
  <si>
    <t>L9.S.16011387</t>
  </si>
  <si>
    <t>L9.J.24160362</t>
  </si>
  <si>
    <t>L9.S.16014361</t>
  </si>
  <si>
    <t>L9.J.24160226</t>
  </si>
  <si>
    <t>L9.J.170515</t>
  </si>
  <si>
    <t>L9.S.16017382</t>
  </si>
  <si>
    <t>L9.J.150502</t>
  </si>
  <si>
    <t>L9.J.170803</t>
  </si>
  <si>
    <t>L9.J.709201</t>
  </si>
  <si>
    <t>L9.J.241993</t>
  </si>
  <si>
    <t>L9.J.23440173</t>
  </si>
  <si>
    <t>L9.J.2415000404</t>
  </si>
  <si>
    <t>L9.S.16016056</t>
  </si>
  <si>
    <t>L9.S.16017932</t>
  </si>
  <si>
    <t>L9.J.382904</t>
  </si>
  <si>
    <t>L9.J.22910011</t>
  </si>
  <si>
    <t>L9.S.16013435</t>
  </si>
  <si>
    <t>L9.J.170931</t>
  </si>
  <si>
    <t>L9.S.16011395</t>
  </si>
  <si>
    <t>L9.J.241741</t>
  </si>
  <si>
    <t>L9.J.170908</t>
  </si>
  <si>
    <t>L9.S.14000520</t>
  </si>
  <si>
    <t>L9.S.16011384</t>
  </si>
  <si>
    <t>L9.S.16017965</t>
  </si>
  <si>
    <t>L9.S.16011415</t>
  </si>
  <si>
    <t>L9.J.241906</t>
  </si>
  <si>
    <t>L9.S.16016423</t>
  </si>
  <si>
    <t>L9.J.17020684</t>
  </si>
  <si>
    <t>L9.S.16011427</t>
  </si>
  <si>
    <t>L9.J.23440214</t>
  </si>
  <si>
    <t>L9.J.23440177</t>
  </si>
  <si>
    <t>L9.S.16011354</t>
  </si>
  <si>
    <t>L9.J.17020090</t>
  </si>
  <si>
    <t>L9.S.16017863</t>
  </si>
  <si>
    <t>L9.J.170407</t>
  </si>
  <si>
    <t>L9.J.170230</t>
  </si>
  <si>
    <t>L9.S.16011414</t>
  </si>
  <si>
    <t>L9.J.38210125</t>
  </si>
  <si>
    <t>L9.J.254202</t>
  </si>
  <si>
    <t>L9.J.241735</t>
  </si>
  <si>
    <t>L9.J.170912</t>
  </si>
  <si>
    <t>L9.S.16010977</t>
  </si>
  <si>
    <t>L9.S.16012430</t>
  </si>
  <si>
    <t>L9.J.170285</t>
  </si>
  <si>
    <t>L9.S.16013425</t>
  </si>
  <si>
    <t>L9.S.16013999</t>
  </si>
  <si>
    <t>L9.S.16016621</t>
  </si>
  <si>
    <t>L9.S.16013428</t>
  </si>
  <si>
    <t>L9.J.170303</t>
  </si>
  <si>
    <t>L9.S.16016051</t>
  </si>
  <si>
    <t>L9.S.16011460</t>
  </si>
  <si>
    <t>L9.J.170114</t>
  </si>
  <si>
    <t>L9.J.170227</t>
  </si>
  <si>
    <t>L9.J.709210</t>
  </si>
  <si>
    <t>L9.J.170406</t>
  </si>
  <si>
    <t>L9.J.241919</t>
  </si>
  <si>
    <t>L9.J.24130040</t>
  </si>
  <si>
    <t>L9.J.241724</t>
  </si>
  <si>
    <t>L9.S.16016674</t>
  </si>
  <si>
    <t>L9.J.17020890</t>
  </si>
  <si>
    <t>L9.J.170925</t>
  </si>
  <si>
    <t>L9.S.16011471</t>
  </si>
  <si>
    <t>L9.S.16013903</t>
  </si>
  <si>
    <t>L9.J.170233</t>
  </si>
  <si>
    <t>L9.S.16017831</t>
  </si>
  <si>
    <t>L9.J.170411</t>
  </si>
  <si>
    <t>L9.J.170603</t>
  </si>
  <si>
    <t>L9.J.239013</t>
  </si>
  <si>
    <t>L9.S.16013436</t>
  </si>
  <si>
    <t>L9.S.16011425</t>
  </si>
  <si>
    <t>L9.J.170101</t>
  </si>
  <si>
    <t>L9.S.16017768</t>
  </si>
  <si>
    <t>L9.S.16017886</t>
  </si>
  <si>
    <t>L9.J.150507</t>
  </si>
  <si>
    <t>L9.J.382307</t>
  </si>
  <si>
    <t>L9.S.16016356</t>
  </si>
  <si>
    <t>L9.S.16017981</t>
  </si>
  <si>
    <t>L9.S.16017947</t>
  </si>
  <si>
    <t>L9.S.14000499</t>
  </si>
  <si>
    <t>L9.S.16012486</t>
  </si>
  <si>
    <t>L9.S.16011457</t>
  </si>
  <si>
    <t>L9.S.16011499</t>
  </si>
  <si>
    <t>L9.S.16011520</t>
  </si>
  <si>
    <t>L9.S.16013432</t>
  </si>
  <si>
    <t>L9.J.17020683</t>
  </si>
  <si>
    <t>L9.J.170519</t>
  </si>
  <si>
    <t>L9.S.16011404</t>
  </si>
  <si>
    <t>L9.J.170408</t>
  </si>
  <si>
    <t>L9.S.16011500</t>
  </si>
  <si>
    <t>L9.S.16013034</t>
  </si>
  <si>
    <t>L9.J.38210122</t>
  </si>
  <si>
    <t>L9.J.170430</t>
  </si>
  <si>
    <t>L9.S.16012444</t>
  </si>
  <si>
    <t>L9.J.382011</t>
  </si>
  <si>
    <t>L9.J.240109</t>
  </si>
  <si>
    <t>L9.J.241802</t>
  </si>
  <si>
    <t>L9.J.38225101</t>
  </si>
  <si>
    <t>L9.S.16011405</t>
  </si>
  <si>
    <t>L9.S.16013416</t>
  </si>
  <si>
    <t>L9.S.16012477</t>
  </si>
  <si>
    <t>L9.S.16011391</t>
  </si>
  <si>
    <t>L9.J.38210107</t>
  </si>
  <si>
    <t>L9.J.241316</t>
  </si>
  <si>
    <t>L9.S.16013781</t>
  </si>
  <si>
    <t>L9.J.38235005</t>
  </si>
  <si>
    <t>L9.J.38280128</t>
  </si>
  <si>
    <t>L9.J.241810</t>
  </si>
  <si>
    <t>L9.J.22910027</t>
  </si>
  <si>
    <t>L9.J.170504</t>
  </si>
  <si>
    <t>L9.S.16016708</t>
  </si>
  <si>
    <t>L9.S.16013780</t>
  </si>
  <si>
    <t>L9.J.170265</t>
  </si>
  <si>
    <t>L9.S.16016298</t>
  </si>
  <si>
    <t>L9.S.16011421</t>
  </si>
  <si>
    <t>L9.J.38210101</t>
  </si>
  <si>
    <t>L9.J.170133</t>
  </si>
  <si>
    <t>L9.J.170423</t>
  </si>
  <si>
    <t>L9.J.170508</t>
  </si>
  <si>
    <t>L9.J.241915</t>
  </si>
  <si>
    <t>L9.S.16016310</t>
  </si>
  <si>
    <t>L9.J.239011</t>
  </si>
  <si>
    <t>L9.J.170301</t>
  </si>
  <si>
    <t>L9.J.170152</t>
  </si>
  <si>
    <t>L9.J.304001</t>
  </si>
  <si>
    <t>L9.J.241730</t>
  </si>
  <si>
    <t>L9.S.16013413</t>
  </si>
  <si>
    <t>L9.J.200413</t>
  </si>
  <si>
    <t>L9.S.16014425</t>
  </si>
  <si>
    <t>L9.J.241818</t>
  </si>
  <si>
    <t>L9.J.38270053</t>
  </si>
  <si>
    <t>L9.S.16012399</t>
  </si>
  <si>
    <t>L9.S.13001211</t>
  </si>
  <si>
    <t>L9.S.16011376</t>
  </si>
  <si>
    <t>L9.S.16012485</t>
  </si>
  <si>
    <t>L9.S.16014976</t>
  </si>
  <si>
    <t>L9.J.241312</t>
  </si>
  <si>
    <t>L9.J.241833</t>
  </si>
  <si>
    <t>L9.S.16012487</t>
  </si>
  <si>
    <t>L9.S.16010970</t>
  </si>
  <si>
    <t>L9.J.38210102</t>
  </si>
  <si>
    <t>L9.S.16011477</t>
  </si>
  <si>
    <t>L9.J.38270101</t>
  </si>
  <si>
    <t>L9.S.14000464</t>
  </si>
  <si>
    <t>L9.J.23440013</t>
  </si>
  <si>
    <t>L9.S.16011423</t>
  </si>
  <si>
    <t>L9.S.16011495</t>
  </si>
  <si>
    <t>L9.J.150501</t>
  </si>
  <si>
    <t>L9.J.24160004</t>
  </si>
  <si>
    <t>L9.J.170163</t>
  </si>
  <si>
    <t>L9.S.16999920</t>
  </si>
  <si>
    <t>L9.J.241502</t>
  </si>
  <si>
    <t>L9.J.241804</t>
  </si>
  <si>
    <t>L9.J.170310</t>
  </si>
  <si>
    <t>L9.S.16011164</t>
  </si>
  <si>
    <t>L9.J.38210120</t>
  </si>
  <si>
    <t>L9.S.16013415</t>
  </si>
  <si>
    <t>L9.S.16012475</t>
  </si>
  <si>
    <t>L9.J.234426</t>
  </si>
  <si>
    <t>L9.MIN.DPE.8701</t>
  </si>
  <si>
    <t>L9.S.16012380</t>
  </si>
  <si>
    <t>L9.J.23420045</t>
  </si>
  <si>
    <t>L9.J.170124</t>
  </si>
  <si>
    <t>L9.J.382210</t>
  </si>
  <si>
    <t>L9.S.16017440</t>
  </si>
  <si>
    <t>L9.J.20041071</t>
  </si>
  <si>
    <t>L9.S.16012225</t>
  </si>
  <si>
    <t>L9.J.170949</t>
  </si>
  <si>
    <t>L9.J.23440105</t>
  </si>
  <si>
    <t>L9.J.23440104</t>
  </si>
  <si>
    <t>L9.J.24120045</t>
  </si>
  <si>
    <t>L9.S.16017902</t>
  </si>
  <si>
    <t>L9.J.170234</t>
  </si>
  <si>
    <t>L9.S.16017774</t>
  </si>
  <si>
    <t>L9.J.382854</t>
  </si>
  <si>
    <t>L9.J.241726</t>
  </si>
  <si>
    <t>L9.J.24130041</t>
  </si>
  <si>
    <t>L9.J.241992</t>
  </si>
  <si>
    <t>L9.S.16014000</t>
  </si>
  <si>
    <t>L9.S.16011358</t>
  </si>
  <si>
    <t>L9.J.38210144</t>
  </si>
  <si>
    <t>L9.J.241707</t>
  </si>
  <si>
    <t>L9.S.16013987</t>
  </si>
  <si>
    <t>L9.S.14000580</t>
  </si>
  <si>
    <t>L9.S.16012445</t>
  </si>
  <si>
    <t>L9.S.16012455</t>
  </si>
  <si>
    <t>L9.J.37740130</t>
  </si>
  <si>
    <t>L9.J.170404</t>
  </si>
  <si>
    <t>L9.J.241988</t>
  </si>
  <si>
    <t>L9.J.241601</t>
  </si>
  <si>
    <t>L9.J.170331</t>
  </si>
  <si>
    <t>L9.J.170308</t>
  </si>
  <si>
    <t>L9.S.16016281</t>
  </si>
  <si>
    <t>L9.J.234241</t>
  </si>
  <si>
    <t>L9.J.38210106</t>
  </si>
  <si>
    <t>L9.J.38600005</t>
  </si>
  <si>
    <t>L9.J.38210121</t>
  </si>
  <si>
    <t>L9.J.24190252</t>
  </si>
  <si>
    <t>L9.J.170338</t>
  </si>
  <si>
    <t>L9.J.170417</t>
  </si>
  <si>
    <t>L9.S.16013484</t>
  </si>
  <si>
    <t>L9.S.16011509</t>
  </si>
  <si>
    <t>L9.S.16017906</t>
  </si>
  <si>
    <t>L9.J.241723</t>
  </si>
  <si>
    <t>L9.S.16013532</t>
  </si>
  <si>
    <t>L9.J.38210110</t>
  </si>
  <si>
    <t>L9.S.16011467</t>
  </si>
  <si>
    <t>L9.J.17020676</t>
  </si>
  <si>
    <t>L9.S.16011363</t>
  </si>
  <si>
    <t>L9.J.37740077</t>
  </si>
  <si>
    <t>L9.J.37740101</t>
  </si>
  <si>
    <t>L9.J.254603</t>
  </si>
  <si>
    <t>L9.S.16011394</t>
  </si>
  <si>
    <t>L9.S.16012401</t>
  </si>
  <si>
    <t>L9.J.23440009</t>
  </si>
  <si>
    <t>L9.S.16002980</t>
  </si>
  <si>
    <t>L9.S.14001350</t>
  </si>
  <si>
    <t>L9.S.16011353</t>
  </si>
  <si>
    <t>L9.J.170842</t>
  </si>
  <si>
    <t>L9.J.38220064</t>
  </si>
  <si>
    <t>L9.S.16010979</t>
  </si>
  <si>
    <t>L9.S.16016869</t>
  </si>
  <si>
    <t>L9.J.38270058</t>
  </si>
  <si>
    <t>L9.S.16009650</t>
  </si>
  <si>
    <t>L9.S.16016442</t>
  </si>
  <si>
    <t>L9.S.16014078</t>
  </si>
  <si>
    <t>L9.S.16011380</t>
  </si>
  <si>
    <t>L9.S.16017956</t>
  </si>
  <si>
    <t>L9.J.38225093</t>
  </si>
  <si>
    <t>L9.S.16016454</t>
  </si>
  <si>
    <t>L9.S.14001344</t>
  </si>
  <si>
    <t>L9.J.230103</t>
  </si>
  <si>
    <t>L9.J.170531</t>
  </si>
  <si>
    <t>L9.S.14000312</t>
  </si>
  <si>
    <t>L9.S.14001923</t>
  </si>
  <si>
    <t>L9.J.170327</t>
  </si>
  <si>
    <t>L9.S.16014692</t>
  </si>
  <si>
    <t>L9.J.38220094</t>
  </si>
  <si>
    <t>L9.S.16012446</t>
  </si>
  <si>
    <t>L9.J.382757</t>
  </si>
  <si>
    <t>L9.S.16013369</t>
  </si>
  <si>
    <t>L9.S.14001333</t>
  </si>
  <si>
    <t>L9.J.38270104</t>
  </si>
  <si>
    <t>L9.J.241834</t>
  </si>
  <si>
    <t>L9.J.239001</t>
  </si>
  <si>
    <t>L9.J.377401</t>
  </si>
  <si>
    <t>L9.J.170270</t>
  </si>
  <si>
    <t>L9.J.170132</t>
  </si>
  <si>
    <t>L9.S.16014523</t>
  </si>
  <si>
    <t>L9.S.16017763</t>
  </si>
  <si>
    <t>L9.J.381702</t>
  </si>
  <si>
    <t>L9.J.37210013</t>
  </si>
  <si>
    <t>L9.J.241749</t>
  </si>
  <si>
    <t>L9.S.16017795</t>
  </si>
  <si>
    <t>L9.J.170620</t>
  </si>
  <si>
    <t>L9.S.16011383</t>
  </si>
  <si>
    <t>L9.S.16011424</t>
  </si>
  <si>
    <t>L9.J.241814</t>
  </si>
  <si>
    <t>L9.J.382101</t>
  </si>
  <si>
    <t>L9.S.16017785</t>
  </si>
  <si>
    <t>L9.S.16017810</t>
  </si>
  <si>
    <t>L9.J.170134</t>
  </si>
  <si>
    <t>L9.J.241729</t>
  </si>
  <si>
    <t>L9.S.16013861</t>
  </si>
  <si>
    <t>L9.S.16013996</t>
  </si>
  <si>
    <t>L9.J.38210109</t>
  </si>
  <si>
    <t>L9.S.16017858</t>
  </si>
  <si>
    <t>L9.S.16016404</t>
  </si>
  <si>
    <t>L9.S.16015527</t>
  </si>
  <si>
    <t>L9.S.16007910</t>
  </si>
  <si>
    <t>L9.S.13000926</t>
  </si>
  <si>
    <t>L9.S.16016426</t>
  </si>
  <si>
    <t>L9.S.16017960</t>
  </si>
  <si>
    <t>L9.S.16017784</t>
  </si>
  <si>
    <t>L9.S.14000513</t>
  </si>
  <si>
    <t>L9.S.16011434</t>
  </si>
  <si>
    <t>L9.S.16017789</t>
  </si>
  <si>
    <t>L9.J.38210070</t>
  </si>
  <si>
    <t>L9.J.24180009</t>
  </si>
  <si>
    <t>L9.S.14000502</t>
  </si>
  <si>
    <t>L9.S.16017829</t>
  </si>
  <si>
    <t>L9.J.241104</t>
  </si>
  <si>
    <t>L9.J.38220067</t>
  </si>
  <si>
    <t>L9.J.38600004</t>
  </si>
  <si>
    <t>L9.J.241809</t>
  </si>
  <si>
    <t>L9.J.241728</t>
  </si>
  <si>
    <t>L9.J.24130053</t>
  </si>
  <si>
    <t>L9.S.16016666</t>
  </si>
  <si>
    <t>L9.J.8150500</t>
  </si>
  <si>
    <t>L9.S.16016256</t>
  </si>
  <si>
    <t>L9.S.16012368</t>
  </si>
  <si>
    <t>L9.S.16002974</t>
  </si>
  <si>
    <t>L9.J.37740080</t>
  </si>
  <si>
    <t>L9.J.170284</t>
  </si>
  <si>
    <t>L9.S.16017816</t>
  </si>
  <si>
    <t>L9.J.170813</t>
  </si>
  <si>
    <t>L9.S.16013032</t>
  </si>
  <si>
    <t>L9.S.16011869</t>
  </si>
  <si>
    <t>L9.S.14000461</t>
  </si>
  <si>
    <t>L9.J.170209</t>
  </si>
  <si>
    <t>L9.S.16011496</t>
  </si>
  <si>
    <t>L9.J.170320</t>
  </si>
  <si>
    <t>L9.J.23440260</t>
  </si>
  <si>
    <t>L9.J.241939</t>
  </si>
  <si>
    <t>L9.J.170307</t>
  </si>
  <si>
    <t>L9.J.24160169</t>
  </si>
  <si>
    <t>L9.J.38225103</t>
  </si>
  <si>
    <t>L9.J.241727</t>
  </si>
  <si>
    <t>L9.J.24130061</t>
  </si>
  <si>
    <t>L9.J.395103</t>
  </si>
  <si>
    <t>L9.J.170416</t>
  </si>
  <si>
    <t>L9.J.24120083</t>
  </si>
  <si>
    <t>L9.S.16012476</t>
  </si>
  <si>
    <t>L9.S.16011401</t>
  </si>
  <si>
    <t>L9.S.16016300</t>
  </si>
  <si>
    <t>L9.S.16017944</t>
  </si>
  <si>
    <t>L9.J.170359</t>
  </si>
  <si>
    <t>L9.J.38130008</t>
  </si>
  <si>
    <t>L9.J.170164</t>
  </si>
  <si>
    <t>L9.J.241725</t>
  </si>
  <si>
    <t>L9.S.16017962</t>
  </si>
  <si>
    <t>L9.J.170130</t>
  </si>
  <si>
    <t>L9.S.16012382</t>
  </si>
  <si>
    <t>L9.J.38270099</t>
  </si>
  <si>
    <t>L9.S.14000463</t>
  </si>
  <si>
    <t>L9.J.377501</t>
  </si>
  <si>
    <t>L9.S.16017881</t>
  </si>
  <si>
    <t>L9.J.382001</t>
  </si>
  <si>
    <t>L9.J.38220015</t>
  </si>
  <si>
    <t>L9.J.24180004</t>
  </si>
  <si>
    <t>L9.S.16016662</t>
  </si>
  <si>
    <t>L9.J.109101</t>
  </si>
  <si>
    <t>L9.S.16012492</t>
  </si>
  <si>
    <t>L9.S.16014524</t>
  </si>
  <si>
    <t>L9.J.240110</t>
  </si>
  <si>
    <t>L9.J.170913</t>
  </si>
  <si>
    <t>L9.J.24120104</t>
  </si>
  <si>
    <t>L9.J.170314</t>
  </si>
  <si>
    <t>L9.J.170112</t>
  </si>
  <si>
    <t>L9.S.16017764</t>
  </si>
  <si>
    <t>L9.S.14001331</t>
  </si>
  <si>
    <t>L9.S.13001210</t>
  </si>
  <si>
    <t>L9.S.16011374</t>
  </si>
  <si>
    <t>L9.S.16016658</t>
  </si>
  <si>
    <t>L9.S.16017911</t>
  </si>
  <si>
    <t>L9.J.23440241</t>
  </si>
  <si>
    <t>L9.J.170753</t>
  </si>
  <si>
    <t>L9.S.16012366</t>
  </si>
  <si>
    <t>L9.S.16011165</t>
  </si>
  <si>
    <t>L9.S.16012378</t>
  </si>
  <si>
    <t>L9.S.16011516</t>
  </si>
  <si>
    <t>L9.J.17020795</t>
  </si>
  <si>
    <t>L9.J.170306</t>
  </si>
  <si>
    <t>L9.S.16016036</t>
  </si>
  <si>
    <t>L9.J.38220072</t>
  </si>
  <si>
    <t>L9.J.241301</t>
  </si>
  <si>
    <t>L9.S.14001327</t>
  </si>
  <si>
    <t>L9.J.38130006</t>
  </si>
  <si>
    <t>L9.S.14000462</t>
  </si>
  <si>
    <t>L9.J.392001</t>
  </si>
  <si>
    <t>L9.J.38275003</t>
  </si>
  <si>
    <t>L9.S.14001328</t>
  </si>
  <si>
    <t>L9.S.16016096</t>
  </si>
  <si>
    <t>L9.J.210213</t>
  </si>
  <si>
    <t>L9.S.16011370</t>
  </si>
  <si>
    <t>L9.S.16011507</t>
  </si>
  <si>
    <t>L9.J.150210</t>
  </si>
  <si>
    <t>L9.S.16012387</t>
  </si>
  <si>
    <t>L9.S.16016039</t>
  </si>
  <si>
    <t>L9.S.13000874</t>
  </si>
  <si>
    <t>L9.J.382903</t>
  </si>
  <si>
    <t>L9.J.38215149</t>
  </si>
  <si>
    <t>L9.J.241901</t>
  </si>
  <si>
    <t>L9.J.241731</t>
  </si>
  <si>
    <t>L9.J.37740120</t>
  </si>
  <si>
    <t>L9.J.240108</t>
  </si>
  <si>
    <t>L9.S.16013709</t>
  </si>
  <si>
    <t>L9.S.16012397</t>
  </si>
  <si>
    <t>L9.J.38220091</t>
  </si>
  <si>
    <t>L9.J.23440019</t>
  </si>
  <si>
    <t>L9.S.16016105</t>
  </si>
  <si>
    <t>L9.J.170330</t>
  </si>
  <si>
    <t>L9.J.37210024</t>
  </si>
  <si>
    <t>L9.S.14001324</t>
  </si>
  <si>
    <t>L9.S.16012405</t>
  </si>
  <si>
    <t>L9.S.16011373</t>
  </si>
  <si>
    <t>L9.S.16016234</t>
  </si>
  <si>
    <t>L9.S.16017766</t>
  </si>
  <si>
    <t>L9.J.377403</t>
  </si>
  <si>
    <t>L9.J.38290002</t>
  </si>
  <si>
    <t>L9.S.16017791</t>
  </si>
  <si>
    <t>L9.J.17030204</t>
  </si>
  <si>
    <t>L9.S.14000493</t>
  </si>
  <si>
    <t>L9.S.16011160</t>
  </si>
  <si>
    <t>L9.S.16016620</t>
  </si>
  <si>
    <t>L9.S.16011864</t>
  </si>
  <si>
    <t>L9.S.16017792</t>
  </si>
  <si>
    <t>L9.S.16017903</t>
  </si>
  <si>
    <t>L9.J.170415</t>
  </si>
  <si>
    <t>L9.S.16013362</t>
  </si>
  <si>
    <t>L9.J.23440213</t>
  </si>
  <si>
    <t>L9.S.16012211</t>
  </si>
  <si>
    <t>L9.S.16017982</t>
  </si>
  <si>
    <t>L9.S.16011491</t>
  </si>
  <si>
    <t>L9.S.16017770</t>
  </si>
  <si>
    <t>L9.S.16012403</t>
  </si>
  <si>
    <t>L9.J.150</t>
  </si>
  <si>
    <t>L9.J.2412002701</t>
  </si>
  <si>
    <t>L9.S.16012376</t>
  </si>
  <si>
    <t>L9.J.241305</t>
  </si>
  <si>
    <t>L9.J.8530090</t>
  </si>
  <si>
    <t>L9.J.24130054</t>
  </si>
  <si>
    <t>L9.J.395301</t>
  </si>
  <si>
    <t>L9.J.24120128</t>
  </si>
  <si>
    <t>L9.J.241314</t>
  </si>
  <si>
    <t>L9.S.14000503</t>
  </si>
  <si>
    <t>L9.J.170610</t>
  </si>
  <si>
    <t>L9.S.14000608</t>
  </si>
  <si>
    <t>L9.S.16012385</t>
  </si>
  <si>
    <t>L9.S.16012372</t>
  </si>
  <si>
    <t>L9.S.16013541</t>
  </si>
  <si>
    <t>L9.S.16017827</t>
  </si>
  <si>
    <t>L9.S.16017951</t>
  </si>
  <si>
    <t>L9.J.372003</t>
  </si>
  <si>
    <t>L9.J.709013</t>
  </si>
  <si>
    <t>L9.J.170316</t>
  </si>
  <si>
    <t>L9.S.16017790</t>
  </si>
  <si>
    <t>L9.J.170807</t>
  </si>
  <si>
    <t>L9.S.16011360</t>
  </si>
  <si>
    <t>L9.S.16017860</t>
  </si>
  <si>
    <t>L9.S.16011456</t>
  </si>
  <si>
    <t>L9.S.16017765</t>
  </si>
  <si>
    <t>L9.S.16013568</t>
  </si>
  <si>
    <t>L9.S.16017786</t>
  </si>
  <si>
    <t>L9.J.22910022</t>
  </si>
  <si>
    <t>L9.J.24120084</t>
  </si>
  <si>
    <t>L9.J.170275</t>
  </si>
  <si>
    <t>L9.S.16017907</t>
  </si>
  <si>
    <t>L9.J.170128</t>
  </si>
  <si>
    <t>L9.S.16018034</t>
  </si>
  <si>
    <t>L9.S.16012393</t>
  </si>
  <si>
    <t>L9.J.24130068</t>
  </si>
  <si>
    <t>L9.S.16011857</t>
  </si>
  <si>
    <t>L9.S.16011163</t>
  </si>
  <si>
    <t>L9.S.14001323</t>
  </si>
  <si>
    <t>L9.S.11000700</t>
  </si>
  <si>
    <t>L9.J.25460001</t>
  </si>
  <si>
    <t>L9.J.301303</t>
  </si>
  <si>
    <t>L9.J.38250009</t>
  </si>
  <si>
    <t>L9.J.24120135</t>
  </si>
  <si>
    <t>L9.S.16013718</t>
  </si>
  <si>
    <t>L9.S.16012474</t>
  </si>
  <si>
    <t>L9.S.16012370</t>
  </si>
  <si>
    <t>L9.J.170109</t>
  </si>
  <si>
    <t>L9.S.16017826</t>
  </si>
  <si>
    <t>L9.S.16017882</t>
  </si>
  <si>
    <t>L9.J.234416</t>
  </si>
  <si>
    <t>L9.S.16017910</t>
  </si>
  <si>
    <t>L9.S.16013452</t>
  </si>
  <si>
    <t>L9.S.16012391</t>
  </si>
  <si>
    <t>L9.J.38237001</t>
  </si>
  <si>
    <t>L9.J.392201</t>
  </si>
  <si>
    <t>L9.J.38280002</t>
  </si>
  <si>
    <t>L9.J.8210143</t>
  </si>
  <si>
    <t>L9.S.16017942</t>
  </si>
  <si>
    <t>L9.J.24150003</t>
  </si>
  <si>
    <t>L9.S.16017952</t>
  </si>
  <si>
    <t>L9.J.24160109</t>
  </si>
  <si>
    <t>L9.J.170628</t>
  </si>
  <si>
    <t>L9.J.708001</t>
  </si>
  <si>
    <t>L9.S.16017861</t>
  </si>
  <si>
    <t>L9.S.16015920</t>
  </si>
  <si>
    <t>L9.S.16017769</t>
  </si>
  <si>
    <t>L9.S.16017884</t>
  </si>
  <si>
    <t>L9.S.16017806</t>
  </si>
  <si>
    <t>L9.S.16017813</t>
  </si>
  <si>
    <t>L9.S.16012395</t>
  </si>
  <si>
    <t>L9.S.16017943</t>
  </si>
  <si>
    <t>L9.J.709310</t>
  </si>
  <si>
    <t>L9.J.38275005</t>
  </si>
  <si>
    <t>L9.J.241813</t>
  </si>
  <si>
    <t>L9.S.16013754</t>
  </si>
  <si>
    <t>L9.J.709502</t>
  </si>
  <si>
    <t>L9.S.16013960</t>
  </si>
  <si>
    <t>L9.J.170135</t>
  </si>
  <si>
    <t>L9.S.16017945</t>
  </si>
  <si>
    <t>L9.J.383005</t>
  </si>
  <si>
    <t>L9.S.16017828</t>
  </si>
  <si>
    <t>L9.J.241401</t>
  </si>
  <si>
    <t>L9.S.16017921</t>
  </si>
  <si>
    <t>L9.J.8000050</t>
  </si>
  <si>
    <t>L9.S.16017922</t>
  </si>
  <si>
    <t>L9.J.24130111</t>
  </si>
  <si>
    <t>L9.J.381130</t>
  </si>
  <si>
    <t>L9.J.38600006</t>
  </si>
  <si>
    <t>L9.J.241905</t>
  </si>
  <si>
    <t>L9.J.170859</t>
  </si>
  <si>
    <t>L9.J.24130039</t>
  </si>
  <si>
    <t>L9.J.24130030</t>
  </si>
  <si>
    <t>L9.J.241701</t>
  </si>
  <si>
    <t>L9.J.24130052</t>
  </si>
  <si>
    <t>L9.J.241717</t>
  </si>
  <si>
    <t>L9.J.20041016</t>
  </si>
  <si>
    <t>L9.MIN.DPE.8512</t>
  </si>
  <si>
    <t>L9.S.13000860</t>
  </si>
  <si>
    <t>L9.J.38225126</t>
  </si>
  <si>
    <t>L9.S.16017904</t>
  </si>
  <si>
    <t>L9.J.234242</t>
  </si>
  <si>
    <t>L9.J.23010001</t>
  </si>
  <si>
    <t>L9.J.170534</t>
  </si>
  <si>
    <t>L9.S.16011512</t>
  </si>
  <si>
    <t>L9.S.16017772</t>
  </si>
  <si>
    <t>L9.S.16007560</t>
  </si>
  <si>
    <t>L9.S.16015050</t>
  </si>
  <si>
    <t>L9.S.16017929</t>
  </si>
  <si>
    <t>L9.J.170524</t>
  </si>
  <si>
    <t>L9.S.16017964</t>
  </si>
  <si>
    <t>L9.J.241115</t>
  </si>
  <si>
    <t>L9.S.16017883</t>
  </si>
  <si>
    <t>L9.S.16017908</t>
  </si>
  <si>
    <t>L9.J.170229</t>
  </si>
  <si>
    <t>L9.S.16017963</t>
  </si>
  <si>
    <t>L9.J.38225128</t>
  </si>
  <si>
    <t>L9.S.16017788</t>
  </si>
  <si>
    <t>L9.MIN.DPE.8515</t>
  </si>
  <si>
    <t>L9.S.16017771</t>
  </si>
  <si>
    <t>L9.J.38210069</t>
  </si>
  <si>
    <t>L9.J.38220021</t>
  </si>
  <si>
    <t>L9.J.2413009501</t>
  </si>
  <si>
    <t>L9.J.241315</t>
  </si>
  <si>
    <t>L9.J.241812</t>
  </si>
  <si>
    <t>L9.J.241308</t>
  </si>
  <si>
    <t>L9.J.242117</t>
  </si>
  <si>
    <t>L9.J.241745</t>
  </si>
  <si>
    <t>L9.J.24180045</t>
  </si>
  <si>
    <t>L9.J.38250008</t>
  </si>
  <si>
    <t>L9.S.16017905</t>
  </si>
  <si>
    <t>L9.S.16017811</t>
  </si>
  <si>
    <t>L9.S.16017909</t>
  </si>
  <si>
    <t>L9.J.170274</t>
  </si>
  <si>
    <t>L9.S.16017925</t>
  </si>
  <si>
    <t>L9.J.23440003</t>
  </si>
  <si>
    <t>L9.S.16017953</t>
  </si>
  <si>
    <t>L9.J.23440005</t>
  </si>
  <si>
    <t>L9.J.170113</t>
  </si>
  <si>
    <t>L9.S.16017812</t>
  </si>
  <si>
    <t>L9.J.170956</t>
  </si>
  <si>
    <t>L9.J.200401</t>
  </si>
  <si>
    <t>L9.S.16015009</t>
  </si>
  <si>
    <t>L9.S.16012011</t>
  </si>
  <si>
    <t>L9.S.24000030</t>
  </si>
  <si>
    <t>L9.DUN.60251</t>
  </si>
  <si>
    <t>L9.EMS.410.10232</t>
  </si>
  <si>
    <t>L9.DNZJ.10220</t>
  </si>
  <si>
    <t>L9.S.24000031</t>
  </si>
  <si>
    <t>L9.S.26016639</t>
  </si>
  <si>
    <t>L9.DNZJ.10139</t>
  </si>
  <si>
    <t>L9.EMS.410.10205</t>
  </si>
  <si>
    <t>L9.DNZJ.10137</t>
  </si>
  <si>
    <t>L9.DUN.60241</t>
  </si>
  <si>
    <t>L9.DNZJ.10135</t>
  </si>
  <si>
    <t>L9.DNZJ.10131</t>
  </si>
  <si>
    <t>L9.S.26007600</t>
  </si>
  <si>
    <t>L9.DNZJ.10134</t>
  </si>
  <si>
    <t>L9.DUN.50141</t>
  </si>
  <si>
    <t>L9.S.26016629</t>
  </si>
  <si>
    <t>L9.S.26020680</t>
  </si>
  <si>
    <t>L9.DUN.32010</t>
  </si>
  <si>
    <t>L9.DNZJ.10133</t>
  </si>
  <si>
    <t>L9.DUN.20060</t>
  </si>
  <si>
    <t>L9.S.26013964</t>
  </si>
  <si>
    <t>L9.DNZJ.54848</t>
  </si>
  <si>
    <t>L9.S.26016613</t>
  </si>
  <si>
    <t>L9.S.26020749</t>
  </si>
  <si>
    <t>L9.S.26010620</t>
  </si>
  <si>
    <t>L9.S.26016951</t>
  </si>
  <si>
    <t>L9.S.26020735</t>
  </si>
  <si>
    <t>L9.S.26020736</t>
  </si>
  <si>
    <t>L9.S.26009070</t>
  </si>
  <si>
    <t>L9.S.26020751</t>
  </si>
  <si>
    <t>L9.S.26020723</t>
  </si>
  <si>
    <t>L9.S.26020742</t>
  </si>
  <si>
    <t>L9.S.26001880</t>
  </si>
  <si>
    <t>L9.DNZJ.10132</t>
  </si>
  <si>
    <t>L9.S.26006900</t>
  </si>
  <si>
    <t>L9.S.26020683</t>
  </si>
  <si>
    <t>L9.DUN.80120</t>
  </si>
  <si>
    <t>L9.S.26020682</t>
  </si>
  <si>
    <t>L9.S.26016636</t>
  </si>
  <si>
    <t>L9.S.26020752</t>
  </si>
  <si>
    <t>L9.DUN.60710</t>
  </si>
  <si>
    <t>L9.S.26000460</t>
  </si>
  <si>
    <t>L9.S.26017832</t>
  </si>
  <si>
    <t>L9.S.26020744</t>
  </si>
  <si>
    <t>L9.S.26016614</t>
  </si>
  <si>
    <t>L9.S.26020737</t>
  </si>
  <si>
    <t>L9.DNZJ.54847</t>
  </si>
  <si>
    <t>L9.S.26020750</t>
  </si>
  <si>
    <t>L9.DUN.60259</t>
  </si>
  <si>
    <t>L9.S.26005332</t>
  </si>
  <si>
    <t>L9.S.26017012</t>
  </si>
  <si>
    <t>L9.S.26013130</t>
  </si>
  <si>
    <t>L9.S.26016634</t>
  </si>
  <si>
    <t>L9.S.26016615</t>
  </si>
  <si>
    <t>L9.S.26020745</t>
  </si>
  <si>
    <t>L9.S.26016622</t>
  </si>
  <si>
    <t>L9.S.26016625</t>
  </si>
  <si>
    <t>L9.S.24000043</t>
  </si>
  <si>
    <t>L9.S.26019459</t>
  </si>
  <si>
    <t>L9.S.26020743</t>
  </si>
  <si>
    <t>L9.S.26004360</t>
  </si>
  <si>
    <t>L9.DNZJ.54947</t>
  </si>
  <si>
    <t>L9.DUN.60712</t>
  </si>
  <si>
    <t>L9.S.24000038</t>
  </si>
  <si>
    <t>L9.S.24000042</t>
  </si>
  <si>
    <t>L9.S.26016947</t>
  </si>
  <si>
    <t>L9.S.26020738</t>
  </si>
  <si>
    <t>L9.S.26012350</t>
  </si>
  <si>
    <t>L9.S.23000610</t>
  </si>
  <si>
    <t>L9.DUN.50121</t>
  </si>
  <si>
    <t>L9.S.26016230</t>
  </si>
  <si>
    <t>L9.S.24000047</t>
  </si>
  <si>
    <t>L9.S.26020688</t>
  </si>
  <si>
    <t>L9.S.26020679</t>
  </si>
  <si>
    <t>L9.DNZJ.10125</t>
  </si>
  <si>
    <t>L9.DUN.20050</t>
  </si>
  <si>
    <t>L9.S.24000029</t>
  </si>
  <si>
    <t>L9.S.26004020</t>
  </si>
  <si>
    <t>L9.S.26016949</t>
  </si>
  <si>
    <t>L9.S.26016623</t>
  </si>
  <si>
    <t>L9.DNZJ.55373</t>
  </si>
  <si>
    <t>L9.S.26016616</t>
  </si>
  <si>
    <t>L9.S.26017175</t>
  </si>
  <si>
    <t>L9.S.26002890</t>
  </si>
  <si>
    <t>L9.DUN.50120</t>
  </si>
  <si>
    <t>L9.S.26014780</t>
  </si>
  <si>
    <t>L9.S.26017064</t>
  </si>
  <si>
    <t>L9.S.26020681</t>
  </si>
  <si>
    <t>L9.S.23000330</t>
  </si>
  <si>
    <t>L9.S.24000153</t>
  </si>
  <si>
    <t>L9.S.26018025</t>
  </si>
  <si>
    <t>L9.S.26017255</t>
  </si>
  <si>
    <t>L9.DNZJ.10130</t>
  </si>
  <si>
    <t>L9.S.24000061</t>
  </si>
  <si>
    <t>L9.EMS.410.10251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</si>
</sst>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5ADA-3637-4A56-A0C2-07BCF4691881}">
  <dimension ref="A1:T947"/>
  <sheetViews>
    <sheetView tabSelected="1" topLeftCell="A913" zoomScale="70" zoomScaleNormal="70" workbookViewId="0">
      <selection activeCell="F947" sqref="F947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37.42578125" bestFit="1" customWidth="1"/>
    <col min="4" max="4" width="14.85546875" bestFit="1" customWidth="1"/>
    <col min="5" max="5" width="12.42578125" bestFit="1" customWidth="1"/>
    <col min="6" max="6" width="25" bestFit="1" customWidth="1"/>
    <col min="7" max="7" width="35" bestFit="1" customWidth="1"/>
    <col min="8" max="8" width="47.140625" bestFit="1" customWidth="1"/>
    <col min="9" max="9" width="27.5703125" bestFit="1" customWidth="1"/>
    <col min="10" max="10" width="5.85546875" bestFit="1" customWidth="1"/>
    <col min="11" max="11" width="13.5703125" bestFit="1" customWidth="1"/>
    <col min="12" max="12" width="14" bestFit="1" customWidth="1"/>
    <col min="13" max="13" width="180.28515625" bestFit="1" customWidth="1"/>
    <col min="14" max="14" width="14.42578125" bestFit="1" customWidth="1"/>
    <col min="15" max="15" width="14.85546875" bestFit="1" customWidth="1"/>
    <col min="16" max="16" width="13.7109375" bestFit="1" customWidth="1"/>
    <col min="17" max="17" width="8.28515625" bestFit="1" customWidth="1"/>
    <col min="18" max="18" width="7.5703125" bestFit="1" customWidth="1"/>
    <col min="19" max="19" width="12" bestFit="1" customWidth="1"/>
    <col min="20" max="20" width="16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24</v>
      </c>
      <c r="C2" t="s">
        <v>159</v>
      </c>
      <c r="E2" t="s">
        <v>21</v>
      </c>
      <c r="F2" t="str">
        <f>_xlfn.XLOOKUP($E2,Sheet1!$E:$E,Sheet1!F:F)</f>
        <v>North Ryde</v>
      </c>
      <c r="G2" t="str">
        <f>_xlfn.XLOOKUP($E2,Sheet1!$E:$E,Sheet1!G:G)</f>
        <v>North Ryde [New South Wales]</v>
      </c>
      <c r="I2" t="str">
        <f>_xlfn.XLOOKUP($E2,Sheet1!$E:$E,Sheet1!I:I)</f>
        <v>Default station</v>
      </c>
      <c r="K2" t="s">
        <v>1093</v>
      </c>
      <c r="L2">
        <v>16013626</v>
      </c>
    </row>
    <row r="3" spans="1:20" x14ac:dyDescent="0.25">
      <c r="A3" t="s">
        <v>20</v>
      </c>
      <c r="B3" t="s">
        <v>24</v>
      </c>
      <c r="C3" t="s">
        <v>160</v>
      </c>
      <c r="E3" t="s">
        <v>21</v>
      </c>
      <c r="F3" t="str">
        <f>_xlfn.XLOOKUP($E3,Sheet1!$E:$E,Sheet1!F:F)</f>
        <v>North Ryde</v>
      </c>
      <c r="G3" t="str">
        <f>_xlfn.XLOOKUP($E3,Sheet1!$E:$E,Sheet1!G:G)</f>
        <v>North Ryde [New South Wales]</v>
      </c>
      <c r="I3" t="str">
        <f>_xlfn.XLOOKUP($E3,Sheet1!$E:$E,Sheet1!I:I)</f>
        <v>Default station</v>
      </c>
      <c r="K3" t="s">
        <v>1094</v>
      </c>
      <c r="L3">
        <v>150220</v>
      </c>
    </row>
    <row r="4" spans="1:20" x14ac:dyDescent="0.25">
      <c r="A4" t="s">
        <v>20</v>
      </c>
      <c r="B4" t="s">
        <v>24</v>
      </c>
      <c r="C4" t="s">
        <v>161</v>
      </c>
      <c r="E4" t="s">
        <v>21</v>
      </c>
      <c r="F4" t="str">
        <f>_xlfn.XLOOKUP($E4,Sheet1!$E:$E,Sheet1!F:F)</f>
        <v>North Ryde</v>
      </c>
      <c r="G4" t="str">
        <f>_xlfn.XLOOKUP($E4,Sheet1!$E:$E,Sheet1!G:G)</f>
        <v>North Ryde [New South Wales]</v>
      </c>
      <c r="I4" t="str">
        <f>_xlfn.XLOOKUP($E4,Sheet1!$E:$E,Sheet1!I:I)</f>
        <v>Default station</v>
      </c>
      <c r="K4" t="s">
        <v>1095</v>
      </c>
      <c r="L4">
        <v>16016295</v>
      </c>
    </row>
    <row r="5" spans="1:20" x14ac:dyDescent="0.25">
      <c r="A5" t="s">
        <v>20</v>
      </c>
      <c r="B5" t="s">
        <v>24</v>
      </c>
      <c r="C5" t="s">
        <v>162</v>
      </c>
      <c r="E5" t="s">
        <v>21</v>
      </c>
      <c r="F5" t="str">
        <f>_xlfn.XLOOKUP($E5,Sheet1!$E:$E,Sheet1!F:F)</f>
        <v>North Ryde</v>
      </c>
      <c r="G5" t="str">
        <f>_xlfn.XLOOKUP($E5,Sheet1!$E:$E,Sheet1!G:G)</f>
        <v>North Ryde [New South Wales]</v>
      </c>
      <c r="I5" t="str">
        <f>_xlfn.XLOOKUP($E5,Sheet1!$E:$E,Sheet1!I:I)</f>
        <v>Default station</v>
      </c>
      <c r="K5" t="s">
        <v>1096</v>
      </c>
      <c r="L5">
        <v>16016729</v>
      </c>
    </row>
    <row r="6" spans="1:20" x14ac:dyDescent="0.25">
      <c r="A6" t="s">
        <v>20</v>
      </c>
      <c r="B6" t="s">
        <v>24</v>
      </c>
      <c r="C6" t="s">
        <v>163</v>
      </c>
      <c r="E6" t="s">
        <v>21</v>
      </c>
      <c r="F6" t="str">
        <f>_xlfn.XLOOKUP($E6,Sheet1!$E:$E,Sheet1!F:F)</f>
        <v>North Ryde</v>
      </c>
      <c r="G6" t="str">
        <f>_xlfn.XLOOKUP($E6,Sheet1!$E:$E,Sheet1!G:G)</f>
        <v>North Ryde [New South Wales]</v>
      </c>
      <c r="I6" t="str">
        <f>_xlfn.XLOOKUP($E6,Sheet1!$E:$E,Sheet1!I:I)</f>
        <v>Default station</v>
      </c>
      <c r="K6" t="s">
        <v>1097</v>
      </c>
      <c r="L6">
        <v>302001</v>
      </c>
    </row>
    <row r="7" spans="1:20" x14ac:dyDescent="0.25">
      <c r="A7" t="s">
        <v>20</v>
      </c>
      <c r="B7" t="s">
        <v>24</v>
      </c>
      <c r="C7" t="s">
        <v>164</v>
      </c>
      <c r="E7" t="s">
        <v>21</v>
      </c>
      <c r="F7" t="str">
        <f>_xlfn.XLOOKUP($E7,Sheet1!$E:$E,Sheet1!F:F)</f>
        <v>North Ryde</v>
      </c>
      <c r="G7" t="str">
        <f>_xlfn.XLOOKUP($E7,Sheet1!$E:$E,Sheet1!G:G)</f>
        <v>North Ryde [New South Wales]</v>
      </c>
      <c r="I7" t="str">
        <f>_xlfn.XLOOKUP($E7,Sheet1!$E:$E,Sheet1!I:I)</f>
        <v>Default station</v>
      </c>
      <c r="K7" t="s">
        <v>1098</v>
      </c>
      <c r="L7">
        <v>16013399</v>
      </c>
    </row>
    <row r="8" spans="1:20" x14ac:dyDescent="0.25">
      <c r="A8" t="s">
        <v>20</v>
      </c>
      <c r="B8" t="s">
        <v>24</v>
      </c>
      <c r="C8" t="s">
        <v>165</v>
      </c>
      <c r="E8" t="s">
        <v>21</v>
      </c>
      <c r="F8" t="str">
        <f>_xlfn.XLOOKUP($E8,Sheet1!$E:$E,Sheet1!F:F)</f>
        <v>North Ryde</v>
      </c>
      <c r="G8" t="str">
        <f>_xlfn.XLOOKUP($E8,Sheet1!$E:$E,Sheet1!G:G)</f>
        <v>North Ryde [New South Wales]</v>
      </c>
      <c r="I8" t="str">
        <f>_xlfn.XLOOKUP($E8,Sheet1!$E:$E,Sheet1!I:I)</f>
        <v>Default station</v>
      </c>
      <c r="K8" t="s">
        <v>1099</v>
      </c>
      <c r="L8">
        <v>170935</v>
      </c>
    </row>
    <row r="9" spans="1:20" x14ac:dyDescent="0.25">
      <c r="A9" t="s">
        <v>20</v>
      </c>
      <c r="B9" t="s">
        <v>24</v>
      </c>
      <c r="C9" t="s">
        <v>166</v>
      </c>
      <c r="E9" t="s">
        <v>21</v>
      </c>
      <c r="F9" t="str">
        <f>_xlfn.XLOOKUP($E9,Sheet1!$E:$E,Sheet1!F:F)</f>
        <v>North Ryde</v>
      </c>
      <c r="G9" t="str">
        <f>_xlfn.XLOOKUP($E9,Sheet1!$E:$E,Sheet1!G:G)</f>
        <v>North Ryde [New South Wales]</v>
      </c>
      <c r="I9" t="str">
        <f>_xlfn.XLOOKUP($E9,Sheet1!$E:$E,Sheet1!I:I)</f>
        <v>Default station</v>
      </c>
      <c r="K9" t="s">
        <v>92</v>
      </c>
      <c r="L9">
        <v>170269</v>
      </c>
    </row>
    <row r="10" spans="1:20" x14ac:dyDescent="0.25">
      <c r="A10" t="s">
        <v>20</v>
      </c>
      <c r="B10" t="s">
        <v>24</v>
      </c>
      <c r="C10" t="s">
        <v>167</v>
      </c>
      <c r="E10" t="s">
        <v>21</v>
      </c>
      <c r="F10" t="str">
        <f>_xlfn.XLOOKUP($E10,Sheet1!$E:$E,Sheet1!F:F)</f>
        <v>North Ryde</v>
      </c>
      <c r="G10" t="str">
        <f>_xlfn.XLOOKUP($E10,Sheet1!$E:$E,Sheet1!G:G)</f>
        <v>North Ryde [New South Wales]</v>
      </c>
      <c r="I10" t="str">
        <f>_xlfn.XLOOKUP($E10,Sheet1!$E:$E,Sheet1!I:I)</f>
        <v>Default station</v>
      </c>
      <c r="K10" t="s">
        <v>1100</v>
      </c>
      <c r="L10">
        <v>170267</v>
      </c>
    </row>
    <row r="11" spans="1:20" x14ac:dyDescent="0.25">
      <c r="A11" t="s">
        <v>20</v>
      </c>
      <c r="B11" t="s">
        <v>24</v>
      </c>
      <c r="C11" t="s">
        <v>168</v>
      </c>
      <c r="E11" t="s">
        <v>21</v>
      </c>
      <c r="F11" t="str">
        <f>_xlfn.XLOOKUP($E11,Sheet1!$E:$E,Sheet1!F:F)</f>
        <v>North Ryde</v>
      </c>
      <c r="G11" t="str">
        <f>_xlfn.XLOOKUP($E11,Sheet1!$E:$E,Sheet1!G:G)</f>
        <v>North Ryde [New South Wales]</v>
      </c>
      <c r="I11" t="str">
        <f>_xlfn.XLOOKUP($E11,Sheet1!$E:$E,Sheet1!I:I)</f>
        <v>Default station</v>
      </c>
      <c r="K11" t="s">
        <v>1101</v>
      </c>
      <c r="L11">
        <v>16011998</v>
      </c>
    </row>
    <row r="12" spans="1:20" x14ac:dyDescent="0.25">
      <c r="A12" t="s">
        <v>20</v>
      </c>
      <c r="B12" t="s">
        <v>24</v>
      </c>
      <c r="C12" t="s">
        <v>169</v>
      </c>
      <c r="E12" t="s">
        <v>21</v>
      </c>
      <c r="F12" t="str">
        <f>_xlfn.XLOOKUP($E12,Sheet1!$E:$E,Sheet1!F:F)</f>
        <v>North Ryde</v>
      </c>
      <c r="G12" t="str">
        <f>_xlfn.XLOOKUP($E12,Sheet1!$E:$E,Sheet1!G:G)</f>
        <v>North Ryde [New South Wales]</v>
      </c>
      <c r="I12" t="str">
        <f>_xlfn.XLOOKUP($E12,Sheet1!$E:$E,Sheet1!I:I)</f>
        <v>Default station</v>
      </c>
      <c r="K12" t="s">
        <v>1102</v>
      </c>
      <c r="L12">
        <v>170811</v>
      </c>
    </row>
    <row r="13" spans="1:20" x14ac:dyDescent="0.25">
      <c r="A13" t="s">
        <v>20</v>
      </c>
      <c r="B13" t="s">
        <v>24</v>
      </c>
      <c r="C13" t="s">
        <v>170</v>
      </c>
      <c r="E13" t="s">
        <v>21</v>
      </c>
      <c r="F13" t="str">
        <f>_xlfn.XLOOKUP($E13,Sheet1!$E:$E,Sheet1!F:F)</f>
        <v>North Ryde</v>
      </c>
      <c r="G13" t="str">
        <f>_xlfn.XLOOKUP($E13,Sheet1!$E:$E,Sheet1!G:G)</f>
        <v>North Ryde [New South Wales]</v>
      </c>
      <c r="I13" t="str">
        <f>_xlfn.XLOOKUP($E13,Sheet1!$E:$E,Sheet1!I:I)</f>
        <v>Default station</v>
      </c>
      <c r="K13" t="s">
        <v>1103</v>
      </c>
      <c r="L13">
        <v>241604</v>
      </c>
    </row>
    <row r="14" spans="1:20" x14ac:dyDescent="0.25">
      <c r="A14" t="s">
        <v>20</v>
      </c>
      <c r="B14" t="s">
        <v>24</v>
      </c>
      <c r="C14" t="s">
        <v>171</v>
      </c>
      <c r="E14" t="s">
        <v>21</v>
      </c>
      <c r="F14" t="str">
        <f>_xlfn.XLOOKUP($E14,Sheet1!$E:$E,Sheet1!F:F)</f>
        <v>North Ryde</v>
      </c>
      <c r="G14" t="str">
        <f>_xlfn.XLOOKUP($E14,Sheet1!$E:$E,Sheet1!G:G)</f>
        <v>North Ryde [New South Wales]</v>
      </c>
      <c r="I14" t="str">
        <f>_xlfn.XLOOKUP($E14,Sheet1!$E:$E,Sheet1!I:I)</f>
        <v>Default station</v>
      </c>
      <c r="K14" t="s">
        <v>1104</v>
      </c>
      <c r="L14">
        <v>170131</v>
      </c>
    </row>
    <row r="15" spans="1:20" x14ac:dyDescent="0.25">
      <c r="A15" t="s">
        <v>20</v>
      </c>
      <c r="B15" t="s">
        <v>24</v>
      </c>
      <c r="C15" t="s">
        <v>172</v>
      </c>
      <c r="E15" t="s">
        <v>21</v>
      </c>
      <c r="F15" t="str">
        <f>_xlfn.XLOOKUP($E15,Sheet1!$E:$E,Sheet1!F:F)</f>
        <v>North Ryde</v>
      </c>
      <c r="G15" t="str">
        <f>_xlfn.XLOOKUP($E15,Sheet1!$E:$E,Sheet1!G:G)</f>
        <v>North Ryde [New South Wales]</v>
      </c>
      <c r="I15" t="str">
        <f>_xlfn.XLOOKUP($E15,Sheet1!$E:$E,Sheet1!I:I)</f>
        <v>Default station</v>
      </c>
      <c r="K15" t="s">
        <v>1105</v>
      </c>
      <c r="L15">
        <v>240117</v>
      </c>
    </row>
    <row r="16" spans="1:20" x14ac:dyDescent="0.25">
      <c r="A16" t="s">
        <v>20</v>
      </c>
      <c r="B16" t="s">
        <v>24</v>
      </c>
      <c r="C16" t="s">
        <v>173</v>
      </c>
      <c r="E16" t="s">
        <v>21</v>
      </c>
      <c r="F16" t="str">
        <f>_xlfn.XLOOKUP($E16,Sheet1!$E:$E,Sheet1!F:F)</f>
        <v>North Ryde</v>
      </c>
      <c r="G16" t="str">
        <f>_xlfn.XLOOKUP($E16,Sheet1!$E:$E,Sheet1!G:G)</f>
        <v>North Ryde [New South Wales]</v>
      </c>
      <c r="I16" t="str">
        <f>_xlfn.XLOOKUP($E16,Sheet1!$E:$E,Sheet1!I:I)</f>
        <v>Default station</v>
      </c>
      <c r="K16" t="s">
        <v>112</v>
      </c>
      <c r="L16">
        <v>170517</v>
      </c>
    </row>
    <row r="17" spans="1:12" x14ac:dyDescent="0.25">
      <c r="A17" t="s">
        <v>20</v>
      </c>
      <c r="B17" t="s">
        <v>24</v>
      </c>
      <c r="C17" t="s">
        <v>174</v>
      </c>
      <c r="E17" t="s">
        <v>21</v>
      </c>
      <c r="F17" t="str">
        <f>_xlfn.XLOOKUP($E17,Sheet1!$E:$E,Sheet1!F:F)</f>
        <v>North Ryde</v>
      </c>
      <c r="G17" t="str">
        <f>_xlfn.XLOOKUP($E17,Sheet1!$E:$E,Sheet1!G:G)</f>
        <v>North Ryde [New South Wales]</v>
      </c>
      <c r="I17" t="str">
        <f>_xlfn.XLOOKUP($E17,Sheet1!$E:$E,Sheet1!I:I)</f>
        <v>Default station</v>
      </c>
      <c r="K17" t="s">
        <v>1106</v>
      </c>
      <c r="L17">
        <v>170860</v>
      </c>
    </row>
    <row r="18" spans="1:12" x14ac:dyDescent="0.25">
      <c r="A18" t="s">
        <v>20</v>
      </c>
      <c r="B18" t="s">
        <v>24</v>
      </c>
      <c r="C18" t="s">
        <v>175</v>
      </c>
      <c r="E18" t="s">
        <v>21</v>
      </c>
      <c r="F18" t="str">
        <f>_xlfn.XLOOKUP($E18,Sheet1!$E:$E,Sheet1!F:F)</f>
        <v>North Ryde</v>
      </c>
      <c r="G18" t="str">
        <f>_xlfn.XLOOKUP($E18,Sheet1!$E:$E,Sheet1!G:G)</f>
        <v>North Ryde [New South Wales]</v>
      </c>
      <c r="I18" t="str">
        <f>_xlfn.XLOOKUP($E18,Sheet1!$E:$E,Sheet1!I:I)</f>
        <v>Default station</v>
      </c>
      <c r="K18" t="s">
        <v>1107</v>
      </c>
      <c r="L18">
        <v>170292</v>
      </c>
    </row>
    <row r="19" spans="1:12" x14ac:dyDescent="0.25">
      <c r="A19" t="s">
        <v>20</v>
      </c>
      <c r="B19" t="s">
        <v>24</v>
      </c>
      <c r="C19" t="s">
        <v>176</v>
      </c>
      <c r="E19" t="s">
        <v>21</v>
      </c>
      <c r="F19" t="str">
        <f>_xlfn.XLOOKUP($E19,Sheet1!$E:$E,Sheet1!F:F)</f>
        <v>North Ryde</v>
      </c>
      <c r="G19" t="str">
        <f>_xlfn.XLOOKUP($E19,Sheet1!$E:$E,Sheet1!G:G)</f>
        <v>North Ryde [New South Wales]</v>
      </c>
      <c r="I19" t="str">
        <f>_xlfn.XLOOKUP($E19,Sheet1!$E:$E,Sheet1!I:I)</f>
        <v>Default station</v>
      </c>
      <c r="K19" t="s">
        <v>1108</v>
      </c>
      <c r="L19">
        <v>170231</v>
      </c>
    </row>
    <row r="20" spans="1:12" x14ac:dyDescent="0.25">
      <c r="A20" t="s">
        <v>20</v>
      </c>
      <c r="B20" t="s">
        <v>24</v>
      </c>
      <c r="C20" t="s">
        <v>177</v>
      </c>
      <c r="E20" t="s">
        <v>21</v>
      </c>
      <c r="F20" t="str">
        <f>_xlfn.XLOOKUP($E20,Sheet1!$E:$E,Sheet1!F:F)</f>
        <v>North Ryde</v>
      </c>
      <c r="G20" t="str">
        <f>_xlfn.XLOOKUP($E20,Sheet1!$E:$E,Sheet1!G:G)</f>
        <v>North Ryde [New South Wales]</v>
      </c>
      <c r="I20" t="str">
        <f>_xlfn.XLOOKUP($E20,Sheet1!$E:$E,Sheet1!I:I)</f>
        <v>Default station</v>
      </c>
      <c r="K20" t="s">
        <v>1109</v>
      </c>
      <c r="L20">
        <v>241721</v>
      </c>
    </row>
    <row r="21" spans="1:12" x14ac:dyDescent="0.25">
      <c r="A21" t="s">
        <v>20</v>
      </c>
      <c r="B21" t="s">
        <v>24</v>
      </c>
      <c r="C21" t="s">
        <v>178</v>
      </c>
      <c r="E21" t="s">
        <v>21</v>
      </c>
      <c r="F21" t="str">
        <f>_xlfn.XLOOKUP($E21,Sheet1!$E:$E,Sheet1!F:F)</f>
        <v>North Ryde</v>
      </c>
      <c r="G21" t="str">
        <f>_xlfn.XLOOKUP($E21,Sheet1!$E:$E,Sheet1!G:G)</f>
        <v>North Ryde [New South Wales]</v>
      </c>
      <c r="I21" t="str">
        <f>_xlfn.XLOOKUP($E21,Sheet1!$E:$E,Sheet1!I:I)</f>
        <v>Default station</v>
      </c>
      <c r="K21" t="s">
        <v>1110</v>
      </c>
      <c r="L21">
        <v>241733</v>
      </c>
    </row>
    <row r="22" spans="1:12" x14ac:dyDescent="0.25">
      <c r="A22" t="s">
        <v>20</v>
      </c>
      <c r="B22" t="s">
        <v>24</v>
      </c>
      <c r="C22" t="s">
        <v>179</v>
      </c>
      <c r="E22" t="s">
        <v>21</v>
      </c>
      <c r="F22" t="str">
        <f>_xlfn.XLOOKUP($E22,Sheet1!$E:$E,Sheet1!F:F)</f>
        <v>North Ryde</v>
      </c>
      <c r="G22" t="str">
        <f>_xlfn.XLOOKUP($E22,Sheet1!$E:$E,Sheet1!G:G)</f>
        <v>North Ryde [New South Wales]</v>
      </c>
      <c r="I22" t="str">
        <f>_xlfn.XLOOKUP($E22,Sheet1!$E:$E,Sheet1!I:I)</f>
        <v>Default station</v>
      </c>
      <c r="K22" t="s">
        <v>1111</v>
      </c>
      <c r="L22">
        <v>170305</v>
      </c>
    </row>
    <row r="23" spans="1:12" x14ac:dyDescent="0.25">
      <c r="A23" t="s">
        <v>20</v>
      </c>
      <c r="B23" t="s">
        <v>24</v>
      </c>
      <c r="C23" t="s">
        <v>180</v>
      </c>
      <c r="E23" t="s">
        <v>21</v>
      </c>
      <c r="F23" t="str">
        <f>_xlfn.XLOOKUP($E23,Sheet1!$E:$E,Sheet1!F:F)</f>
        <v>North Ryde</v>
      </c>
      <c r="G23" t="str">
        <f>_xlfn.XLOOKUP($E23,Sheet1!$E:$E,Sheet1!G:G)</f>
        <v>North Ryde [New South Wales]</v>
      </c>
      <c r="I23" t="str">
        <f>_xlfn.XLOOKUP($E23,Sheet1!$E:$E,Sheet1!I:I)</f>
        <v>Default station</v>
      </c>
      <c r="K23" t="s">
        <v>1112</v>
      </c>
      <c r="L23">
        <v>170910</v>
      </c>
    </row>
    <row r="24" spans="1:12" x14ac:dyDescent="0.25">
      <c r="A24" t="s">
        <v>20</v>
      </c>
      <c r="B24" t="s">
        <v>24</v>
      </c>
      <c r="C24" t="s">
        <v>181</v>
      </c>
      <c r="E24" t="s">
        <v>21</v>
      </c>
      <c r="F24" t="str">
        <f>_xlfn.XLOOKUP($E24,Sheet1!$E:$E,Sheet1!F:F)</f>
        <v>North Ryde</v>
      </c>
      <c r="G24" t="str">
        <f>_xlfn.XLOOKUP($E24,Sheet1!$E:$E,Sheet1!G:G)</f>
        <v>North Ryde [New South Wales]</v>
      </c>
      <c r="I24" t="str">
        <f>_xlfn.XLOOKUP($E24,Sheet1!$E:$E,Sheet1!I:I)</f>
        <v>Default station</v>
      </c>
      <c r="K24" t="s">
        <v>39</v>
      </c>
      <c r="L24">
        <v>170402</v>
      </c>
    </row>
    <row r="25" spans="1:12" x14ac:dyDescent="0.25">
      <c r="A25" t="s">
        <v>20</v>
      </c>
      <c r="B25" t="s">
        <v>24</v>
      </c>
      <c r="C25" t="s">
        <v>182</v>
      </c>
      <c r="E25" t="s">
        <v>21</v>
      </c>
      <c r="F25" t="str">
        <f>_xlfn.XLOOKUP($E25,Sheet1!$E:$E,Sheet1!F:F)</f>
        <v>North Ryde</v>
      </c>
      <c r="G25" t="str">
        <f>_xlfn.XLOOKUP($E25,Sheet1!$E:$E,Sheet1!G:G)</f>
        <v>North Ryde [New South Wales]</v>
      </c>
      <c r="I25" t="str">
        <f>_xlfn.XLOOKUP($E25,Sheet1!$E:$E,Sheet1!I:I)</f>
        <v>Default station</v>
      </c>
      <c r="K25" t="s">
        <v>1113</v>
      </c>
      <c r="L25">
        <v>170362</v>
      </c>
    </row>
    <row r="26" spans="1:12" x14ac:dyDescent="0.25">
      <c r="A26" t="s">
        <v>20</v>
      </c>
      <c r="B26" t="s">
        <v>24</v>
      </c>
      <c r="C26" t="s">
        <v>183</v>
      </c>
      <c r="E26" t="s">
        <v>21</v>
      </c>
      <c r="F26" t="str">
        <f>_xlfn.XLOOKUP($E26,Sheet1!$E:$E,Sheet1!F:F)</f>
        <v>North Ryde</v>
      </c>
      <c r="G26" t="str">
        <f>_xlfn.XLOOKUP($E26,Sheet1!$E:$E,Sheet1!G:G)</f>
        <v>North Ryde [New South Wales]</v>
      </c>
      <c r="I26" t="str">
        <f>_xlfn.XLOOKUP($E26,Sheet1!$E:$E,Sheet1!I:I)</f>
        <v>Default station</v>
      </c>
      <c r="K26" t="s">
        <v>1114</v>
      </c>
      <c r="L26">
        <v>305001</v>
      </c>
    </row>
    <row r="27" spans="1:12" x14ac:dyDescent="0.25">
      <c r="A27" t="s">
        <v>20</v>
      </c>
      <c r="B27" t="s">
        <v>24</v>
      </c>
      <c r="C27" t="s">
        <v>184</v>
      </c>
      <c r="E27" t="s">
        <v>21</v>
      </c>
      <c r="F27" t="str">
        <f>_xlfn.XLOOKUP($E27,Sheet1!$E:$E,Sheet1!F:F)</f>
        <v>North Ryde</v>
      </c>
      <c r="G27" t="str">
        <f>_xlfn.XLOOKUP($E27,Sheet1!$E:$E,Sheet1!G:G)</f>
        <v>North Ryde [New South Wales]</v>
      </c>
      <c r="I27" t="str">
        <f>_xlfn.XLOOKUP($E27,Sheet1!$E:$E,Sheet1!I:I)</f>
        <v>Default station</v>
      </c>
      <c r="K27" t="s">
        <v>90</v>
      </c>
      <c r="L27">
        <v>170251</v>
      </c>
    </row>
    <row r="28" spans="1:12" x14ac:dyDescent="0.25">
      <c r="A28" t="s">
        <v>20</v>
      </c>
      <c r="B28" t="s">
        <v>24</v>
      </c>
      <c r="C28" t="s">
        <v>185</v>
      </c>
      <c r="E28" t="s">
        <v>21</v>
      </c>
      <c r="F28" t="str">
        <f>_xlfn.XLOOKUP($E28,Sheet1!$E:$E,Sheet1!F:F)</f>
        <v>North Ryde</v>
      </c>
      <c r="G28" t="str">
        <f>_xlfn.XLOOKUP($E28,Sheet1!$E:$E,Sheet1!G:G)</f>
        <v>North Ryde [New South Wales]</v>
      </c>
      <c r="I28" t="str">
        <f>_xlfn.XLOOKUP($E28,Sheet1!$E:$E,Sheet1!I:I)</f>
        <v>Default station</v>
      </c>
      <c r="K28" t="s">
        <v>1115</v>
      </c>
      <c r="L28">
        <v>241984</v>
      </c>
    </row>
    <row r="29" spans="1:12" x14ac:dyDescent="0.25">
      <c r="A29" t="s">
        <v>20</v>
      </c>
      <c r="B29" t="s">
        <v>24</v>
      </c>
      <c r="C29" t="s">
        <v>186</v>
      </c>
      <c r="E29" t="s">
        <v>21</v>
      </c>
      <c r="F29" t="str">
        <f>_xlfn.XLOOKUP($E29,Sheet1!$E:$E,Sheet1!F:F)</f>
        <v>North Ryde</v>
      </c>
      <c r="G29" t="str">
        <f>_xlfn.XLOOKUP($E29,Sheet1!$E:$E,Sheet1!G:G)</f>
        <v>North Ryde [New South Wales]</v>
      </c>
      <c r="I29" t="str">
        <f>_xlfn.XLOOKUP($E29,Sheet1!$E:$E,Sheet1!I:I)</f>
        <v>Default station</v>
      </c>
      <c r="K29" t="s">
        <v>1116</v>
      </c>
      <c r="L29">
        <v>16012018</v>
      </c>
    </row>
    <row r="30" spans="1:12" x14ac:dyDescent="0.25">
      <c r="A30" t="s">
        <v>20</v>
      </c>
      <c r="B30" t="s">
        <v>24</v>
      </c>
      <c r="C30" t="s">
        <v>187</v>
      </c>
      <c r="E30" t="s">
        <v>21</v>
      </c>
      <c r="F30" t="str">
        <f>_xlfn.XLOOKUP($E30,Sheet1!$E:$E,Sheet1!F:F)</f>
        <v>North Ryde</v>
      </c>
      <c r="G30" t="str">
        <f>_xlfn.XLOOKUP($E30,Sheet1!$E:$E,Sheet1!G:G)</f>
        <v>North Ryde [New South Wales]</v>
      </c>
      <c r="I30" t="str">
        <f>_xlfn.XLOOKUP($E30,Sheet1!$E:$E,Sheet1!I:I)</f>
        <v>Default station</v>
      </c>
      <c r="K30" t="s">
        <v>1117</v>
      </c>
      <c r="L30">
        <v>170266</v>
      </c>
    </row>
    <row r="31" spans="1:12" x14ac:dyDescent="0.25">
      <c r="A31" t="s">
        <v>20</v>
      </c>
      <c r="B31" t="s">
        <v>24</v>
      </c>
      <c r="C31" t="s">
        <v>188</v>
      </c>
      <c r="E31" t="s">
        <v>21</v>
      </c>
      <c r="F31" t="str">
        <f>_xlfn.XLOOKUP($E31,Sheet1!$E:$E,Sheet1!F:F)</f>
        <v>North Ryde</v>
      </c>
      <c r="G31" t="str">
        <f>_xlfn.XLOOKUP($E31,Sheet1!$E:$E,Sheet1!G:G)</f>
        <v>North Ryde [New South Wales]</v>
      </c>
      <c r="I31" t="str">
        <f>_xlfn.XLOOKUP($E31,Sheet1!$E:$E,Sheet1!I:I)</f>
        <v>Default station</v>
      </c>
      <c r="K31" t="s">
        <v>1118</v>
      </c>
      <c r="L31">
        <v>241983</v>
      </c>
    </row>
    <row r="32" spans="1:12" x14ac:dyDescent="0.25">
      <c r="A32" t="s">
        <v>20</v>
      </c>
      <c r="B32" t="s">
        <v>24</v>
      </c>
      <c r="C32" t="s">
        <v>189</v>
      </c>
      <c r="E32" t="s">
        <v>21</v>
      </c>
      <c r="F32" t="str">
        <f>_xlfn.XLOOKUP($E32,Sheet1!$E:$E,Sheet1!F:F)</f>
        <v>North Ryde</v>
      </c>
      <c r="G32" t="str">
        <f>_xlfn.XLOOKUP($E32,Sheet1!$E:$E,Sheet1!G:G)</f>
        <v>North Ryde [New South Wales]</v>
      </c>
      <c r="I32" t="str">
        <f>_xlfn.XLOOKUP($E32,Sheet1!$E:$E,Sheet1!I:I)</f>
        <v>Default station</v>
      </c>
      <c r="K32" t="s">
        <v>1119</v>
      </c>
      <c r="L32">
        <v>170516</v>
      </c>
    </row>
    <row r="33" spans="1:12" x14ac:dyDescent="0.25">
      <c r="A33" t="s">
        <v>20</v>
      </c>
      <c r="B33" t="s">
        <v>24</v>
      </c>
      <c r="C33" t="s">
        <v>190</v>
      </c>
      <c r="E33" t="s">
        <v>21</v>
      </c>
      <c r="F33" t="str">
        <f>_xlfn.XLOOKUP($E33,Sheet1!$E:$E,Sheet1!F:F)</f>
        <v>North Ryde</v>
      </c>
      <c r="G33" t="str">
        <f>_xlfn.XLOOKUP($E33,Sheet1!$E:$E,Sheet1!G:G)</f>
        <v>North Ryde [New South Wales]</v>
      </c>
      <c r="I33" t="str">
        <f>_xlfn.XLOOKUP($E33,Sheet1!$E:$E,Sheet1!I:I)</f>
        <v>Default station</v>
      </c>
      <c r="K33" t="s">
        <v>1120</v>
      </c>
      <c r="L33">
        <v>37740097</v>
      </c>
    </row>
    <row r="34" spans="1:12" x14ac:dyDescent="0.25">
      <c r="A34" t="s">
        <v>20</v>
      </c>
      <c r="B34" t="s">
        <v>24</v>
      </c>
      <c r="C34" t="s">
        <v>191</v>
      </c>
      <c r="E34" t="s">
        <v>21</v>
      </c>
      <c r="F34" t="str">
        <f>_xlfn.XLOOKUP($E34,Sheet1!$E:$E,Sheet1!F:F)</f>
        <v>North Ryde</v>
      </c>
      <c r="G34" t="str">
        <f>_xlfn.XLOOKUP($E34,Sheet1!$E:$E,Sheet1!G:G)</f>
        <v>North Ryde [New South Wales]</v>
      </c>
      <c r="I34" t="str">
        <f>_xlfn.XLOOKUP($E34,Sheet1!$E:$E,Sheet1!I:I)</f>
        <v>Default station</v>
      </c>
      <c r="K34" t="s">
        <v>1121</v>
      </c>
      <c r="L34">
        <v>170111</v>
      </c>
    </row>
    <row r="35" spans="1:12" x14ac:dyDescent="0.25">
      <c r="A35" t="s">
        <v>20</v>
      </c>
      <c r="B35" t="s">
        <v>24</v>
      </c>
      <c r="C35" t="s">
        <v>192</v>
      </c>
      <c r="E35" t="s">
        <v>21</v>
      </c>
      <c r="F35" t="str">
        <f>_xlfn.XLOOKUP($E35,Sheet1!$E:$E,Sheet1!F:F)</f>
        <v>North Ryde</v>
      </c>
      <c r="G35" t="str">
        <f>_xlfn.XLOOKUP($E35,Sheet1!$E:$E,Sheet1!G:G)</f>
        <v>North Ryde [New South Wales]</v>
      </c>
      <c r="I35" t="str">
        <f>_xlfn.XLOOKUP($E35,Sheet1!$E:$E,Sheet1!I:I)</f>
        <v>Default station</v>
      </c>
      <c r="K35" t="s">
        <v>1122</v>
      </c>
      <c r="L35">
        <v>241821</v>
      </c>
    </row>
    <row r="36" spans="1:12" x14ac:dyDescent="0.25">
      <c r="A36" t="s">
        <v>20</v>
      </c>
      <c r="B36" t="s">
        <v>24</v>
      </c>
      <c r="C36" t="s">
        <v>193</v>
      </c>
      <c r="E36" t="s">
        <v>21</v>
      </c>
      <c r="F36" t="str">
        <f>_xlfn.XLOOKUP($E36,Sheet1!$E:$E,Sheet1!F:F)</f>
        <v>North Ryde</v>
      </c>
      <c r="G36" t="str">
        <f>_xlfn.XLOOKUP($E36,Sheet1!$E:$E,Sheet1!G:G)</f>
        <v>North Ryde [New South Wales]</v>
      </c>
      <c r="I36" t="str">
        <f>_xlfn.XLOOKUP($E36,Sheet1!$E:$E,Sheet1!I:I)</f>
        <v>Default station</v>
      </c>
      <c r="K36" t="s">
        <v>1123</v>
      </c>
      <c r="L36">
        <v>16013433</v>
      </c>
    </row>
    <row r="37" spans="1:12" x14ac:dyDescent="0.25">
      <c r="A37" t="s">
        <v>20</v>
      </c>
      <c r="B37" t="s">
        <v>24</v>
      </c>
      <c r="C37" t="s">
        <v>194</v>
      </c>
      <c r="E37" t="s">
        <v>21</v>
      </c>
      <c r="F37" t="str">
        <f>_xlfn.XLOOKUP($E37,Sheet1!$E:$E,Sheet1!F:F)</f>
        <v>North Ryde</v>
      </c>
      <c r="G37" t="str">
        <f>_xlfn.XLOOKUP($E37,Sheet1!$E:$E,Sheet1!G:G)</f>
        <v>North Ryde [New South Wales]</v>
      </c>
      <c r="I37" t="str">
        <f>_xlfn.XLOOKUP($E37,Sheet1!$E:$E,Sheet1!I:I)</f>
        <v>Default station</v>
      </c>
      <c r="K37" t="s">
        <v>118</v>
      </c>
      <c r="L37">
        <v>170617</v>
      </c>
    </row>
    <row r="38" spans="1:12" x14ac:dyDescent="0.25">
      <c r="A38" t="s">
        <v>20</v>
      </c>
      <c r="B38" t="s">
        <v>24</v>
      </c>
      <c r="C38" t="s">
        <v>195</v>
      </c>
      <c r="E38" t="s">
        <v>21</v>
      </c>
      <c r="F38" t="str">
        <f>_xlfn.XLOOKUP($E38,Sheet1!$E:$E,Sheet1!F:F)</f>
        <v>North Ryde</v>
      </c>
      <c r="G38" t="str">
        <f>_xlfn.XLOOKUP($E38,Sheet1!$E:$E,Sheet1!G:G)</f>
        <v>North Ryde [New South Wales]</v>
      </c>
      <c r="I38" t="str">
        <f>_xlfn.XLOOKUP($E38,Sheet1!$E:$E,Sheet1!I:I)</f>
        <v>Default station</v>
      </c>
      <c r="K38" t="s">
        <v>1124</v>
      </c>
      <c r="L38">
        <v>170934</v>
      </c>
    </row>
    <row r="39" spans="1:12" x14ac:dyDescent="0.25">
      <c r="A39" t="s">
        <v>20</v>
      </c>
      <c r="B39" t="s">
        <v>24</v>
      </c>
      <c r="C39" t="s">
        <v>196</v>
      </c>
      <c r="E39" t="s">
        <v>21</v>
      </c>
      <c r="F39" t="str">
        <f>_xlfn.XLOOKUP($E39,Sheet1!$E:$E,Sheet1!F:F)</f>
        <v>North Ryde</v>
      </c>
      <c r="G39" t="str">
        <f>_xlfn.XLOOKUP($E39,Sheet1!$E:$E,Sheet1!G:G)</f>
        <v>North Ryde [New South Wales]</v>
      </c>
      <c r="I39" t="str">
        <f>_xlfn.XLOOKUP($E39,Sheet1!$E:$E,Sheet1!I:I)</f>
        <v>Default station</v>
      </c>
      <c r="K39" t="s">
        <v>1125</v>
      </c>
      <c r="L39">
        <v>2416000202</v>
      </c>
    </row>
    <row r="40" spans="1:12" x14ac:dyDescent="0.25">
      <c r="A40" t="s">
        <v>20</v>
      </c>
      <c r="B40" t="s">
        <v>24</v>
      </c>
      <c r="C40" t="s">
        <v>197</v>
      </c>
      <c r="E40" t="s">
        <v>21</v>
      </c>
      <c r="F40" t="str">
        <f>_xlfn.XLOOKUP($E40,Sheet1!$E:$E,Sheet1!F:F)</f>
        <v>North Ryde</v>
      </c>
      <c r="G40" t="str">
        <f>_xlfn.XLOOKUP($E40,Sheet1!$E:$E,Sheet1!G:G)</f>
        <v>North Ryde [New South Wales]</v>
      </c>
      <c r="I40" t="str">
        <f>_xlfn.XLOOKUP($E40,Sheet1!$E:$E,Sheet1!I:I)</f>
        <v>Default station</v>
      </c>
      <c r="K40" t="s">
        <v>1126</v>
      </c>
      <c r="L40">
        <v>239003</v>
      </c>
    </row>
    <row r="41" spans="1:12" x14ac:dyDescent="0.25">
      <c r="A41" t="s">
        <v>20</v>
      </c>
      <c r="B41" t="s">
        <v>24</v>
      </c>
      <c r="C41" t="s">
        <v>198</v>
      </c>
      <c r="E41" t="s">
        <v>21</v>
      </c>
      <c r="F41" t="str">
        <f>_xlfn.XLOOKUP($E41,Sheet1!$E:$E,Sheet1!F:F)</f>
        <v>North Ryde</v>
      </c>
      <c r="G41" t="str">
        <f>_xlfn.XLOOKUP($E41,Sheet1!$E:$E,Sheet1!G:G)</f>
        <v>North Ryde [New South Wales]</v>
      </c>
      <c r="I41" t="str">
        <f>_xlfn.XLOOKUP($E41,Sheet1!$E:$E,Sheet1!I:I)</f>
        <v>Default station</v>
      </c>
      <c r="K41" t="s">
        <v>1127</v>
      </c>
      <c r="L41">
        <v>170253</v>
      </c>
    </row>
    <row r="42" spans="1:12" x14ac:dyDescent="0.25">
      <c r="A42" t="s">
        <v>20</v>
      </c>
      <c r="B42" t="s">
        <v>24</v>
      </c>
      <c r="C42" t="s">
        <v>199</v>
      </c>
      <c r="E42" t="s">
        <v>21</v>
      </c>
      <c r="F42" t="str">
        <f>_xlfn.XLOOKUP($E42,Sheet1!$E:$E,Sheet1!F:F)</f>
        <v>North Ryde</v>
      </c>
      <c r="G42" t="str">
        <f>_xlfn.XLOOKUP($E42,Sheet1!$E:$E,Sheet1!G:G)</f>
        <v>North Ryde [New South Wales]</v>
      </c>
      <c r="I42" t="str">
        <f>_xlfn.XLOOKUP($E42,Sheet1!$E:$E,Sheet1!I:I)</f>
        <v>Default station</v>
      </c>
      <c r="K42" t="s">
        <v>1128</v>
      </c>
      <c r="L42">
        <v>170616</v>
      </c>
    </row>
    <row r="43" spans="1:12" x14ac:dyDescent="0.25">
      <c r="A43" t="s">
        <v>20</v>
      </c>
      <c r="B43" t="s">
        <v>24</v>
      </c>
      <c r="C43" t="s">
        <v>200</v>
      </c>
      <c r="E43" t="s">
        <v>21</v>
      </c>
      <c r="F43" t="str">
        <f>_xlfn.XLOOKUP($E43,Sheet1!$E:$E,Sheet1!F:F)</f>
        <v>North Ryde</v>
      </c>
      <c r="G43" t="str">
        <f>_xlfn.XLOOKUP($E43,Sheet1!$E:$E,Sheet1!G:G)</f>
        <v>North Ryde [New South Wales]</v>
      </c>
      <c r="I43" t="str">
        <f>_xlfn.XLOOKUP($E43,Sheet1!$E:$E,Sheet1!I:I)</f>
        <v>Default station</v>
      </c>
      <c r="K43" t="s">
        <v>1129</v>
      </c>
      <c r="L43">
        <v>16015977</v>
      </c>
    </row>
    <row r="44" spans="1:12" x14ac:dyDescent="0.25">
      <c r="A44" t="s">
        <v>20</v>
      </c>
      <c r="B44" t="s">
        <v>24</v>
      </c>
      <c r="C44" t="s">
        <v>201</v>
      </c>
      <c r="E44" t="s">
        <v>21</v>
      </c>
      <c r="F44" t="str">
        <f>_xlfn.XLOOKUP($E44,Sheet1!$E:$E,Sheet1!F:F)</f>
        <v>North Ryde</v>
      </c>
      <c r="G44" t="str">
        <f>_xlfn.XLOOKUP($E44,Sheet1!$E:$E,Sheet1!G:G)</f>
        <v>North Ryde [New South Wales]</v>
      </c>
      <c r="I44" t="str">
        <f>_xlfn.XLOOKUP($E44,Sheet1!$E:$E,Sheet1!I:I)</f>
        <v>Default station</v>
      </c>
      <c r="K44" t="s">
        <v>1130</v>
      </c>
      <c r="L44">
        <v>241977</v>
      </c>
    </row>
    <row r="45" spans="1:12" x14ac:dyDescent="0.25">
      <c r="A45" t="s">
        <v>20</v>
      </c>
      <c r="B45" t="s">
        <v>24</v>
      </c>
      <c r="C45" t="s">
        <v>202</v>
      </c>
      <c r="E45" t="s">
        <v>21</v>
      </c>
      <c r="F45" t="str">
        <f>_xlfn.XLOOKUP($E45,Sheet1!$E:$E,Sheet1!F:F)</f>
        <v>North Ryde</v>
      </c>
      <c r="G45" t="str">
        <f>_xlfn.XLOOKUP($E45,Sheet1!$E:$E,Sheet1!G:G)</f>
        <v>North Ryde [New South Wales]</v>
      </c>
      <c r="I45" t="str">
        <f>_xlfn.XLOOKUP($E45,Sheet1!$E:$E,Sheet1!I:I)</f>
        <v>Default station</v>
      </c>
      <c r="K45" t="s">
        <v>1131</v>
      </c>
      <c r="L45">
        <v>241736</v>
      </c>
    </row>
    <row r="46" spans="1:12" x14ac:dyDescent="0.25">
      <c r="A46" t="s">
        <v>20</v>
      </c>
      <c r="B46" t="s">
        <v>24</v>
      </c>
      <c r="C46" t="s">
        <v>203</v>
      </c>
      <c r="E46" t="s">
        <v>21</v>
      </c>
      <c r="F46" t="str">
        <f>_xlfn.XLOOKUP($E46,Sheet1!$E:$E,Sheet1!F:F)</f>
        <v>North Ryde</v>
      </c>
      <c r="G46" t="str">
        <f>_xlfn.XLOOKUP($E46,Sheet1!$E:$E,Sheet1!G:G)</f>
        <v>North Ryde [New South Wales]</v>
      </c>
      <c r="I46" t="str">
        <f>_xlfn.XLOOKUP($E46,Sheet1!$E:$E,Sheet1!I:I)</f>
        <v>Default station</v>
      </c>
      <c r="K46" t="s">
        <v>1132</v>
      </c>
      <c r="L46">
        <v>24160252</v>
      </c>
    </row>
    <row r="47" spans="1:12" x14ac:dyDescent="0.25">
      <c r="A47" t="s">
        <v>20</v>
      </c>
      <c r="B47" t="s">
        <v>24</v>
      </c>
      <c r="C47" t="s">
        <v>204</v>
      </c>
      <c r="E47" t="s">
        <v>21</v>
      </c>
      <c r="F47" t="str">
        <f>_xlfn.XLOOKUP($E47,Sheet1!$E:$E,Sheet1!F:F)</f>
        <v>North Ryde</v>
      </c>
      <c r="G47" t="str">
        <f>_xlfn.XLOOKUP($E47,Sheet1!$E:$E,Sheet1!G:G)</f>
        <v>North Ryde [New South Wales]</v>
      </c>
      <c r="I47" t="str">
        <f>_xlfn.XLOOKUP($E47,Sheet1!$E:$E,Sheet1!I:I)</f>
        <v>Default station</v>
      </c>
      <c r="K47" t="s">
        <v>1133</v>
      </c>
      <c r="L47">
        <v>16016344</v>
      </c>
    </row>
    <row r="48" spans="1:12" x14ac:dyDescent="0.25">
      <c r="A48" t="s">
        <v>20</v>
      </c>
      <c r="B48" t="s">
        <v>24</v>
      </c>
      <c r="C48" t="s">
        <v>205</v>
      </c>
      <c r="E48" t="s">
        <v>21</v>
      </c>
      <c r="F48" t="str">
        <f>_xlfn.XLOOKUP($E48,Sheet1!$E:$E,Sheet1!F:F)</f>
        <v>North Ryde</v>
      </c>
      <c r="G48" t="str">
        <f>_xlfn.XLOOKUP($E48,Sheet1!$E:$E,Sheet1!G:G)</f>
        <v>North Ryde [New South Wales]</v>
      </c>
      <c r="I48" t="str">
        <f>_xlfn.XLOOKUP($E48,Sheet1!$E:$E,Sheet1!I:I)</f>
        <v>Default station</v>
      </c>
      <c r="K48" t="s">
        <v>1134</v>
      </c>
      <c r="L48">
        <v>16011492</v>
      </c>
    </row>
    <row r="49" spans="1:12" x14ac:dyDescent="0.25">
      <c r="A49" t="s">
        <v>20</v>
      </c>
      <c r="B49" t="s">
        <v>24</v>
      </c>
      <c r="C49" t="s">
        <v>206</v>
      </c>
      <c r="E49" t="s">
        <v>21</v>
      </c>
      <c r="F49" t="str">
        <f>_xlfn.XLOOKUP($E49,Sheet1!$E:$E,Sheet1!F:F)</f>
        <v>North Ryde</v>
      </c>
      <c r="G49" t="str">
        <f>_xlfn.XLOOKUP($E49,Sheet1!$E:$E,Sheet1!G:G)</f>
        <v>North Ryde [New South Wales]</v>
      </c>
      <c r="I49" t="str">
        <f>_xlfn.XLOOKUP($E49,Sheet1!$E:$E,Sheet1!I:I)</f>
        <v>Default station</v>
      </c>
      <c r="K49" t="s">
        <v>51</v>
      </c>
      <c r="L49">
        <v>170257</v>
      </c>
    </row>
    <row r="50" spans="1:12" x14ac:dyDescent="0.25">
      <c r="A50" t="s">
        <v>20</v>
      </c>
      <c r="B50" t="s">
        <v>24</v>
      </c>
      <c r="C50" t="s">
        <v>207</v>
      </c>
      <c r="E50" t="s">
        <v>21</v>
      </c>
      <c r="F50" t="str">
        <f>_xlfn.XLOOKUP($E50,Sheet1!$E:$E,Sheet1!F:F)</f>
        <v>North Ryde</v>
      </c>
      <c r="G50" t="str">
        <f>_xlfn.XLOOKUP($E50,Sheet1!$E:$E,Sheet1!G:G)</f>
        <v>North Ryde [New South Wales]</v>
      </c>
      <c r="I50" t="str">
        <f>_xlfn.XLOOKUP($E50,Sheet1!$E:$E,Sheet1!I:I)</f>
        <v>Default station</v>
      </c>
      <c r="K50" t="s">
        <v>1135</v>
      </c>
      <c r="L50">
        <v>150503</v>
      </c>
    </row>
    <row r="51" spans="1:12" x14ac:dyDescent="0.25">
      <c r="A51" t="s">
        <v>20</v>
      </c>
      <c r="B51" t="s">
        <v>24</v>
      </c>
      <c r="C51" t="s">
        <v>208</v>
      </c>
      <c r="E51" t="s">
        <v>21</v>
      </c>
      <c r="F51" t="str">
        <f>_xlfn.XLOOKUP($E51,Sheet1!$E:$E,Sheet1!F:F)</f>
        <v>North Ryde</v>
      </c>
      <c r="G51" t="str">
        <f>_xlfn.XLOOKUP($E51,Sheet1!$E:$E,Sheet1!G:G)</f>
        <v>North Ryde [New South Wales]</v>
      </c>
      <c r="I51" t="str">
        <f>_xlfn.XLOOKUP($E51,Sheet1!$E:$E,Sheet1!I:I)</f>
        <v>Default station</v>
      </c>
      <c r="K51" t="s">
        <v>1136</v>
      </c>
      <c r="L51">
        <v>170509</v>
      </c>
    </row>
    <row r="52" spans="1:12" x14ac:dyDescent="0.25">
      <c r="A52" t="s">
        <v>20</v>
      </c>
      <c r="B52" t="s">
        <v>24</v>
      </c>
      <c r="C52" t="s">
        <v>209</v>
      </c>
      <c r="E52" t="s">
        <v>21</v>
      </c>
      <c r="F52" t="str">
        <f>_xlfn.XLOOKUP($E52,Sheet1!$E:$E,Sheet1!F:F)</f>
        <v>North Ryde</v>
      </c>
      <c r="G52" t="str">
        <f>_xlfn.XLOOKUP($E52,Sheet1!$E:$E,Sheet1!G:G)</f>
        <v>North Ryde [New South Wales]</v>
      </c>
      <c r="I52" t="str">
        <f>_xlfn.XLOOKUP($E52,Sheet1!$E:$E,Sheet1!I:I)</f>
        <v>Default station</v>
      </c>
      <c r="K52" t="s">
        <v>1137</v>
      </c>
      <c r="L52">
        <v>170351</v>
      </c>
    </row>
    <row r="53" spans="1:12" x14ac:dyDescent="0.25">
      <c r="A53" t="s">
        <v>20</v>
      </c>
      <c r="B53" t="s">
        <v>24</v>
      </c>
      <c r="C53" t="s">
        <v>210</v>
      </c>
      <c r="E53" t="s">
        <v>21</v>
      </c>
      <c r="F53" t="str">
        <f>_xlfn.XLOOKUP($E53,Sheet1!$E:$E,Sheet1!F:F)</f>
        <v>North Ryde</v>
      </c>
      <c r="G53" t="str">
        <f>_xlfn.XLOOKUP($E53,Sheet1!$E:$E,Sheet1!G:G)</f>
        <v>North Ryde [New South Wales]</v>
      </c>
      <c r="I53" t="str">
        <f>_xlfn.XLOOKUP($E53,Sheet1!$E:$E,Sheet1!I:I)</f>
        <v>Default station</v>
      </c>
      <c r="K53" t="s">
        <v>1138</v>
      </c>
      <c r="L53">
        <v>16013400</v>
      </c>
    </row>
    <row r="54" spans="1:12" x14ac:dyDescent="0.25">
      <c r="A54" t="s">
        <v>20</v>
      </c>
      <c r="B54" t="s">
        <v>24</v>
      </c>
      <c r="C54" t="s">
        <v>211</v>
      </c>
      <c r="E54" t="s">
        <v>21</v>
      </c>
      <c r="F54" t="str">
        <f>_xlfn.XLOOKUP($E54,Sheet1!$E:$E,Sheet1!F:F)</f>
        <v>North Ryde</v>
      </c>
      <c r="G54" t="str">
        <f>_xlfn.XLOOKUP($E54,Sheet1!$E:$E,Sheet1!G:G)</f>
        <v>North Ryde [New South Wales]</v>
      </c>
      <c r="I54" t="str">
        <f>_xlfn.XLOOKUP($E54,Sheet1!$E:$E,Sheet1!I:I)</f>
        <v>Default station</v>
      </c>
      <c r="K54" t="s">
        <v>1139</v>
      </c>
      <c r="L54">
        <v>241985</v>
      </c>
    </row>
    <row r="55" spans="1:12" x14ac:dyDescent="0.25">
      <c r="A55" t="s">
        <v>20</v>
      </c>
      <c r="B55" t="s">
        <v>24</v>
      </c>
      <c r="C55" t="s">
        <v>212</v>
      </c>
      <c r="E55" t="s">
        <v>21</v>
      </c>
      <c r="F55" t="str">
        <f>_xlfn.XLOOKUP($E55,Sheet1!$E:$E,Sheet1!F:F)</f>
        <v>North Ryde</v>
      </c>
      <c r="G55" t="str">
        <f>_xlfn.XLOOKUP($E55,Sheet1!$E:$E,Sheet1!G:G)</f>
        <v>North Ryde [New South Wales]</v>
      </c>
      <c r="I55" t="str">
        <f>_xlfn.XLOOKUP($E55,Sheet1!$E:$E,Sheet1!I:I)</f>
        <v>Default station</v>
      </c>
      <c r="K55" t="s">
        <v>1140</v>
      </c>
      <c r="L55">
        <v>239012</v>
      </c>
    </row>
    <row r="56" spans="1:12" x14ac:dyDescent="0.25">
      <c r="A56" t="s">
        <v>20</v>
      </c>
      <c r="B56" t="s">
        <v>24</v>
      </c>
      <c r="C56" t="s">
        <v>213</v>
      </c>
      <c r="E56" t="s">
        <v>21</v>
      </c>
      <c r="F56" t="str">
        <f>_xlfn.XLOOKUP($E56,Sheet1!$E:$E,Sheet1!F:F)</f>
        <v>North Ryde</v>
      </c>
      <c r="G56" t="str">
        <f>_xlfn.XLOOKUP($E56,Sheet1!$E:$E,Sheet1!G:G)</f>
        <v>North Ryde [New South Wales]</v>
      </c>
      <c r="I56" t="str">
        <f>_xlfn.XLOOKUP($E56,Sheet1!$E:$E,Sheet1!I:I)</f>
        <v>Default station</v>
      </c>
      <c r="K56" t="s">
        <v>1141</v>
      </c>
      <c r="L56">
        <v>16011513</v>
      </c>
    </row>
    <row r="57" spans="1:12" x14ac:dyDescent="0.25">
      <c r="A57" t="s">
        <v>20</v>
      </c>
      <c r="B57" t="s">
        <v>24</v>
      </c>
      <c r="C57" t="s">
        <v>214</v>
      </c>
      <c r="E57" t="s">
        <v>21</v>
      </c>
      <c r="F57" t="str">
        <f>_xlfn.XLOOKUP($E57,Sheet1!$E:$E,Sheet1!F:F)</f>
        <v>North Ryde</v>
      </c>
      <c r="G57" t="str">
        <f>_xlfn.XLOOKUP($E57,Sheet1!$E:$E,Sheet1!G:G)</f>
        <v>North Ryde [New South Wales]</v>
      </c>
      <c r="I57" t="str">
        <f>_xlfn.XLOOKUP($E57,Sheet1!$E:$E,Sheet1!I:I)</f>
        <v>Default station</v>
      </c>
      <c r="K57" t="s">
        <v>1142</v>
      </c>
      <c r="L57">
        <v>16016228</v>
      </c>
    </row>
    <row r="58" spans="1:12" x14ac:dyDescent="0.25">
      <c r="A58" t="s">
        <v>20</v>
      </c>
      <c r="B58" t="s">
        <v>24</v>
      </c>
      <c r="C58" t="s">
        <v>215</v>
      </c>
      <c r="E58" t="s">
        <v>21</v>
      </c>
      <c r="F58" t="str">
        <f>_xlfn.XLOOKUP($E58,Sheet1!$E:$E,Sheet1!F:F)</f>
        <v>North Ryde</v>
      </c>
      <c r="G58" t="str">
        <f>_xlfn.XLOOKUP($E58,Sheet1!$E:$E,Sheet1!G:G)</f>
        <v>North Ryde [New South Wales]</v>
      </c>
      <c r="I58" t="str">
        <f>_xlfn.XLOOKUP($E58,Sheet1!$E:$E,Sheet1!I:I)</f>
        <v>Default station</v>
      </c>
      <c r="K58" t="s">
        <v>127</v>
      </c>
      <c r="L58">
        <v>240107</v>
      </c>
    </row>
    <row r="59" spans="1:12" x14ac:dyDescent="0.25">
      <c r="A59" t="s">
        <v>20</v>
      </c>
      <c r="B59" t="s">
        <v>24</v>
      </c>
      <c r="C59" t="s">
        <v>216</v>
      </c>
      <c r="E59" t="s">
        <v>21</v>
      </c>
      <c r="F59" t="str">
        <f>_xlfn.XLOOKUP($E59,Sheet1!$E:$E,Sheet1!F:F)</f>
        <v>North Ryde</v>
      </c>
      <c r="G59" t="str">
        <f>_xlfn.XLOOKUP($E59,Sheet1!$E:$E,Sheet1!G:G)</f>
        <v>North Ryde [New South Wales]</v>
      </c>
      <c r="I59" t="str">
        <f>_xlfn.XLOOKUP($E59,Sheet1!$E:$E,Sheet1!I:I)</f>
        <v>Default station</v>
      </c>
      <c r="K59" t="s">
        <v>1143</v>
      </c>
      <c r="L59">
        <v>170539</v>
      </c>
    </row>
    <row r="60" spans="1:12" x14ac:dyDescent="0.25">
      <c r="A60" t="s">
        <v>20</v>
      </c>
      <c r="B60" t="s">
        <v>24</v>
      </c>
      <c r="C60" t="s">
        <v>217</v>
      </c>
      <c r="E60" t="s">
        <v>21</v>
      </c>
      <c r="F60" t="str">
        <f>_xlfn.XLOOKUP($E60,Sheet1!$E:$E,Sheet1!F:F)</f>
        <v>North Ryde</v>
      </c>
      <c r="G60" t="str">
        <f>_xlfn.XLOOKUP($E60,Sheet1!$E:$E,Sheet1!G:G)</f>
        <v>North Ryde [New South Wales]</v>
      </c>
      <c r="I60" t="str">
        <f>_xlfn.XLOOKUP($E60,Sheet1!$E:$E,Sheet1!I:I)</f>
        <v>Default station</v>
      </c>
      <c r="K60" t="s">
        <v>1144</v>
      </c>
      <c r="L60">
        <v>241991</v>
      </c>
    </row>
    <row r="61" spans="1:12" x14ac:dyDescent="0.25">
      <c r="A61" t="s">
        <v>20</v>
      </c>
      <c r="B61" t="s">
        <v>24</v>
      </c>
      <c r="C61" t="s">
        <v>218</v>
      </c>
      <c r="E61" t="s">
        <v>21</v>
      </c>
      <c r="F61" t="str">
        <f>_xlfn.XLOOKUP($E61,Sheet1!$E:$E,Sheet1!F:F)</f>
        <v>North Ryde</v>
      </c>
      <c r="G61" t="str">
        <f>_xlfn.XLOOKUP($E61,Sheet1!$E:$E,Sheet1!G:G)</f>
        <v>North Ryde [New South Wales]</v>
      </c>
      <c r="I61" t="str">
        <f>_xlfn.XLOOKUP($E61,Sheet1!$E:$E,Sheet1!I:I)</f>
        <v>Default station</v>
      </c>
      <c r="K61" t="s">
        <v>1145</v>
      </c>
      <c r="L61">
        <v>170522</v>
      </c>
    </row>
    <row r="62" spans="1:12" x14ac:dyDescent="0.25">
      <c r="A62" t="s">
        <v>20</v>
      </c>
      <c r="B62" t="s">
        <v>24</v>
      </c>
      <c r="C62" t="s">
        <v>219</v>
      </c>
      <c r="E62" t="s">
        <v>21</v>
      </c>
      <c r="F62" t="str">
        <f>_xlfn.XLOOKUP($E62,Sheet1!$E:$E,Sheet1!F:F)</f>
        <v>North Ryde</v>
      </c>
      <c r="G62" t="str">
        <f>_xlfn.XLOOKUP($E62,Sheet1!$E:$E,Sheet1!G:G)</f>
        <v>North Ryde [New South Wales]</v>
      </c>
      <c r="I62" t="str">
        <f>_xlfn.XLOOKUP($E62,Sheet1!$E:$E,Sheet1!I:I)</f>
        <v>Default station</v>
      </c>
      <c r="K62" t="s">
        <v>91</v>
      </c>
      <c r="L62">
        <v>170232</v>
      </c>
    </row>
    <row r="63" spans="1:12" x14ac:dyDescent="0.25">
      <c r="A63" t="s">
        <v>20</v>
      </c>
      <c r="B63" t="s">
        <v>24</v>
      </c>
      <c r="C63" t="s">
        <v>220</v>
      </c>
      <c r="E63" t="s">
        <v>21</v>
      </c>
      <c r="F63" t="str">
        <f>_xlfn.XLOOKUP($E63,Sheet1!$E:$E,Sheet1!F:F)</f>
        <v>North Ryde</v>
      </c>
      <c r="G63" t="str">
        <f>_xlfn.XLOOKUP($E63,Sheet1!$E:$E,Sheet1!G:G)</f>
        <v>North Ryde [New South Wales]</v>
      </c>
      <c r="I63" t="str">
        <f>_xlfn.XLOOKUP($E63,Sheet1!$E:$E,Sheet1!I:I)</f>
        <v>Default station</v>
      </c>
      <c r="K63" t="s">
        <v>1146</v>
      </c>
      <c r="L63">
        <v>240106</v>
      </c>
    </row>
    <row r="64" spans="1:12" x14ac:dyDescent="0.25">
      <c r="A64" t="s">
        <v>20</v>
      </c>
      <c r="B64" t="s">
        <v>24</v>
      </c>
      <c r="C64" t="s">
        <v>221</v>
      </c>
      <c r="E64" t="s">
        <v>21</v>
      </c>
      <c r="F64" t="str">
        <f>_xlfn.XLOOKUP($E64,Sheet1!$E:$E,Sheet1!F:F)</f>
        <v>North Ryde</v>
      </c>
      <c r="G64" t="str">
        <f>_xlfn.XLOOKUP($E64,Sheet1!$E:$E,Sheet1!G:G)</f>
        <v>North Ryde [New South Wales]</v>
      </c>
      <c r="I64" t="str">
        <f>_xlfn.XLOOKUP($E64,Sheet1!$E:$E,Sheet1!I:I)</f>
        <v>Default station</v>
      </c>
      <c r="K64" t="s">
        <v>1147</v>
      </c>
      <c r="L64">
        <v>241822</v>
      </c>
    </row>
    <row r="65" spans="1:12" x14ac:dyDescent="0.25">
      <c r="A65" t="s">
        <v>20</v>
      </c>
      <c r="B65" t="s">
        <v>24</v>
      </c>
      <c r="C65" t="s">
        <v>222</v>
      </c>
      <c r="E65" t="s">
        <v>21</v>
      </c>
      <c r="F65" t="str">
        <f>_xlfn.XLOOKUP($E65,Sheet1!$E:$E,Sheet1!F:F)</f>
        <v>North Ryde</v>
      </c>
      <c r="G65" t="str">
        <f>_xlfn.XLOOKUP($E65,Sheet1!$E:$E,Sheet1!G:G)</f>
        <v>North Ryde [New South Wales]</v>
      </c>
      <c r="I65" t="str">
        <f>_xlfn.XLOOKUP($E65,Sheet1!$E:$E,Sheet1!I:I)</f>
        <v>Default station</v>
      </c>
      <c r="K65" t="s">
        <v>1148</v>
      </c>
      <c r="L65">
        <v>16016221</v>
      </c>
    </row>
    <row r="66" spans="1:12" x14ac:dyDescent="0.25">
      <c r="A66" t="s">
        <v>20</v>
      </c>
      <c r="B66" t="s">
        <v>24</v>
      </c>
      <c r="C66" t="s">
        <v>223</v>
      </c>
      <c r="E66" t="s">
        <v>21</v>
      </c>
      <c r="F66" t="str">
        <f>_xlfn.XLOOKUP($E66,Sheet1!$E:$E,Sheet1!F:F)</f>
        <v>North Ryde</v>
      </c>
      <c r="G66" t="str">
        <f>_xlfn.XLOOKUP($E66,Sheet1!$E:$E,Sheet1!G:G)</f>
        <v>North Ryde [New South Wales]</v>
      </c>
      <c r="I66" t="str">
        <f>_xlfn.XLOOKUP($E66,Sheet1!$E:$E,Sheet1!I:I)</f>
        <v>Default station</v>
      </c>
      <c r="K66" t="s">
        <v>1149</v>
      </c>
      <c r="L66">
        <v>170353</v>
      </c>
    </row>
    <row r="67" spans="1:12" x14ac:dyDescent="0.25">
      <c r="A67" t="s">
        <v>20</v>
      </c>
      <c r="B67" t="s">
        <v>24</v>
      </c>
      <c r="C67" t="s">
        <v>224</v>
      </c>
      <c r="E67" t="s">
        <v>21</v>
      </c>
      <c r="F67" t="str">
        <f>_xlfn.XLOOKUP($E67,Sheet1!$E:$E,Sheet1!F:F)</f>
        <v>North Ryde</v>
      </c>
      <c r="G67" t="str">
        <f>_xlfn.XLOOKUP($E67,Sheet1!$E:$E,Sheet1!G:G)</f>
        <v>North Ryde [New South Wales]</v>
      </c>
      <c r="I67" t="str">
        <f>_xlfn.XLOOKUP($E67,Sheet1!$E:$E,Sheet1!I:I)</f>
        <v>Default station</v>
      </c>
      <c r="K67" t="s">
        <v>1150</v>
      </c>
      <c r="L67">
        <v>241600</v>
      </c>
    </row>
    <row r="68" spans="1:12" x14ac:dyDescent="0.25">
      <c r="A68" t="s">
        <v>20</v>
      </c>
      <c r="B68" t="s">
        <v>24</v>
      </c>
      <c r="C68" t="s">
        <v>225</v>
      </c>
      <c r="E68" t="s">
        <v>21</v>
      </c>
      <c r="F68" t="str">
        <f>_xlfn.XLOOKUP($E68,Sheet1!$E:$E,Sheet1!F:F)</f>
        <v>North Ryde</v>
      </c>
      <c r="G68" t="str">
        <f>_xlfn.XLOOKUP($E68,Sheet1!$E:$E,Sheet1!G:G)</f>
        <v>North Ryde [New South Wales]</v>
      </c>
      <c r="I68" t="str">
        <f>_xlfn.XLOOKUP($E68,Sheet1!$E:$E,Sheet1!I:I)</f>
        <v>Default station</v>
      </c>
      <c r="K68" t="s">
        <v>1151</v>
      </c>
      <c r="L68">
        <v>16015646</v>
      </c>
    </row>
    <row r="69" spans="1:12" x14ac:dyDescent="0.25">
      <c r="A69" t="s">
        <v>20</v>
      </c>
      <c r="B69" t="s">
        <v>24</v>
      </c>
      <c r="C69" t="s">
        <v>226</v>
      </c>
      <c r="E69" t="s">
        <v>21</v>
      </c>
      <c r="F69" t="str">
        <f>_xlfn.XLOOKUP($E69,Sheet1!$E:$E,Sheet1!F:F)</f>
        <v>North Ryde</v>
      </c>
      <c r="G69" t="str">
        <f>_xlfn.XLOOKUP($E69,Sheet1!$E:$E,Sheet1!G:G)</f>
        <v>North Ryde [New South Wales]</v>
      </c>
      <c r="I69" t="str">
        <f>_xlfn.XLOOKUP($E69,Sheet1!$E:$E,Sheet1!I:I)</f>
        <v>Default station</v>
      </c>
      <c r="K69" t="s">
        <v>1152</v>
      </c>
      <c r="L69">
        <v>16016392</v>
      </c>
    </row>
    <row r="70" spans="1:12" x14ac:dyDescent="0.25">
      <c r="A70" t="s">
        <v>20</v>
      </c>
      <c r="B70" t="s">
        <v>24</v>
      </c>
      <c r="C70" t="s">
        <v>227</v>
      </c>
      <c r="E70" t="s">
        <v>21</v>
      </c>
      <c r="F70" t="str">
        <f>_xlfn.XLOOKUP($E70,Sheet1!$E:$E,Sheet1!F:F)</f>
        <v>North Ryde</v>
      </c>
      <c r="G70" t="str">
        <f>_xlfn.XLOOKUP($E70,Sheet1!$E:$E,Sheet1!G:G)</f>
        <v>North Ryde [New South Wales]</v>
      </c>
      <c r="I70" t="str">
        <f>_xlfn.XLOOKUP($E70,Sheet1!$E:$E,Sheet1!I:I)</f>
        <v>Default station</v>
      </c>
      <c r="K70" t="s">
        <v>1153</v>
      </c>
      <c r="L70">
        <v>241980</v>
      </c>
    </row>
    <row r="71" spans="1:12" x14ac:dyDescent="0.25">
      <c r="A71" t="s">
        <v>20</v>
      </c>
      <c r="B71" t="s">
        <v>24</v>
      </c>
      <c r="C71" t="s">
        <v>228</v>
      </c>
      <c r="E71" t="s">
        <v>21</v>
      </c>
      <c r="F71" t="str">
        <f>_xlfn.XLOOKUP($E71,Sheet1!$E:$E,Sheet1!F:F)</f>
        <v>North Ryde</v>
      </c>
      <c r="G71" t="str">
        <f>_xlfn.XLOOKUP($E71,Sheet1!$E:$E,Sheet1!G:G)</f>
        <v>North Ryde [New South Wales]</v>
      </c>
      <c r="I71" t="str">
        <f>_xlfn.XLOOKUP($E71,Sheet1!$E:$E,Sheet1!I:I)</f>
        <v>Default station</v>
      </c>
      <c r="K71" t="s">
        <v>108</v>
      </c>
      <c r="L71">
        <v>170526</v>
      </c>
    </row>
    <row r="72" spans="1:12" x14ac:dyDescent="0.25">
      <c r="A72" t="s">
        <v>20</v>
      </c>
      <c r="B72" t="s">
        <v>24</v>
      </c>
      <c r="C72" t="s">
        <v>229</v>
      </c>
      <c r="E72" t="s">
        <v>21</v>
      </c>
      <c r="F72" t="str">
        <f>_xlfn.XLOOKUP($E72,Sheet1!$E:$E,Sheet1!F:F)</f>
        <v>North Ryde</v>
      </c>
      <c r="G72" t="str">
        <f>_xlfn.XLOOKUP($E72,Sheet1!$E:$E,Sheet1!G:G)</f>
        <v>North Ryde [New South Wales]</v>
      </c>
      <c r="I72" t="str">
        <f>_xlfn.XLOOKUP($E72,Sheet1!$E:$E,Sheet1!I:I)</f>
        <v>Default station</v>
      </c>
      <c r="K72" t="s">
        <v>1154</v>
      </c>
      <c r="L72">
        <v>16011418</v>
      </c>
    </row>
    <row r="73" spans="1:12" x14ac:dyDescent="0.25">
      <c r="A73" t="s">
        <v>20</v>
      </c>
      <c r="B73" t="s">
        <v>24</v>
      </c>
      <c r="C73" t="s">
        <v>230</v>
      </c>
      <c r="E73" t="s">
        <v>21</v>
      </c>
      <c r="F73" t="str">
        <f>_xlfn.XLOOKUP($E73,Sheet1!$E:$E,Sheet1!F:F)</f>
        <v>North Ryde</v>
      </c>
      <c r="G73" t="str">
        <f>_xlfn.XLOOKUP($E73,Sheet1!$E:$E,Sheet1!G:G)</f>
        <v>North Ryde [New South Wales]</v>
      </c>
      <c r="I73" t="str">
        <f>_xlfn.XLOOKUP($E73,Sheet1!$E:$E,Sheet1!I:I)</f>
        <v>Default station</v>
      </c>
      <c r="K73" t="s">
        <v>1155</v>
      </c>
      <c r="L73">
        <v>71000001</v>
      </c>
    </row>
    <row r="74" spans="1:12" x14ac:dyDescent="0.25">
      <c r="A74" t="s">
        <v>20</v>
      </c>
      <c r="B74" t="s">
        <v>24</v>
      </c>
      <c r="C74" t="s">
        <v>231</v>
      </c>
      <c r="E74" t="s">
        <v>21</v>
      </c>
      <c r="F74" t="str">
        <f>_xlfn.XLOOKUP($E74,Sheet1!$E:$E,Sheet1!F:F)</f>
        <v>North Ryde</v>
      </c>
      <c r="G74" t="str">
        <f>_xlfn.XLOOKUP($E74,Sheet1!$E:$E,Sheet1!G:G)</f>
        <v>North Ryde [New South Wales]</v>
      </c>
      <c r="I74" t="str">
        <f>_xlfn.XLOOKUP($E74,Sheet1!$E:$E,Sheet1!I:I)</f>
        <v>Default station</v>
      </c>
      <c r="K74" t="s">
        <v>1156</v>
      </c>
      <c r="L74">
        <v>23440098</v>
      </c>
    </row>
    <row r="75" spans="1:12" x14ac:dyDescent="0.25">
      <c r="A75" t="s">
        <v>20</v>
      </c>
      <c r="B75" t="s">
        <v>24</v>
      </c>
      <c r="C75" t="s">
        <v>232</v>
      </c>
      <c r="E75" t="s">
        <v>21</v>
      </c>
      <c r="F75" t="str">
        <f>_xlfn.XLOOKUP($E75,Sheet1!$E:$E,Sheet1!F:F)</f>
        <v>North Ryde</v>
      </c>
      <c r="G75" t="str">
        <f>_xlfn.XLOOKUP($E75,Sheet1!$E:$E,Sheet1!G:G)</f>
        <v>North Ryde [New South Wales]</v>
      </c>
      <c r="I75" t="str">
        <f>_xlfn.XLOOKUP($E75,Sheet1!$E:$E,Sheet1!I:I)</f>
        <v>Default station</v>
      </c>
      <c r="K75" t="s">
        <v>1157</v>
      </c>
      <c r="L75">
        <v>241979</v>
      </c>
    </row>
    <row r="76" spans="1:12" x14ac:dyDescent="0.25">
      <c r="A76" t="s">
        <v>20</v>
      </c>
      <c r="B76" t="s">
        <v>24</v>
      </c>
      <c r="C76" t="s">
        <v>233</v>
      </c>
      <c r="E76" t="s">
        <v>21</v>
      </c>
      <c r="F76" t="str">
        <f>_xlfn.XLOOKUP($E76,Sheet1!$E:$E,Sheet1!F:F)</f>
        <v>North Ryde</v>
      </c>
      <c r="G76" t="str">
        <f>_xlfn.XLOOKUP($E76,Sheet1!$E:$E,Sheet1!G:G)</f>
        <v>North Ryde [New South Wales]</v>
      </c>
      <c r="I76" t="str">
        <f>_xlfn.XLOOKUP($E76,Sheet1!$E:$E,Sheet1!I:I)</f>
        <v>Default station</v>
      </c>
      <c r="K76" t="s">
        <v>1158</v>
      </c>
      <c r="L76">
        <v>241734</v>
      </c>
    </row>
    <row r="77" spans="1:12" x14ac:dyDescent="0.25">
      <c r="A77" t="s">
        <v>20</v>
      </c>
      <c r="B77" t="s">
        <v>24</v>
      </c>
      <c r="C77" t="s">
        <v>234</v>
      </c>
      <c r="E77" t="s">
        <v>21</v>
      </c>
      <c r="F77" t="str">
        <f>_xlfn.XLOOKUP($E77,Sheet1!$E:$E,Sheet1!F:F)</f>
        <v>North Ryde</v>
      </c>
      <c r="G77" t="str">
        <f>_xlfn.XLOOKUP($E77,Sheet1!$E:$E,Sheet1!G:G)</f>
        <v>North Ryde [New South Wales]</v>
      </c>
      <c r="I77" t="str">
        <f>_xlfn.XLOOKUP($E77,Sheet1!$E:$E,Sheet1!I:I)</f>
        <v>Default station</v>
      </c>
      <c r="K77" t="s">
        <v>1159</v>
      </c>
      <c r="L77">
        <v>170103</v>
      </c>
    </row>
    <row r="78" spans="1:12" x14ac:dyDescent="0.25">
      <c r="A78" t="s">
        <v>20</v>
      </c>
      <c r="B78" t="s">
        <v>24</v>
      </c>
      <c r="C78" t="s">
        <v>235</v>
      </c>
      <c r="E78" t="s">
        <v>21</v>
      </c>
      <c r="F78" t="str">
        <f>_xlfn.XLOOKUP($E78,Sheet1!$E:$E,Sheet1!F:F)</f>
        <v>North Ryde</v>
      </c>
      <c r="G78" t="str">
        <f>_xlfn.XLOOKUP($E78,Sheet1!$E:$E,Sheet1!G:G)</f>
        <v>North Ryde [New South Wales]</v>
      </c>
      <c r="I78" t="str">
        <f>_xlfn.XLOOKUP($E78,Sheet1!$E:$E,Sheet1!I:I)</f>
        <v>Default station</v>
      </c>
      <c r="K78" t="s">
        <v>1160</v>
      </c>
      <c r="L78">
        <v>2416000201</v>
      </c>
    </row>
    <row r="79" spans="1:12" x14ac:dyDescent="0.25">
      <c r="A79" t="s">
        <v>20</v>
      </c>
      <c r="B79" t="s">
        <v>24</v>
      </c>
      <c r="C79" t="s">
        <v>236</v>
      </c>
      <c r="E79" t="s">
        <v>21</v>
      </c>
      <c r="F79" t="str">
        <f>_xlfn.XLOOKUP($E79,Sheet1!$E:$E,Sheet1!F:F)</f>
        <v>North Ryde</v>
      </c>
      <c r="G79" t="str">
        <f>_xlfn.XLOOKUP($E79,Sheet1!$E:$E,Sheet1!G:G)</f>
        <v>North Ryde [New South Wales]</v>
      </c>
      <c r="I79" t="str">
        <f>_xlfn.XLOOKUP($E79,Sheet1!$E:$E,Sheet1!I:I)</f>
        <v>Default station</v>
      </c>
      <c r="K79" t="s">
        <v>1161</v>
      </c>
      <c r="L79">
        <v>241614</v>
      </c>
    </row>
    <row r="80" spans="1:12" x14ac:dyDescent="0.25">
      <c r="A80" t="s">
        <v>20</v>
      </c>
      <c r="B80" t="s">
        <v>24</v>
      </c>
      <c r="C80" t="s">
        <v>237</v>
      </c>
      <c r="E80" t="s">
        <v>21</v>
      </c>
      <c r="F80" t="str">
        <f>_xlfn.XLOOKUP($E80,Sheet1!$E:$E,Sheet1!F:F)</f>
        <v>North Ryde</v>
      </c>
      <c r="G80" t="str">
        <f>_xlfn.XLOOKUP($E80,Sheet1!$E:$E,Sheet1!G:G)</f>
        <v>North Ryde [New South Wales]</v>
      </c>
      <c r="I80" t="str">
        <f>_xlfn.XLOOKUP($E80,Sheet1!$E:$E,Sheet1!I:I)</f>
        <v>Default station</v>
      </c>
      <c r="K80" t="s">
        <v>1162</v>
      </c>
      <c r="L80">
        <v>170260</v>
      </c>
    </row>
    <row r="81" spans="1:12" x14ac:dyDescent="0.25">
      <c r="A81" t="s">
        <v>20</v>
      </c>
      <c r="B81" t="s">
        <v>24</v>
      </c>
      <c r="C81" t="s">
        <v>238</v>
      </c>
      <c r="E81" t="s">
        <v>21</v>
      </c>
      <c r="F81" t="str">
        <f>_xlfn.XLOOKUP($E81,Sheet1!$E:$E,Sheet1!F:F)</f>
        <v>North Ryde</v>
      </c>
      <c r="G81" t="str">
        <f>_xlfn.XLOOKUP($E81,Sheet1!$E:$E,Sheet1!G:G)</f>
        <v>North Ryde [New South Wales]</v>
      </c>
      <c r="I81" t="str">
        <f>_xlfn.XLOOKUP($E81,Sheet1!$E:$E,Sheet1!I:I)</f>
        <v>Default station</v>
      </c>
      <c r="K81" t="s">
        <v>1163</v>
      </c>
      <c r="L81">
        <v>170527</v>
      </c>
    </row>
    <row r="82" spans="1:12" x14ac:dyDescent="0.25">
      <c r="A82" t="s">
        <v>20</v>
      </c>
      <c r="B82" t="s">
        <v>24</v>
      </c>
      <c r="C82" t="s">
        <v>239</v>
      </c>
      <c r="E82" t="s">
        <v>21</v>
      </c>
      <c r="F82" t="str">
        <f>_xlfn.XLOOKUP($E82,Sheet1!$E:$E,Sheet1!F:F)</f>
        <v>North Ryde</v>
      </c>
      <c r="G82" t="str">
        <f>_xlfn.XLOOKUP($E82,Sheet1!$E:$E,Sheet1!G:G)</f>
        <v>North Ryde [New South Wales]</v>
      </c>
      <c r="I82" t="str">
        <f>_xlfn.XLOOKUP($E82,Sheet1!$E:$E,Sheet1!I:I)</f>
        <v>Default station</v>
      </c>
      <c r="K82" t="s">
        <v>66</v>
      </c>
      <c r="L82">
        <v>229250</v>
      </c>
    </row>
    <row r="83" spans="1:12" x14ac:dyDescent="0.25">
      <c r="A83" t="s">
        <v>20</v>
      </c>
      <c r="B83" t="s">
        <v>24</v>
      </c>
      <c r="C83" t="s">
        <v>240</v>
      </c>
      <c r="E83" t="s">
        <v>21</v>
      </c>
      <c r="F83" t="str">
        <f>_xlfn.XLOOKUP($E83,Sheet1!$E:$E,Sheet1!F:F)</f>
        <v>North Ryde</v>
      </c>
      <c r="G83" t="str">
        <f>_xlfn.XLOOKUP($E83,Sheet1!$E:$E,Sheet1!G:G)</f>
        <v>North Ryde [New South Wales]</v>
      </c>
      <c r="I83" t="str">
        <f>_xlfn.XLOOKUP($E83,Sheet1!$E:$E,Sheet1!I:I)</f>
        <v>Default station</v>
      </c>
      <c r="K83" t="s">
        <v>1164</v>
      </c>
      <c r="L83">
        <v>16013402</v>
      </c>
    </row>
    <row r="84" spans="1:12" x14ac:dyDescent="0.25">
      <c r="A84" t="s">
        <v>20</v>
      </c>
      <c r="B84" t="s">
        <v>24</v>
      </c>
      <c r="C84" t="s">
        <v>241</v>
      </c>
      <c r="E84" t="s">
        <v>21</v>
      </c>
      <c r="F84" t="str">
        <f>_xlfn.XLOOKUP($E84,Sheet1!$E:$E,Sheet1!F:F)</f>
        <v>North Ryde</v>
      </c>
      <c r="G84" t="str">
        <f>_xlfn.XLOOKUP($E84,Sheet1!$E:$E,Sheet1!G:G)</f>
        <v>North Ryde [New South Wales]</v>
      </c>
      <c r="I84" t="str">
        <f>_xlfn.XLOOKUP($E84,Sheet1!$E:$E,Sheet1!I:I)</f>
        <v>Default station</v>
      </c>
      <c r="K84" t="s">
        <v>1165</v>
      </c>
      <c r="L84">
        <v>71300001</v>
      </c>
    </row>
    <row r="85" spans="1:12" x14ac:dyDescent="0.25">
      <c r="A85" t="s">
        <v>20</v>
      </c>
      <c r="B85" t="s">
        <v>24</v>
      </c>
      <c r="C85" t="s">
        <v>242</v>
      </c>
      <c r="E85" t="s">
        <v>21</v>
      </c>
      <c r="F85" t="str">
        <f>_xlfn.XLOOKUP($E85,Sheet1!$E:$E,Sheet1!F:F)</f>
        <v>North Ryde</v>
      </c>
      <c r="G85" t="str">
        <f>_xlfn.XLOOKUP($E85,Sheet1!$E:$E,Sheet1!G:G)</f>
        <v>North Ryde [New South Wales]</v>
      </c>
      <c r="I85" t="str">
        <f>_xlfn.XLOOKUP($E85,Sheet1!$E:$E,Sheet1!I:I)</f>
        <v>Default station</v>
      </c>
      <c r="K85" t="s">
        <v>125</v>
      </c>
      <c r="L85">
        <v>170262</v>
      </c>
    </row>
    <row r="86" spans="1:12" x14ac:dyDescent="0.25">
      <c r="A86" t="s">
        <v>20</v>
      </c>
      <c r="B86" t="s">
        <v>24</v>
      </c>
      <c r="C86" t="s">
        <v>243</v>
      </c>
      <c r="E86" t="s">
        <v>21</v>
      </c>
      <c r="F86" t="str">
        <f>_xlfn.XLOOKUP($E86,Sheet1!$E:$E,Sheet1!F:F)</f>
        <v>North Ryde</v>
      </c>
      <c r="G86" t="str">
        <f>_xlfn.XLOOKUP($E86,Sheet1!$E:$E,Sheet1!G:G)</f>
        <v>North Ryde [New South Wales]</v>
      </c>
      <c r="I86" t="str">
        <f>_xlfn.XLOOKUP($E86,Sheet1!$E:$E,Sheet1!I:I)</f>
        <v>Default station</v>
      </c>
      <c r="K86" t="s">
        <v>1166</v>
      </c>
      <c r="L86">
        <v>170309</v>
      </c>
    </row>
    <row r="87" spans="1:12" x14ac:dyDescent="0.25">
      <c r="A87" t="s">
        <v>20</v>
      </c>
      <c r="B87" t="s">
        <v>24</v>
      </c>
      <c r="C87" t="s">
        <v>244</v>
      </c>
      <c r="E87" t="s">
        <v>21</v>
      </c>
      <c r="F87" t="str">
        <f>_xlfn.XLOOKUP($E87,Sheet1!$E:$E,Sheet1!F:F)</f>
        <v>North Ryde</v>
      </c>
      <c r="G87" t="str">
        <f>_xlfn.XLOOKUP($E87,Sheet1!$E:$E,Sheet1!G:G)</f>
        <v>North Ryde [New South Wales]</v>
      </c>
      <c r="I87" t="str">
        <f>_xlfn.XLOOKUP($E87,Sheet1!$E:$E,Sheet1!I:I)</f>
        <v>Default station</v>
      </c>
      <c r="K87" t="s">
        <v>1167</v>
      </c>
      <c r="L87">
        <v>23020001</v>
      </c>
    </row>
    <row r="88" spans="1:12" x14ac:dyDescent="0.25">
      <c r="A88" t="s">
        <v>20</v>
      </c>
      <c r="B88" t="s">
        <v>24</v>
      </c>
      <c r="C88" t="s">
        <v>245</v>
      </c>
      <c r="E88" t="s">
        <v>21</v>
      </c>
      <c r="F88" t="str">
        <f>_xlfn.XLOOKUP($E88,Sheet1!$E:$E,Sheet1!F:F)</f>
        <v>North Ryde</v>
      </c>
      <c r="G88" t="str">
        <f>_xlfn.XLOOKUP($E88,Sheet1!$E:$E,Sheet1!G:G)</f>
        <v>North Ryde [New South Wales]</v>
      </c>
      <c r="I88" t="str">
        <f>_xlfn.XLOOKUP($E88,Sheet1!$E:$E,Sheet1!I:I)</f>
        <v>Default station</v>
      </c>
      <c r="K88" t="s">
        <v>111</v>
      </c>
      <c r="L88">
        <v>241615</v>
      </c>
    </row>
    <row r="89" spans="1:12" x14ac:dyDescent="0.25">
      <c r="A89" t="s">
        <v>20</v>
      </c>
      <c r="B89" t="s">
        <v>24</v>
      </c>
      <c r="C89" t="s">
        <v>246</v>
      </c>
      <c r="E89" t="s">
        <v>21</v>
      </c>
      <c r="F89" t="str">
        <f>_xlfn.XLOOKUP($E89,Sheet1!$E:$E,Sheet1!F:F)</f>
        <v>North Ryde</v>
      </c>
      <c r="G89" t="str">
        <f>_xlfn.XLOOKUP($E89,Sheet1!$E:$E,Sheet1!G:G)</f>
        <v>North Ryde [New South Wales]</v>
      </c>
      <c r="I89" t="str">
        <f>_xlfn.XLOOKUP($E89,Sheet1!$E:$E,Sheet1!I:I)</f>
        <v>Default station</v>
      </c>
      <c r="K89" t="s">
        <v>1168</v>
      </c>
      <c r="L89">
        <v>170606</v>
      </c>
    </row>
    <row r="90" spans="1:12" x14ac:dyDescent="0.25">
      <c r="A90" t="s">
        <v>20</v>
      </c>
      <c r="B90" t="s">
        <v>24</v>
      </c>
      <c r="C90" t="s">
        <v>247</v>
      </c>
      <c r="E90" t="s">
        <v>21</v>
      </c>
      <c r="F90" t="str">
        <f>_xlfn.XLOOKUP($E90,Sheet1!$E:$E,Sheet1!F:F)</f>
        <v>North Ryde</v>
      </c>
      <c r="G90" t="str">
        <f>_xlfn.XLOOKUP($E90,Sheet1!$E:$E,Sheet1!G:G)</f>
        <v>North Ryde [New South Wales]</v>
      </c>
      <c r="I90" t="str">
        <f>_xlfn.XLOOKUP($E90,Sheet1!$E:$E,Sheet1!I:I)</f>
        <v>Default station</v>
      </c>
      <c r="K90" t="s">
        <v>1169</v>
      </c>
      <c r="L90">
        <v>16011357</v>
      </c>
    </row>
    <row r="91" spans="1:12" x14ac:dyDescent="0.25">
      <c r="A91" t="s">
        <v>20</v>
      </c>
      <c r="B91" t="s">
        <v>24</v>
      </c>
      <c r="C91" t="s">
        <v>248</v>
      </c>
      <c r="E91" t="s">
        <v>21</v>
      </c>
      <c r="F91" t="str">
        <f>_xlfn.XLOOKUP($E91,Sheet1!$E:$E,Sheet1!F:F)</f>
        <v>North Ryde</v>
      </c>
      <c r="G91" t="str">
        <f>_xlfn.XLOOKUP($E91,Sheet1!$E:$E,Sheet1!G:G)</f>
        <v>North Ryde [New South Wales]</v>
      </c>
      <c r="I91" t="str">
        <f>_xlfn.XLOOKUP($E91,Sheet1!$E:$E,Sheet1!I:I)</f>
        <v>Default station</v>
      </c>
      <c r="K91" t="s">
        <v>1170</v>
      </c>
      <c r="L91">
        <v>241602</v>
      </c>
    </row>
    <row r="92" spans="1:12" x14ac:dyDescent="0.25">
      <c r="A92" t="s">
        <v>20</v>
      </c>
      <c r="B92" t="s">
        <v>24</v>
      </c>
      <c r="C92" t="s">
        <v>249</v>
      </c>
      <c r="E92" t="s">
        <v>21</v>
      </c>
      <c r="F92" t="str">
        <f>_xlfn.XLOOKUP($E92,Sheet1!$E:$E,Sheet1!F:F)</f>
        <v>North Ryde</v>
      </c>
      <c r="G92" t="str">
        <f>_xlfn.XLOOKUP($E92,Sheet1!$E:$E,Sheet1!G:G)</f>
        <v>North Ryde [New South Wales]</v>
      </c>
      <c r="I92" t="str">
        <f>_xlfn.XLOOKUP($E92,Sheet1!$E:$E,Sheet1!I:I)</f>
        <v>Default station</v>
      </c>
      <c r="K92" t="s">
        <v>1171</v>
      </c>
      <c r="L92">
        <v>382052</v>
      </c>
    </row>
    <row r="93" spans="1:12" x14ac:dyDescent="0.25">
      <c r="A93" t="s">
        <v>20</v>
      </c>
      <c r="B93" t="s">
        <v>24</v>
      </c>
      <c r="C93" t="s">
        <v>250</v>
      </c>
      <c r="E93" t="s">
        <v>21</v>
      </c>
      <c r="F93" t="str">
        <f>_xlfn.XLOOKUP($E93,Sheet1!$E:$E,Sheet1!F:F)</f>
        <v>North Ryde</v>
      </c>
      <c r="G93" t="str">
        <f>_xlfn.XLOOKUP($E93,Sheet1!$E:$E,Sheet1!G:G)</f>
        <v>North Ryde [New South Wales]</v>
      </c>
      <c r="I93" t="str">
        <f>_xlfn.XLOOKUP($E93,Sheet1!$E:$E,Sheet1!I:I)</f>
        <v>Default station</v>
      </c>
      <c r="K93" t="s">
        <v>53</v>
      </c>
      <c r="L93">
        <v>170258</v>
      </c>
    </row>
    <row r="94" spans="1:12" x14ac:dyDescent="0.25">
      <c r="A94" t="s">
        <v>20</v>
      </c>
      <c r="B94" t="s">
        <v>24</v>
      </c>
      <c r="C94" t="s">
        <v>251</v>
      </c>
      <c r="E94" t="s">
        <v>21</v>
      </c>
      <c r="F94" t="str">
        <f>_xlfn.XLOOKUP($E94,Sheet1!$E:$E,Sheet1!F:F)</f>
        <v>North Ryde</v>
      </c>
      <c r="G94" t="str">
        <f>_xlfn.XLOOKUP($E94,Sheet1!$E:$E,Sheet1!G:G)</f>
        <v>North Ryde [New South Wales]</v>
      </c>
      <c r="I94" t="str">
        <f>_xlfn.XLOOKUP($E94,Sheet1!$E:$E,Sheet1!I:I)</f>
        <v>Default station</v>
      </c>
      <c r="K94" t="s">
        <v>1172</v>
      </c>
      <c r="L94">
        <v>16013431</v>
      </c>
    </row>
    <row r="95" spans="1:12" x14ac:dyDescent="0.25">
      <c r="A95" t="s">
        <v>20</v>
      </c>
      <c r="B95" t="s">
        <v>24</v>
      </c>
      <c r="C95" t="s">
        <v>252</v>
      </c>
      <c r="E95" t="s">
        <v>21</v>
      </c>
      <c r="F95" t="str">
        <f>_xlfn.XLOOKUP($E95,Sheet1!$E:$E,Sheet1!F:F)</f>
        <v>North Ryde</v>
      </c>
      <c r="G95" t="str">
        <f>_xlfn.XLOOKUP($E95,Sheet1!$E:$E,Sheet1!G:G)</f>
        <v>North Ryde [New South Wales]</v>
      </c>
      <c r="I95" t="str">
        <f>_xlfn.XLOOKUP($E95,Sheet1!$E:$E,Sheet1!I:I)</f>
        <v>Default station</v>
      </c>
      <c r="K95" t="s">
        <v>1173</v>
      </c>
      <c r="L95">
        <v>14000665</v>
      </c>
    </row>
    <row r="96" spans="1:12" x14ac:dyDescent="0.25">
      <c r="A96" t="s">
        <v>20</v>
      </c>
      <c r="B96" t="s">
        <v>24</v>
      </c>
      <c r="C96" t="s">
        <v>253</v>
      </c>
      <c r="E96" t="s">
        <v>21</v>
      </c>
      <c r="F96" t="str">
        <f>_xlfn.XLOOKUP($E96,Sheet1!$E:$E,Sheet1!F:F)</f>
        <v>North Ryde</v>
      </c>
      <c r="G96" t="str">
        <f>_xlfn.XLOOKUP($E96,Sheet1!$E:$E,Sheet1!G:G)</f>
        <v>North Ryde [New South Wales]</v>
      </c>
      <c r="I96" t="str">
        <f>_xlfn.XLOOKUP($E96,Sheet1!$E:$E,Sheet1!I:I)</f>
        <v>Default station</v>
      </c>
      <c r="K96" t="s">
        <v>1174</v>
      </c>
      <c r="L96">
        <v>16011481</v>
      </c>
    </row>
    <row r="97" spans="1:12" x14ac:dyDescent="0.25">
      <c r="A97" t="s">
        <v>20</v>
      </c>
      <c r="B97" t="s">
        <v>24</v>
      </c>
      <c r="C97" t="s">
        <v>254</v>
      </c>
      <c r="E97" t="s">
        <v>21</v>
      </c>
      <c r="F97" t="str">
        <f>_xlfn.XLOOKUP($E97,Sheet1!$E:$E,Sheet1!F:F)</f>
        <v>North Ryde</v>
      </c>
      <c r="G97" t="str">
        <f>_xlfn.XLOOKUP($E97,Sheet1!$E:$E,Sheet1!G:G)</f>
        <v>North Ryde [New South Wales]</v>
      </c>
      <c r="I97" t="str">
        <f>_xlfn.XLOOKUP($E97,Sheet1!$E:$E,Sheet1!I:I)</f>
        <v>Default station</v>
      </c>
      <c r="K97" t="s">
        <v>143</v>
      </c>
      <c r="L97">
        <v>16013434</v>
      </c>
    </row>
    <row r="98" spans="1:12" x14ac:dyDescent="0.25">
      <c r="A98" t="s">
        <v>20</v>
      </c>
      <c r="B98" t="s">
        <v>24</v>
      </c>
      <c r="C98" t="s">
        <v>255</v>
      </c>
      <c r="E98" t="s">
        <v>21</v>
      </c>
      <c r="F98" t="str">
        <f>_xlfn.XLOOKUP($E98,Sheet1!$E:$E,Sheet1!F:F)</f>
        <v>North Ryde</v>
      </c>
      <c r="G98" t="str">
        <f>_xlfn.XLOOKUP($E98,Sheet1!$E:$E,Sheet1!G:G)</f>
        <v>North Ryde [New South Wales]</v>
      </c>
      <c r="I98" t="str">
        <f>_xlfn.XLOOKUP($E98,Sheet1!$E:$E,Sheet1!I:I)</f>
        <v>Default station</v>
      </c>
      <c r="K98" t="s">
        <v>1175</v>
      </c>
      <c r="L98">
        <v>170102</v>
      </c>
    </row>
    <row r="99" spans="1:12" x14ac:dyDescent="0.25">
      <c r="A99" t="s">
        <v>20</v>
      </c>
      <c r="B99" t="s">
        <v>24</v>
      </c>
      <c r="C99" t="s">
        <v>256</v>
      </c>
      <c r="E99" t="s">
        <v>21</v>
      </c>
      <c r="F99" t="str">
        <f>_xlfn.XLOOKUP($E99,Sheet1!$E:$E,Sheet1!F:F)</f>
        <v>North Ryde</v>
      </c>
      <c r="G99" t="str">
        <f>_xlfn.XLOOKUP($E99,Sheet1!$E:$E,Sheet1!G:G)</f>
        <v>North Ryde [New South Wales]</v>
      </c>
      <c r="I99" t="str">
        <f>_xlfn.XLOOKUP($E99,Sheet1!$E:$E,Sheet1!I:I)</f>
        <v>Default station</v>
      </c>
      <c r="K99" t="s">
        <v>1176</v>
      </c>
      <c r="L99">
        <v>241986</v>
      </c>
    </row>
    <row r="100" spans="1:12" x14ac:dyDescent="0.25">
      <c r="A100" t="s">
        <v>20</v>
      </c>
      <c r="B100" t="s">
        <v>24</v>
      </c>
      <c r="C100" t="s">
        <v>257</v>
      </c>
      <c r="E100" t="s">
        <v>21</v>
      </c>
      <c r="F100" t="str">
        <f>_xlfn.XLOOKUP($E100,Sheet1!$E:$E,Sheet1!F:F)</f>
        <v>North Ryde</v>
      </c>
      <c r="G100" t="str">
        <f>_xlfn.XLOOKUP($E100,Sheet1!$E:$E,Sheet1!G:G)</f>
        <v>North Ryde [New South Wales]</v>
      </c>
      <c r="I100" t="str">
        <f>_xlfn.XLOOKUP($E100,Sheet1!$E:$E,Sheet1!I:I)</f>
        <v>Default station</v>
      </c>
      <c r="K100" t="s">
        <v>1177</v>
      </c>
      <c r="L100">
        <v>170936</v>
      </c>
    </row>
    <row r="101" spans="1:12" x14ac:dyDescent="0.25">
      <c r="A101" t="s">
        <v>20</v>
      </c>
      <c r="B101" t="s">
        <v>24</v>
      </c>
      <c r="C101" t="s">
        <v>258</v>
      </c>
      <c r="E101" t="s">
        <v>21</v>
      </c>
      <c r="F101" t="str">
        <f>_xlfn.XLOOKUP($E101,Sheet1!$E:$E,Sheet1!F:F)</f>
        <v>North Ryde</v>
      </c>
      <c r="G101" t="str">
        <f>_xlfn.XLOOKUP($E101,Sheet1!$E:$E,Sheet1!G:G)</f>
        <v>North Ryde [New South Wales]</v>
      </c>
      <c r="I101" t="str">
        <f>_xlfn.XLOOKUP($E101,Sheet1!$E:$E,Sheet1!I:I)</f>
        <v>Default station</v>
      </c>
      <c r="K101" t="s">
        <v>1178</v>
      </c>
      <c r="L101">
        <v>170354</v>
      </c>
    </row>
    <row r="102" spans="1:12" x14ac:dyDescent="0.25">
      <c r="A102" t="s">
        <v>20</v>
      </c>
      <c r="B102" t="s">
        <v>24</v>
      </c>
      <c r="C102" t="s">
        <v>259</v>
      </c>
      <c r="E102" t="s">
        <v>21</v>
      </c>
      <c r="F102" t="str">
        <f>_xlfn.XLOOKUP($E102,Sheet1!$E:$E,Sheet1!F:F)</f>
        <v>North Ryde</v>
      </c>
      <c r="G102" t="str">
        <f>_xlfn.XLOOKUP($E102,Sheet1!$E:$E,Sheet1!G:G)</f>
        <v>North Ryde [New South Wales]</v>
      </c>
      <c r="I102" t="str">
        <f>_xlfn.XLOOKUP($E102,Sheet1!$E:$E,Sheet1!I:I)</f>
        <v>Default station</v>
      </c>
      <c r="K102" t="s">
        <v>1179</v>
      </c>
      <c r="L102">
        <v>170107</v>
      </c>
    </row>
    <row r="103" spans="1:12" x14ac:dyDescent="0.25">
      <c r="A103" t="s">
        <v>20</v>
      </c>
      <c r="B103" t="s">
        <v>24</v>
      </c>
      <c r="C103" t="s">
        <v>260</v>
      </c>
      <c r="E103" t="s">
        <v>21</v>
      </c>
      <c r="F103" t="str">
        <f>_xlfn.XLOOKUP($E103,Sheet1!$E:$E,Sheet1!F:F)</f>
        <v>North Ryde</v>
      </c>
      <c r="G103" t="str">
        <f>_xlfn.XLOOKUP($E103,Sheet1!$E:$E,Sheet1!G:G)</f>
        <v>North Ryde [New South Wales]</v>
      </c>
      <c r="I103" t="str">
        <f>_xlfn.XLOOKUP($E103,Sheet1!$E:$E,Sheet1!I:I)</f>
        <v>Default station</v>
      </c>
      <c r="K103" t="s">
        <v>1180</v>
      </c>
      <c r="L103">
        <v>170318</v>
      </c>
    </row>
    <row r="104" spans="1:12" x14ac:dyDescent="0.25">
      <c r="A104" t="s">
        <v>20</v>
      </c>
      <c r="B104" t="s">
        <v>24</v>
      </c>
      <c r="C104" t="s">
        <v>261</v>
      </c>
      <c r="E104" t="s">
        <v>21</v>
      </c>
      <c r="F104" t="str">
        <f>_xlfn.XLOOKUP($E104,Sheet1!$E:$E,Sheet1!F:F)</f>
        <v>North Ryde</v>
      </c>
      <c r="G104" t="str">
        <f>_xlfn.XLOOKUP($E104,Sheet1!$E:$E,Sheet1!G:G)</f>
        <v>North Ryde [New South Wales]</v>
      </c>
      <c r="I104" t="str">
        <f>_xlfn.XLOOKUP($E104,Sheet1!$E:$E,Sheet1!I:I)</f>
        <v>Default station</v>
      </c>
      <c r="K104" t="s">
        <v>1181</v>
      </c>
      <c r="L104">
        <v>170252</v>
      </c>
    </row>
    <row r="105" spans="1:12" x14ac:dyDescent="0.25">
      <c r="A105" t="s">
        <v>20</v>
      </c>
      <c r="B105" t="s">
        <v>24</v>
      </c>
      <c r="C105" t="s">
        <v>262</v>
      </c>
      <c r="E105" t="s">
        <v>21</v>
      </c>
      <c r="F105" t="str">
        <f>_xlfn.XLOOKUP($E105,Sheet1!$E:$E,Sheet1!F:F)</f>
        <v>North Ryde</v>
      </c>
      <c r="G105" t="str">
        <f>_xlfn.XLOOKUP($E105,Sheet1!$E:$E,Sheet1!G:G)</f>
        <v>North Ryde [New South Wales]</v>
      </c>
      <c r="I105" t="str">
        <f>_xlfn.XLOOKUP($E105,Sheet1!$E:$E,Sheet1!I:I)</f>
        <v>Default station</v>
      </c>
      <c r="K105" t="s">
        <v>1182</v>
      </c>
      <c r="L105">
        <v>16011464</v>
      </c>
    </row>
    <row r="106" spans="1:12" x14ac:dyDescent="0.25">
      <c r="A106" t="s">
        <v>20</v>
      </c>
      <c r="B106" t="s">
        <v>24</v>
      </c>
      <c r="C106" t="s">
        <v>263</v>
      </c>
      <c r="E106" t="s">
        <v>21</v>
      </c>
      <c r="F106" t="str">
        <f>_xlfn.XLOOKUP($E106,Sheet1!$E:$E,Sheet1!F:F)</f>
        <v>North Ryde</v>
      </c>
      <c r="G106" t="str">
        <f>_xlfn.XLOOKUP($E106,Sheet1!$E:$E,Sheet1!G:G)</f>
        <v>North Ryde [New South Wales]</v>
      </c>
      <c r="I106" t="str">
        <f>_xlfn.XLOOKUP($E106,Sheet1!$E:$E,Sheet1!I:I)</f>
        <v>Default station</v>
      </c>
      <c r="K106" t="s">
        <v>156</v>
      </c>
      <c r="L106">
        <v>241908</v>
      </c>
    </row>
    <row r="107" spans="1:12" x14ac:dyDescent="0.25">
      <c r="A107" t="s">
        <v>20</v>
      </c>
      <c r="B107" t="s">
        <v>24</v>
      </c>
      <c r="C107" t="s">
        <v>264</v>
      </c>
      <c r="E107" t="s">
        <v>21</v>
      </c>
      <c r="F107" t="str">
        <f>_xlfn.XLOOKUP($E107,Sheet1!$E:$E,Sheet1!F:F)</f>
        <v>North Ryde</v>
      </c>
      <c r="G107" t="str">
        <f>_xlfn.XLOOKUP($E107,Sheet1!$E:$E,Sheet1!G:G)</f>
        <v>North Ryde [New South Wales]</v>
      </c>
      <c r="I107" t="str">
        <f>_xlfn.XLOOKUP($E107,Sheet1!$E:$E,Sheet1!I:I)</f>
        <v>Default station</v>
      </c>
      <c r="K107" t="s">
        <v>107</v>
      </c>
      <c r="L107">
        <v>170821</v>
      </c>
    </row>
    <row r="108" spans="1:12" x14ac:dyDescent="0.25">
      <c r="A108" t="s">
        <v>20</v>
      </c>
      <c r="B108" t="s">
        <v>24</v>
      </c>
      <c r="C108" t="s">
        <v>265</v>
      </c>
      <c r="E108" t="s">
        <v>21</v>
      </c>
      <c r="F108" t="str">
        <f>_xlfn.XLOOKUP($E108,Sheet1!$E:$E,Sheet1!F:F)</f>
        <v>North Ryde</v>
      </c>
      <c r="G108" t="str">
        <f>_xlfn.XLOOKUP($E108,Sheet1!$E:$E,Sheet1!G:G)</f>
        <v>North Ryde [New South Wales]</v>
      </c>
      <c r="I108" t="str">
        <f>_xlfn.XLOOKUP($E108,Sheet1!$E:$E,Sheet1!I:I)</f>
        <v>Default station</v>
      </c>
      <c r="K108" t="s">
        <v>1183</v>
      </c>
      <c r="L108">
        <v>170261</v>
      </c>
    </row>
    <row r="109" spans="1:12" x14ac:dyDescent="0.25">
      <c r="A109" t="s">
        <v>20</v>
      </c>
      <c r="B109" t="s">
        <v>24</v>
      </c>
      <c r="C109" t="s">
        <v>266</v>
      </c>
      <c r="E109" t="s">
        <v>21</v>
      </c>
      <c r="F109" t="str">
        <f>_xlfn.XLOOKUP($E109,Sheet1!$E:$E,Sheet1!F:F)</f>
        <v>North Ryde</v>
      </c>
      <c r="G109" t="str">
        <f>_xlfn.XLOOKUP($E109,Sheet1!$E:$E,Sheet1!G:G)</f>
        <v>North Ryde [New South Wales]</v>
      </c>
      <c r="I109" t="str">
        <f>_xlfn.XLOOKUP($E109,Sheet1!$E:$E,Sheet1!I:I)</f>
        <v>Default station</v>
      </c>
      <c r="K109" t="s">
        <v>1184</v>
      </c>
      <c r="L109">
        <v>241994</v>
      </c>
    </row>
    <row r="110" spans="1:12" x14ac:dyDescent="0.25">
      <c r="A110" t="s">
        <v>20</v>
      </c>
      <c r="B110" t="s">
        <v>24</v>
      </c>
      <c r="C110" t="s">
        <v>267</v>
      </c>
      <c r="E110" t="s">
        <v>21</v>
      </c>
      <c r="F110" t="str">
        <f>_xlfn.XLOOKUP($E110,Sheet1!$E:$E,Sheet1!F:F)</f>
        <v>North Ryde</v>
      </c>
      <c r="G110" t="str">
        <f>_xlfn.XLOOKUP($E110,Sheet1!$E:$E,Sheet1!G:G)</f>
        <v>North Ryde [New South Wales]</v>
      </c>
      <c r="I110" t="str">
        <f>_xlfn.XLOOKUP($E110,Sheet1!$E:$E,Sheet1!I:I)</f>
        <v>Default station</v>
      </c>
      <c r="K110" t="s">
        <v>1185</v>
      </c>
      <c r="L110">
        <v>170116</v>
      </c>
    </row>
    <row r="111" spans="1:12" x14ac:dyDescent="0.25">
      <c r="A111" t="s">
        <v>20</v>
      </c>
      <c r="B111" t="s">
        <v>24</v>
      </c>
      <c r="C111" t="s">
        <v>268</v>
      </c>
      <c r="E111" t="s">
        <v>21</v>
      </c>
      <c r="F111" t="str">
        <f>_xlfn.XLOOKUP($E111,Sheet1!$E:$E,Sheet1!F:F)</f>
        <v>North Ryde</v>
      </c>
      <c r="G111" t="str">
        <f>_xlfn.XLOOKUP($E111,Sheet1!$E:$E,Sheet1!G:G)</f>
        <v>North Ryde [New South Wales]</v>
      </c>
      <c r="I111" t="str">
        <f>_xlfn.XLOOKUP($E111,Sheet1!$E:$E,Sheet1!I:I)</f>
        <v>Default station</v>
      </c>
      <c r="K111" t="s">
        <v>1186</v>
      </c>
      <c r="L111">
        <v>16011428</v>
      </c>
    </row>
    <row r="112" spans="1:12" x14ac:dyDescent="0.25">
      <c r="A112" t="s">
        <v>20</v>
      </c>
      <c r="B112" t="s">
        <v>24</v>
      </c>
      <c r="C112" t="s">
        <v>269</v>
      </c>
      <c r="E112" t="s">
        <v>21</v>
      </c>
      <c r="F112" t="str">
        <f>_xlfn.XLOOKUP($E112,Sheet1!$E:$E,Sheet1!F:F)</f>
        <v>North Ryde</v>
      </c>
      <c r="G112" t="str">
        <f>_xlfn.XLOOKUP($E112,Sheet1!$E:$E,Sheet1!G:G)</f>
        <v>North Ryde [New South Wales]</v>
      </c>
      <c r="I112" t="str">
        <f>_xlfn.XLOOKUP($E112,Sheet1!$E:$E,Sheet1!I:I)</f>
        <v>Default station</v>
      </c>
      <c r="K112" t="s">
        <v>1187</v>
      </c>
      <c r="L112">
        <v>382602</v>
      </c>
    </row>
    <row r="113" spans="1:12" x14ac:dyDescent="0.25">
      <c r="A113" t="s">
        <v>20</v>
      </c>
      <c r="B113" t="s">
        <v>24</v>
      </c>
      <c r="C113" t="s">
        <v>270</v>
      </c>
      <c r="E113" t="s">
        <v>21</v>
      </c>
      <c r="F113" t="str">
        <f>_xlfn.XLOOKUP($E113,Sheet1!$E:$E,Sheet1!F:F)</f>
        <v>North Ryde</v>
      </c>
      <c r="G113" t="str">
        <f>_xlfn.XLOOKUP($E113,Sheet1!$E:$E,Sheet1!G:G)</f>
        <v>North Ryde [New South Wales]</v>
      </c>
      <c r="I113" t="str">
        <f>_xlfn.XLOOKUP($E113,Sheet1!$E:$E,Sheet1!I:I)</f>
        <v>Default station</v>
      </c>
      <c r="K113" t="s">
        <v>1188</v>
      </c>
      <c r="L113">
        <v>170127</v>
      </c>
    </row>
    <row r="114" spans="1:12" x14ac:dyDescent="0.25">
      <c r="A114" t="s">
        <v>20</v>
      </c>
      <c r="B114" t="s">
        <v>24</v>
      </c>
      <c r="C114" t="s">
        <v>271</v>
      </c>
      <c r="E114" t="s">
        <v>21</v>
      </c>
      <c r="F114" t="str">
        <f>_xlfn.XLOOKUP($E114,Sheet1!$E:$E,Sheet1!F:F)</f>
        <v>North Ryde</v>
      </c>
      <c r="G114" t="str">
        <f>_xlfn.XLOOKUP($E114,Sheet1!$E:$E,Sheet1!G:G)</f>
        <v>North Ryde [New South Wales]</v>
      </c>
      <c r="I114" t="str">
        <f>_xlfn.XLOOKUP($E114,Sheet1!$E:$E,Sheet1!I:I)</f>
        <v>Default station</v>
      </c>
      <c r="K114" t="s">
        <v>1189</v>
      </c>
      <c r="L114">
        <v>16013407</v>
      </c>
    </row>
    <row r="115" spans="1:12" x14ac:dyDescent="0.25">
      <c r="A115" t="s">
        <v>20</v>
      </c>
      <c r="B115" t="s">
        <v>24</v>
      </c>
      <c r="C115" t="s">
        <v>272</v>
      </c>
      <c r="E115" t="s">
        <v>21</v>
      </c>
      <c r="F115" t="str">
        <f>_xlfn.XLOOKUP($E115,Sheet1!$E:$E,Sheet1!F:F)</f>
        <v>North Ryde</v>
      </c>
      <c r="G115" t="str">
        <f>_xlfn.XLOOKUP($E115,Sheet1!$E:$E,Sheet1!G:G)</f>
        <v>North Ryde [New South Wales]</v>
      </c>
      <c r="I115" t="str">
        <f>_xlfn.XLOOKUP($E115,Sheet1!$E:$E,Sheet1!I:I)</f>
        <v>Default station</v>
      </c>
      <c r="K115" t="s">
        <v>1190</v>
      </c>
      <c r="L115">
        <v>241978</v>
      </c>
    </row>
    <row r="116" spans="1:12" x14ac:dyDescent="0.25">
      <c r="A116" t="s">
        <v>20</v>
      </c>
      <c r="B116" t="s">
        <v>24</v>
      </c>
      <c r="C116" t="s">
        <v>273</v>
      </c>
      <c r="E116" t="s">
        <v>21</v>
      </c>
      <c r="F116" t="str">
        <f>_xlfn.XLOOKUP($E116,Sheet1!$E:$E,Sheet1!F:F)</f>
        <v>North Ryde</v>
      </c>
      <c r="G116" t="str">
        <f>_xlfn.XLOOKUP($E116,Sheet1!$E:$E,Sheet1!G:G)</f>
        <v>North Ryde [New South Wales]</v>
      </c>
      <c r="I116" t="str">
        <f>_xlfn.XLOOKUP($E116,Sheet1!$E:$E,Sheet1!I:I)</f>
        <v>Default station</v>
      </c>
      <c r="K116" t="s">
        <v>1191</v>
      </c>
      <c r="L116">
        <v>38275032</v>
      </c>
    </row>
    <row r="117" spans="1:12" x14ac:dyDescent="0.25">
      <c r="A117" t="s">
        <v>20</v>
      </c>
      <c r="B117" t="s">
        <v>24</v>
      </c>
      <c r="C117" t="s">
        <v>274</v>
      </c>
      <c r="E117" t="s">
        <v>21</v>
      </c>
      <c r="F117" t="str">
        <f>_xlfn.XLOOKUP($E117,Sheet1!$E:$E,Sheet1!F:F)</f>
        <v>North Ryde</v>
      </c>
      <c r="G117" t="str">
        <f>_xlfn.XLOOKUP($E117,Sheet1!$E:$E,Sheet1!G:G)</f>
        <v>North Ryde [New South Wales]</v>
      </c>
      <c r="I117" t="str">
        <f>_xlfn.XLOOKUP($E117,Sheet1!$E:$E,Sheet1!I:I)</f>
        <v>Default station</v>
      </c>
      <c r="K117" t="s">
        <v>1192</v>
      </c>
      <c r="L117">
        <v>16011503</v>
      </c>
    </row>
    <row r="118" spans="1:12" x14ac:dyDescent="0.25">
      <c r="A118" t="s">
        <v>20</v>
      </c>
      <c r="B118" t="s">
        <v>24</v>
      </c>
      <c r="C118" t="s">
        <v>275</v>
      </c>
      <c r="E118" t="s">
        <v>21</v>
      </c>
      <c r="F118" t="str">
        <f>_xlfn.XLOOKUP($E118,Sheet1!$E:$E,Sheet1!F:F)</f>
        <v>North Ryde</v>
      </c>
      <c r="G118" t="str">
        <f>_xlfn.XLOOKUP($E118,Sheet1!$E:$E,Sheet1!G:G)</f>
        <v>North Ryde [New South Wales]</v>
      </c>
      <c r="I118" t="str">
        <f>_xlfn.XLOOKUP($E118,Sheet1!$E:$E,Sheet1!I:I)</f>
        <v>Default station</v>
      </c>
      <c r="K118" t="s">
        <v>1193</v>
      </c>
      <c r="L118">
        <v>170851</v>
      </c>
    </row>
    <row r="119" spans="1:12" x14ac:dyDescent="0.25">
      <c r="A119" t="s">
        <v>20</v>
      </c>
      <c r="B119" t="s">
        <v>24</v>
      </c>
      <c r="C119" t="s">
        <v>276</v>
      </c>
      <c r="E119" t="s">
        <v>21</v>
      </c>
      <c r="F119" t="str">
        <f>_xlfn.XLOOKUP($E119,Sheet1!$E:$E,Sheet1!F:F)</f>
        <v>North Ryde</v>
      </c>
      <c r="G119" t="str">
        <f>_xlfn.XLOOKUP($E119,Sheet1!$E:$E,Sheet1!G:G)</f>
        <v>North Ryde [New South Wales]</v>
      </c>
      <c r="I119" t="str">
        <f>_xlfn.XLOOKUP($E119,Sheet1!$E:$E,Sheet1!I:I)</f>
        <v>Default station</v>
      </c>
      <c r="K119" t="s">
        <v>1194</v>
      </c>
      <c r="L119">
        <v>16011523</v>
      </c>
    </row>
    <row r="120" spans="1:12" x14ac:dyDescent="0.25">
      <c r="A120" t="s">
        <v>20</v>
      </c>
      <c r="B120" t="s">
        <v>24</v>
      </c>
      <c r="C120" t="s">
        <v>277</v>
      </c>
      <c r="E120" t="s">
        <v>21</v>
      </c>
      <c r="F120" t="str">
        <f>_xlfn.XLOOKUP($E120,Sheet1!$E:$E,Sheet1!F:F)</f>
        <v>North Ryde</v>
      </c>
      <c r="G120" t="str">
        <f>_xlfn.XLOOKUP($E120,Sheet1!$E:$E,Sheet1!G:G)</f>
        <v>North Ryde [New South Wales]</v>
      </c>
      <c r="I120" t="str">
        <f>_xlfn.XLOOKUP($E120,Sheet1!$E:$E,Sheet1!I:I)</f>
        <v>Default station</v>
      </c>
      <c r="K120" t="s">
        <v>1195</v>
      </c>
      <c r="L120">
        <v>241987</v>
      </c>
    </row>
    <row r="121" spans="1:12" x14ac:dyDescent="0.25">
      <c r="A121" t="s">
        <v>20</v>
      </c>
      <c r="B121" t="s">
        <v>24</v>
      </c>
      <c r="C121" t="s">
        <v>278</v>
      </c>
      <c r="E121" t="s">
        <v>21</v>
      </c>
      <c r="F121" t="str">
        <f>_xlfn.XLOOKUP($E121,Sheet1!$E:$E,Sheet1!F:F)</f>
        <v>North Ryde</v>
      </c>
      <c r="G121" t="str">
        <f>_xlfn.XLOOKUP($E121,Sheet1!$E:$E,Sheet1!G:G)</f>
        <v>North Ryde [New South Wales]</v>
      </c>
      <c r="I121" t="str">
        <f>_xlfn.XLOOKUP($E121,Sheet1!$E:$E,Sheet1!I:I)</f>
        <v>Default station</v>
      </c>
      <c r="K121" t="s">
        <v>1196</v>
      </c>
      <c r="L121">
        <v>16015016</v>
      </c>
    </row>
    <row r="122" spans="1:12" x14ac:dyDescent="0.25">
      <c r="A122" t="s">
        <v>20</v>
      </c>
      <c r="B122" t="s">
        <v>24</v>
      </c>
      <c r="C122" t="s">
        <v>279</v>
      </c>
      <c r="E122" t="s">
        <v>21</v>
      </c>
      <c r="F122" t="str">
        <f>_xlfn.XLOOKUP($E122,Sheet1!$E:$E,Sheet1!F:F)</f>
        <v>North Ryde</v>
      </c>
      <c r="G122" t="str">
        <f>_xlfn.XLOOKUP($E122,Sheet1!$E:$E,Sheet1!G:G)</f>
        <v>North Ryde [New South Wales]</v>
      </c>
      <c r="I122" t="str">
        <f>_xlfn.XLOOKUP($E122,Sheet1!$E:$E,Sheet1!I:I)</f>
        <v>Default station</v>
      </c>
      <c r="K122" t="s">
        <v>1197</v>
      </c>
      <c r="L122">
        <v>241996</v>
      </c>
    </row>
    <row r="123" spans="1:12" x14ac:dyDescent="0.25">
      <c r="A123" t="s">
        <v>20</v>
      </c>
      <c r="B123" t="s">
        <v>24</v>
      </c>
      <c r="C123" t="s">
        <v>280</v>
      </c>
      <c r="E123" t="s">
        <v>21</v>
      </c>
      <c r="F123" t="str">
        <f>_xlfn.XLOOKUP($E123,Sheet1!$E:$E,Sheet1!F:F)</f>
        <v>North Ryde</v>
      </c>
      <c r="G123" t="str">
        <f>_xlfn.XLOOKUP($E123,Sheet1!$E:$E,Sheet1!G:G)</f>
        <v>North Ryde [New South Wales]</v>
      </c>
      <c r="I123" t="str">
        <f>_xlfn.XLOOKUP($E123,Sheet1!$E:$E,Sheet1!I:I)</f>
        <v>Default station</v>
      </c>
      <c r="K123" t="s">
        <v>1198</v>
      </c>
      <c r="L123">
        <v>170129</v>
      </c>
    </row>
    <row r="124" spans="1:12" x14ac:dyDescent="0.25">
      <c r="A124" t="s">
        <v>20</v>
      </c>
      <c r="B124" t="s">
        <v>24</v>
      </c>
      <c r="C124" t="s">
        <v>281</v>
      </c>
      <c r="E124" t="s">
        <v>21</v>
      </c>
      <c r="F124" t="str">
        <f>_xlfn.XLOOKUP($E124,Sheet1!$E:$E,Sheet1!F:F)</f>
        <v>North Ryde</v>
      </c>
      <c r="G124" t="str">
        <f>_xlfn.XLOOKUP($E124,Sheet1!$E:$E,Sheet1!G:G)</f>
        <v>North Ryde [New South Wales]</v>
      </c>
      <c r="I124" t="str">
        <f>_xlfn.XLOOKUP($E124,Sheet1!$E:$E,Sheet1!I:I)</f>
        <v>Default station</v>
      </c>
      <c r="K124" t="s">
        <v>1199</v>
      </c>
      <c r="L124">
        <v>16013449</v>
      </c>
    </row>
    <row r="125" spans="1:12" x14ac:dyDescent="0.25">
      <c r="A125" t="s">
        <v>20</v>
      </c>
      <c r="B125" t="s">
        <v>24</v>
      </c>
      <c r="C125" t="s">
        <v>282</v>
      </c>
      <c r="E125" t="s">
        <v>21</v>
      </c>
      <c r="F125" t="str">
        <f>_xlfn.XLOOKUP($E125,Sheet1!$E:$E,Sheet1!F:F)</f>
        <v>North Ryde</v>
      </c>
      <c r="G125" t="str">
        <f>_xlfn.XLOOKUP($E125,Sheet1!$E:$E,Sheet1!G:G)</f>
        <v>North Ryde [New South Wales]</v>
      </c>
      <c r="I125" t="str">
        <f>_xlfn.XLOOKUP($E125,Sheet1!$E:$E,Sheet1!I:I)</f>
        <v>Default station</v>
      </c>
      <c r="K125" t="s">
        <v>1200</v>
      </c>
      <c r="L125">
        <v>23440316</v>
      </c>
    </row>
    <row r="126" spans="1:12" x14ac:dyDescent="0.25">
      <c r="A126" t="s">
        <v>20</v>
      </c>
      <c r="B126" t="s">
        <v>24</v>
      </c>
      <c r="C126" t="s">
        <v>283</v>
      </c>
      <c r="E126" t="s">
        <v>21</v>
      </c>
      <c r="F126" t="str">
        <f>_xlfn.XLOOKUP($E126,Sheet1!$E:$E,Sheet1!F:F)</f>
        <v>North Ryde</v>
      </c>
      <c r="G126" t="str">
        <f>_xlfn.XLOOKUP($E126,Sheet1!$E:$E,Sheet1!G:G)</f>
        <v>North Ryde [New South Wales]</v>
      </c>
      <c r="I126" t="str">
        <f>_xlfn.XLOOKUP($E126,Sheet1!$E:$E,Sheet1!I:I)</f>
        <v>Default station</v>
      </c>
      <c r="K126" t="s">
        <v>1201</v>
      </c>
      <c r="L126">
        <v>14000280</v>
      </c>
    </row>
    <row r="127" spans="1:12" x14ac:dyDescent="0.25">
      <c r="A127" t="s">
        <v>20</v>
      </c>
      <c r="B127" t="s">
        <v>24</v>
      </c>
      <c r="C127" t="s">
        <v>284</v>
      </c>
      <c r="E127" t="s">
        <v>21</v>
      </c>
      <c r="F127" t="str">
        <f>_xlfn.XLOOKUP($E127,Sheet1!$E:$E,Sheet1!F:F)</f>
        <v>North Ryde</v>
      </c>
      <c r="G127" t="str">
        <f>_xlfn.XLOOKUP($E127,Sheet1!$E:$E,Sheet1!G:G)</f>
        <v>North Ryde [New South Wales]</v>
      </c>
      <c r="I127" t="str">
        <f>_xlfn.XLOOKUP($E127,Sheet1!$E:$E,Sheet1!I:I)</f>
        <v>Default station</v>
      </c>
      <c r="K127" t="s">
        <v>1202</v>
      </c>
      <c r="L127">
        <v>16016059</v>
      </c>
    </row>
    <row r="128" spans="1:12" x14ac:dyDescent="0.25">
      <c r="A128" t="s">
        <v>20</v>
      </c>
      <c r="B128" t="s">
        <v>24</v>
      </c>
      <c r="C128" t="s">
        <v>285</v>
      </c>
      <c r="E128" t="s">
        <v>21</v>
      </c>
      <c r="F128" t="str">
        <f>_xlfn.XLOOKUP($E128,Sheet1!$E:$E,Sheet1!F:F)</f>
        <v>North Ryde</v>
      </c>
      <c r="G128" t="str">
        <f>_xlfn.XLOOKUP($E128,Sheet1!$E:$E,Sheet1!G:G)</f>
        <v>North Ryde [New South Wales]</v>
      </c>
      <c r="I128" t="str">
        <f>_xlfn.XLOOKUP($E128,Sheet1!$E:$E,Sheet1!I:I)</f>
        <v>Default station</v>
      </c>
      <c r="K128" t="s">
        <v>1203</v>
      </c>
      <c r="L128">
        <v>16011461</v>
      </c>
    </row>
    <row r="129" spans="1:12" x14ac:dyDescent="0.25">
      <c r="A129" t="s">
        <v>20</v>
      </c>
      <c r="B129" t="s">
        <v>24</v>
      </c>
      <c r="C129" t="s">
        <v>286</v>
      </c>
      <c r="E129" t="s">
        <v>21</v>
      </c>
      <c r="F129" t="str">
        <f>_xlfn.XLOOKUP($E129,Sheet1!$E:$E,Sheet1!F:F)</f>
        <v>North Ryde</v>
      </c>
      <c r="G129" t="str">
        <f>_xlfn.XLOOKUP($E129,Sheet1!$E:$E,Sheet1!G:G)</f>
        <v>North Ryde [New South Wales]</v>
      </c>
      <c r="I129" t="str">
        <f>_xlfn.XLOOKUP($E129,Sheet1!$E:$E,Sheet1!I:I)</f>
        <v>Default station</v>
      </c>
      <c r="K129" t="s">
        <v>1204</v>
      </c>
      <c r="L129">
        <v>38130001</v>
      </c>
    </row>
    <row r="130" spans="1:12" x14ac:dyDescent="0.25">
      <c r="A130" t="s">
        <v>20</v>
      </c>
      <c r="B130" t="s">
        <v>24</v>
      </c>
      <c r="C130" t="s">
        <v>287</v>
      </c>
      <c r="E130" t="s">
        <v>21</v>
      </c>
      <c r="F130" t="str">
        <f>_xlfn.XLOOKUP($E130,Sheet1!$E:$E,Sheet1!F:F)</f>
        <v>North Ryde</v>
      </c>
      <c r="G130" t="str">
        <f>_xlfn.XLOOKUP($E130,Sheet1!$E:$E,Sheet1!G:G)</f>
        <v>North Ryde [New South Wales]</v>
      </c>
      <c r="I130" t="str">
        <f>_xlfn.XLOOKUP($E130,Sheet1!$E:$E,Sheet1!I:I)</f>
        <v>Default station</v>
      </c>
      <c r="K130" t="s">
        <v>1205</v>
      </c>
      <c r="L130">
        <v>170110</v>
      </c>
    </row>
    <row r="131" spans="1:12" x14ac:dyDescent="0.25">
      <c r="A131" t="s">
        <v>20</v>
      </c>
      <c r="B131" t="s">
        <v>24</v>
      </c>
      <c r="C131" t="s">
        <v>288</v>
      </c>
      <c r="E131" t="s">
        <v>21</v>
      </c>
      <c r="F131" t="str">
        <f>_xlfn.XLOOKUP($E131,Sheet1!$E:$E,Sheet1!F:F)</f>
        <v>North Ryde</v>
      </c>
      <c r="G131" t="str">
        <f>_xlfn.XLOOKUP($E131,Sheet1!$E:$E,Sheet1!G:G)</f>
        <v>North Ryde [New South Wales]</v>
      </c>
      <c r="I131" t="str">
        <f>_xlfn.XLOOKUP($E131,Sheet1!$E:$E,Sheet1!I:I)</f>
        <v>Default station</v>
      </c>
      <c r="K131" t="s">
        <v>1206</v>
      </c>
      <c r="L131">
        <v>16011367</v>
      </c>
    </row>
    <row r="132" spans="1:12" x14ac:dyDescent="0.25">
      <c r="A132" t="s">
        <v>20</v>
      </c>
      <c r="B132" t="s">
        <v>24</v>
      </c>
      <c r="C132" t="s">
        <v>289</v>
      </c>
      <c r="E132" t="s">
        <v>21</v>
      </c>
      <c r="F132" t="str">
        <f>_xlfn.XLOOKUP($E132,Sheet1!$E:$E,Sheet1!F:F)</f>
        <v>North Ryde</v>
      </c>
      <c r="G132" t="str">
        <f>_xlfn.XLOOKUP($E132,Sheet1!$E:$E,Sheet1!G:G)</f>
        <v>North Ryde [New South Wales]</v>
      </c>
      <c r="I132" t="str">
        <f>_xlfn.XLOOKUP($E132,Sheet1!$E:$E,Sheet1!I:I)</f>
        <v>Default station</v>
      </c>
      <c r="K132" t="s">
        <v>1207</v>
      </c>
      <c r="L132">
        <v>170311</v>
      </c>
    </row>
    <row r="133" spans="1:12" x14ac:dyDescent="0.25">
      <c r="A133" t="s">
        <v>20</v>
      </c>
      <c r="B133" t="s">
        <v>24</v>
      </c>
      <c r="C133" t="s">
        <v>290</v>
      </c>
      <c r="E133" t="s">
        <v>21</v>
      </c>
      <c r="F133" t="str">
        <f>_xlfn.XLOOKUP($E133,Sheet1!$E:$E,Sheet1!F:F)</f>
        <v>North Ryde</v>
      </c>
      <c r="G133" t="str">
        <f>_xlfn.XLOOKUP($E133,Sheet1!$E:$E,Sheet1!G:G)</f>
        <v>North Ryde [New South Wales]</v>
      </c>
      <c r="I133" t="str">
        <f>_xlfn.XLOOKUP($E133,Sheet1!$E:$E,Sheet1!I:I)</f>
        <v>Default station</v>
      </c>
      <c r="K133" t="s">
        <v>1208</v>
      </c>
      <c r="L133">
        <v>23440032</v>
      </c>
    </row>
    <row r="134" spans="1:12" x14ac:dyDescent="0.25">
      <c r="A134" t="s">
        <v>20</v>
      </c>
      <c r="B134" t="s">
        <v>24</v>
      </c>
      <c r="C134" t="s">
        <v>291</v>
      </c>
      <c r="E134" t="s">
        <v>21</v>
      </c>
      <c r="F134" t="str">
        <f>_xlfn.XLOOKUP($E134,Sheet1!$E:$E,Sheet1!F:F)</f>
        <v>North Ryde</v>
      </c>
      <c r="G134" t="str">
        <f>_xlfn.XLOOKUP($E134,Sheet1!$E:$E,Sheet1!G:G)</f>
        <v>North Ryde [New South Wales]</v>
      </c>
      <c r="I134" t="str">
        <f>_xlfn.XLOOKUP($E134,Sheet1!$E:$E,Sheet1!I:I)</f>
        <v>Default station</v>
      </c>
      <c r="K134" t="s">
        <v>1209</v>
      </c>
      <c r="L134">
        <v>241201</v>
      </c>
    </row>
    <row r="135" spans="1:12" x14ac:dyDescent="0.25">
      <c r="A135" t="s">
        <v>20</v>
      </c>
      <c r="B135" t="s">
        <v>24</v>
      </c>
      <c r="C135" t="s">
        <v>292</v>
      </c>
      <c r="E135" t="s">
        <v>21</v>
      </c>
      <c r="F135" t="str">
        <f>_xlfn.XLOOKUP($E135,Sheet1!$E:$E,Sheet1!F:F)</f>
        <v>North Ryde</v>
      </c>
      <c r="G135" t="str">
        <f>_xlfn.XLOOKUP($E135,Sheet1!$E:$E,Sheet1!G:G)</f>
        <v>North Ryde [New South Wales]</v>
      </c>
      <c r="I135" t="str">
        <f>_xlfn.XLOOKUP($E135,Sheet1!$E:$E,Sheet1!I:I)</f>
        <v>Default station</v>
      </c>
      <c r="K135" t="s">
        <v>1210</v>
      </c>
      <c r="L135">
        <v>241981</v>
      </c>
    </row>
    <row r="136" spans="1:12" x14ac:dyDescent="0.25">
      <c r="A136" t="s">
        <v>20</v>
      </c>
      <c r="B136" t="s">
        <v>24</v>
      </c>
      <c r="C136" t="s">
        <v>293</v>
      </c>
      <c r="E136" t="s">
        <v>21</v>
      </c>
      <c r="F136" t="str">
        <f>_xlfn.XLOOKUP($E136,Sheet1!$E:$E,Sheet1!F:F)</f>
        <v>North Ryde</v>
      </c>
      <c r="G136" t="str">
        <f>_xlfn.XLOOKUP($E136,Sheet1!$E:$E,Sheet1!G:G)</f>
        <v>North Ryde [New South Wales]</v>
      </c>
      <c r="I136" t="str">
        <f>_xlfn.XLOOKUP($E136,Sheet1!$E:$E,Sheet1!I:I)</f>
        <v>Default station</v>
      </c>
      <c r="K136" t="s">
        <v>84</v>
      </c>
      <c r="L136">
        <v>38280046</v>
      </c>
    </row>
    <row r="137" spans="1:12" x14ac:dyDescent="0.25">
      <c r="A137" t="s">
        <v>20</v>
      </c>
      <c r="B137" t="s">
        <v>24</v>
      </c>
      <c r="C137" t="s">
        <v>294</v>
      </c>
      <c r="E137" t="s">
        <v>21</v>
      </c>
      <c r="F137" t="str">
        <f>_xlfn.XLOOKUP($E137,Sheet1!$E:$E,Sheet1!F:F)</f>
        <v>North Ryde</v>
      </c>
      <c r="G137" t="str">
        <f>_xlfn.XLOOKUP($E137,Sheet1!$E:$E,Sheet1!G:G)</f>
        <v>North Ryde [New South Wales]</v>
      </c>
      <c r="I137" t="str">
        <f>_xlfn.XLOOKUP($E137,Sheet1!$E:$E,Sheet1!I:I)</f>
        <v>Default station</v>
      </c>
      <c r="K137" t="s">
        <v>1211</v>
      </c>
      <c r="L137">
        <v>16012005</v>
      </c>
    </row>
    <row r="138" spans="1:12" x14ac:dyDescent="0.25">
      <c r="A138" t="s">
        <v>20</v>
      </c>
      <c r="B138" t="s">
        <v>24</v>
      </c>
      <c r="C138" t="s">
        <v>295</v>
      </c>
      <c r="E138" t="s">
        <v>21</v>
      </c>
      <c r="F138" t="str">
        <f>_xlfn.XLOOKUP($E138,Sheet1!$E:$E,Sheet1!F:F)</f>
        <v>North Ryde</v>
      </c>
      <c r="G138" t="str">
        <f>_xlfn.XLOOKUP($E138,Sheet1!$E:$E,Sheet1!G:G)</f>
        <v>North Ryde [New South Wales]</v>
      </c>
      <c r="I138" t="str">
        <f>_xlfn.XLOOKUP($E138,Sheet1!$E:$E,Sheet1!I:I)</f>
        <v>Default station</v>
      </c>
      <c r="K138" t="s">
        <v>1212</v>
      </c>
      <c r="L138">
        <v>23440313</v>
      </c>
    </row>
    <row r="139" spans="1:12" x14ac:dyDescent="0.25">
      <c r="A139" t="s">
        <v>20</v>
      </c>
      <c r="B139" t="s">
        <v>24</v>
      </c>
      <c r="C139" t="s">
        <v>296</v>
      </c>
      <c r="E139" t="s">
        <v>21</v>
      </c>
      <c r="F139" t="str">
        <f>_xlfn.XLOOKUP($E139,Sheet1!$E:$E,Sheet1!F:F)</f>
        <v>North Ryde</v>
      </c>
      <c r="G139" t="str">
        <f>_xlfn.XLOOKUP($E139,Sheet1!$E:$E,Sheet1!G:G)</f>
        <v>North Ryde [New South Wales]</v>
      </c>
      <c r="I139" t="str">
        <f>_xlfn.XLOOKUP($E139,Sheet1!$E:$E,Sheet1!I:I)</f>
        <v>Default station</v>
      </c>
      <c r="K139" t="s">
        <v>1213</v>
      </c>
      <c r="L139">
        <v>241832</v>
      </c>
    </row>
    <row r="140" spans="1:12" x14ac:dyDescent="0.25">
      <c r="A140" t="s">
        <v>20</v>
      </c>
      <c r="B140" t="s">
        <v>24</v>
      </c>
      <c r="C140" t="s">
        <v>297</v>
      </c>
      <c r="E140" t="s">
        <v>21</v>
      </c>
      <c r="F140" t="str">
        <f>_xlfn.XLOOKUP($E140,Sheet1!$E:$E,Sheet1!F:F)</f>
        <v>North Ryde</v>
      </c>
      <c r="G140" t="str">
        <f>_xlfn.XLOOKUP($E140,Sheet1!$E:$E,Sheet1!G:G)</f>
        <v>North Ryde [New South Wales]</v>
      </c>
      <c r="I140" t="str">
        <f>_xlfn.XLOOKUP($E140,Sheet1!$E:$E,Sheet1!I:I)</f>
        <v>Default station</v>
      </c>
      <c r="K140" t="s">
        <v>73</v>
      </c>
      <c r="L140">
        <v>16014017</v>
      </c>
    </row>
    <row r="141" spans="1:12" x14ac:dyDescent="0.25">
      <c r="A141" t="s">
        <v>20</v>
      </c>
      <c r="B141" t="s">
        <v>24</v>
      </c>
      <c r="C141" t="s">
        <v>298</v>
      </c>
      <c r="E141" t="s">
        <v>21</v>
      </c>
      <c r="F141" t="str">
        <f>_xlfn.XLOOKUP($E141,Sheet1!$E:$E,Sheet1!F:F)</f>
        <v>North Ryde</v>
      </c>
      <c r="G141" t="str">
        <f>_xlfn.XLOOKUP($E141,Sheet1!$E:$E,Sheet1!G:G)</f>
        <v>North Ryde [New South Wales]</v>
      </c>
      <c r="I141" t="str">
        <f>_xlfn.XLOOKUP($E141,Sheet1!$E:$E,Sheet1!I:I)</f>
        <v>Default station</v>
      </c>
      <c r="K141" t="s">
        <v>1214</v>
      </c>
      <c r="L141">
        <v>16016239</v>
      </c>
    </row>
    <row r="142" spans="1:12" x14ac:dyDescent="0.25">
      <c r="A142" t="s">
        <v>20</v>
      </c>
      <c r="B142" t="s">
        <v>24</v>
      </c>
      <c r="C142" t="s">
        <v>299</v>
      </c>
      <c r="E142" t="s">
        <v>21</v>
      </c>
      <c r="F142" t="str">
        <f>_xlfn.XLOOKUP($E142,Sheet1!$E:$E,Sheet1!F:F)</f>
        <v>North Ryde</v>
      </c>
      <c r="G142" t="str">
        <f>_xlfn.XLOOKUP($E142,Sheet1!$E:$E,Sheet1!G:G)</f>
        <v>North Ryde [New South Wales]</v>
      </c>
      <c r="I142" t="str">
        <f>_xlfn.XLOOKUP($E142,Sheet1!$E:$E,Sheet1!I:I)</f>
        <v>Default station</v>
      </c>
      <c r="K142" t="s">
        <v>81</v>
      </c>
      <c r="L142">
        <v>170115</v>
      </c>
    </row>
    <row r="143" spans="1:12" x14ac:dyDescent="0.25">
      <c r="A143" t="s">
        <v>20</v>
      </c>
      <c r="B143" t="s">
        <v>24</v>
      </c>
      <c r="C143" t="s">
        <v>300</v>
      </c>
      <c r="E143" t="s">
        <v>21</v>
      </c>
      <c r="F143" t="str">
        <f>_xlfn.XLOOKUP($E143,Sheet1!$E:$E,Sheet1!F:F)</f>
        <v>North Ryde</v>
      </c>
      <c r="G143" t="str">
        <f>_xlfn.XLOOKUP($E143,Sheet1!$E:$E,Sheet1!G:G)</f>
        <v>North Ryde [New South Wales]</v>
      </c>
      <c r="I143" t="str">
        <f>_xlfn.XLOOKUP($E143,Sheet1!$E:$E,Sheet1!I:I)</f>
        <v>Default station</v>
      </c>
      <c r="K143" t="s">
        <v>1215</v>
      </c>
      <c r="L143">
        <v>170403</v>
      </c>
    </row>
    <row r="144" spans="1:12" x14ac:dyDescent="0.25">
      <c r="A144" t="s">
        <v>20</v>
      </c>
      <c r="B144" t="s">
        <v>24</v>
      </c>
      <c r="C144" t="s">
        <v>301</v>
      </c>
      <c r="E144" t="s">
        <v>21</v>
      </c>
      <c r="F144" t="str">
        <f>_xlfn.XLOOKUP($E144,Sheet1!$E:$E,Sheet1!F:F)</f>
        <v>North Ryde</v>
      </c>
      <c r="G144" t="str">
        <f>_xlfn.XLOOKUP($E144,Sheet1!$E:$E,Sheet1!G:G)</f>
        <v>North Ryde [New South Wales]</v>
      </c>
      <c r="I144" t="str">
        <f>_xlfn.XLOOKUP($E144,Sheet1!$E:$E,Sheet1!I:I)</f>
        <v>Default station</v>
      </c>
      <c r="K144" t="s">
        <v>1216</v>
      </c>
      <c r="L144">
        <v>23440025</v>
      </c>
    </row>
    <row r="145" spans="1:12" x14ac:dyDescent="0.25">
      <c r="A145" t="s">
        <v>20</v>
      </c>
      <c r="B145" t="s">
        <v>24</v>
      </c>
      <c r="C145" t="s">
        <v>302</v>
      </c>
      <c r="E145" t="s">
        <v>21</v>
      </c>
      <c r="F145" t="str">
        <f>_xlfn.XLOOKUP($E145,Sheet1!$E:$E,Sheet1!F:F)</f>
        <v>North Ryde</v>
      </c>
      <c r="G145" t="str">
        <f>_xlfn.XLOOKUP($E145,Sheet1!$E:$E,Sheet1!G:G)</f>
        <v>North Ryde [New South Wales]</v>
      </c>
      <c r="I145" t="str">
        <f>_xlfn.XLOOKUP($E145,Sheet1!$E:$E,Sheet1!I:I)</f>
        <v>Default station</v>
      </c>
      <c r="K145" t="s">
        <v>1217</v>
      </c>
      <c r="L145">
        <v>16011408</v>
      </c>
    </row>
    <row r="146" spans="1:12" x14ac:dyDescent="0.25">
      <c r="A146" t="s">
        <v>20</v>
      </c>
      <c r="B146" t="s">
        <v>24</v>
      </c>
      <c r="C146" t="s">
        <v>36</v>
      </c>
      <c r="E146" t="s">
        <v>21</v>
      </c>
      <c r="F146" t="str">
        <f>_xlfn.XLOOKUP($E146,Sheet1!$E:$E,Sheet1!F:F)</f>
        <v>North Ryde</v>
      </c>
      <c r="G146" t="str">
        <f>_xlfn.XLOOKUP($E146,Sheet1!$E:$E,Sheet1!G:G)</f>
        <v>North Ryde [New South Wales]</v>
      </c>
      <c r="I146" t="str">
        <f>_xlfn.XLOOKUP($E146,Sheet1!$E:$E,Sheet1!I:I)</f>
        <v>Default station</v>
      </c>
      <c r="K146" t="s">
        <v>103</v>
      </c>
      <c r="L146">
        <v>382010</v>
      </c>
    </row>
    <row r="147" spans="1:12" x14ac:dyDescent="0.25">
      <c r="A147" t="s">
        <v>20</v>
      </c>
      <c r="B147" t="s">
        <v>24</v>
      </c>
      <c r="C147" t="s">
        <v>303</v>
      </c>
      <c r="E147" t="s">
        <v>21</v>
      </c>
      <c r="F147" t="str">
        <f>_xlfn.XLOOKUP($E147,Sheet1!$E:$E,Sheet1!F:F)</f>
        <v>North Ryde</v>
      </c>
      <c r="G147" t="str">
        <f>_xlfn.XLOOKUP($E147,Sheet1!$E:$E,Sheet1!G:G)</f>
        <v>North Ryde [New South Wales]</v>
      </c>
      <c r="I147" t="str">
        <f>_xlfn.XLOOKUP($E147,Sheet1!$E:$E,Sheet1!I:I)</f>
        <v>Default station</v>
      </c>
      <c r="K147" t="s">
        <v>1218</v>
      </c>
      <c r="L147">
        <v>16011510</v>
      </c>
    </row>
    <row r="148" spans="1:12" x14ac:dyDescent="0.25">
      <c r="A148" t="s">
        <v>20</v>
      </c>
      <c r="B148" t="s">
        <v>24</v>
      </c>
      <c r="C148" t="s">
        <v>304</v>
      </c>
      <c r="E148" t="s">
        <v>21</v>
      </c>
      <c r="F148" t="str">
        <f>_xlfn.XLOOKUP($E148,Sheet1!$E:$E,Sheet1!F:F)</f>
        <v>North Ryde</v>
      </c>
      <c r="G148" t="str">
        <f>_xlfn.XLOOKUP($E148,Sheet1!$E:$E,Sheet1!G:G)</f>
        <v>North Ryde [New South Wales]</v>
      </c>
      <c r="I148" t="str">
        <f>_xlfn.XLOOKUP($E148,Sheet1!$E:$E,Sheet1!I:I)</f>
        <v>Default station</v>
      </c>
      <c r="K148" t="s">
        <v>1219</v>
      </c>
      <c r="L148">
        <v>23440140</v>
      </c>
    </row>
    <row r="149" spans="1:12" x14ac:dyDescent="0.25">
      <c r="A149" t="s">
        <v>20</v>
      </c>
      <c r="B149" t="s">
        <v>24</v>
      </c>
      <c r="C149" t="s">
        <v>305</v>
      </c>
      <c r="E149" t="s">
        <v>21</v>
      </c>
      <c r="F149" t="str">
        <f>_xlfn.XLOOKUP($E149,Sheet1!$E:$E,Sheet1!F:F)</f>
        <v>North Ryde</v>
      </c>
      <c r="G149" t="str">
        <f>_xlfn.XLOOKUP($E149,Sheet1!$E:$E,Sheet1!G:G)</f>
        <v>North Ryde [New South Wales]</v>
      </c>
      <c r="I149" t="str">
        <f>_xlfn.XLOOKUP($E149,Sheet1!$E:$E,Sheet1!I:I)</f>
        <v>Default station</v>
      </c>
      <c r="K149" t="s">
        <v>1220</v>
      </c>
      <c r="L149">
        <v>170521</v>
      </c>
    </row>
    <row r="150" spans="1:12" x14ac:dyDescent="0.25">
      <c r="A150" t="s">
        <v>20</v>
      </c>
      <c r="B150" t="s">
        <v>24</v>
      </c>
      <c r="C150" t="s">
        <v>306</v>
      </c>
      <c r="E150" t="s">
        <v>21</v>
      </c>
      <c r="F150" t="str">
        <f>_xlfn.XLOOKUP($E150,Sheet1!$E:$E,Sheet1!F:F)</f>
        <v>North Ryde</v>
      </c>
      <c r="G150" t="str">
        <f>_xlfn.XLOOKUP($E150,Sheet1!$E:$E,Sheet1!G:G)</f>
        <v>North Ryde [New South Wales]</v>
      </c>
      <c r="I150" t="str">
        <f>_xlfn.XLOOKUP($E150,Sheet1!$E:$E,Sheet1!I:I)</f>
        <v>Default station</v>
      </c>
      <c r="K150" t="s">
        <v>45</v>
      </c>
      <c r="L150">
        <v>241209</v>
      </c>
    </row>
    <row r="151" spans="1:12" x14ac:dyDescent="0.25">
      <c r="A151" t="s">
        <v>20</v>
      </c>
      <c r="B151" t="s">
        <v>24</v>
      </c>
      <c r="C151" t="s">
        <v>307</v>
      </c>
      <c r="E151" t="s">
        <v>21</v>
      </c>
      <c r="F151" t="str">
        <f>_xlfn.XLOOKUP($E151,Sheet1!$E:$E,Sheet1!F:F)</f>
        <v>North Ryde</v>
      </c>
      <c r="G151" t="str">
        <f>_xlfn.XLOOKUP($E151,Sheet1!$E:$E,Sheet1!G:G)</f>
        <v>North Ryde [New South Wales]</v>
      </c>
      <c r="I151" t="str">
        <f>_xlfn.XLOOKUP($E151,Sheet1!$E:$E,Sheet1!I:I)</f>
        <v>Default station</v>
      </c>
      <c r="K151" t="s">
        <v>1221</v>
      </c>
      <c r="L151">
        <v>241835</v>
      </c>
    </row>
    <row r="152" spans="1:12" x14ac:dyDescent="0.25">
      <c r="A152" t="s">
        <v>20</v>
      </c>
      <c r="B152" t="s">
        <v>24</v>
      </c>
      <c r="C152" t="s">
        <v>308</v>
      </c>
      <c r="E152" t="s">
        <v>21</v>
      </c>
      <c r="F152" t="str">
        <f>_xlfn.XLOOKUP($E152,Sheet1!$E:$E,Sheet1!F:F)</f>
        <v>North Ryde</v>
      </c>
      <c r="G152" t="str">
        <f>_xlfn.XLOOKUP($E152,Sheet1!$E:$E,Sheet1!G:G)</f>
        <v>North Ryde [New South Wales]</v>
      </c>
      <c r="I152" t="str">
        <f>_xlfn.XLOOKUP($E152,Sheet1!$E:$E,Sheet1!I:I)</f>
        <v>Default station</v>
      </c>
      <c r="K152" t="s">
        <v>1222</v>
      </c>
      <c r="L152">
        <v>170954</v>
      </c>
    </row>
    <row r="153" spans="1:12" x14ac:dyDescent="0.25">
      <c r="A153" t="s">
        <v>20</v>
      </c>
      <c r="B153" t="s">
        <v>24</v>
      </c>
      <c r="C153" t="s">
        <v>309</v>
      </c>
      <c r="E153" t="s">
        <v>21</v>
      </c>
      <c r="F153" t="str">
        <f>_xlfn.XLOOKUP($E153,Sheet1!$E:$E,Sheet1!F:F)</f>
        <v>North Ryde</v>
      </c>
      <c r="G153" t="str">
        <f>_xlfn.XLOOKUP($E153,Sheet1!$E:$E,Sheet1!G:G)</f>
        <v>North Ryde [New South Wales]</v>
      </c>
      <c r="I153" t="str">
        <f>_xlfn.XLOOKUP($E153,Sheet1!$E:$E,Sheet1!I:I)</f>
        <v>Default station</v>
      </c>
      <c r="K153" t="s">
        <v>1223</v>
      </c>
      <c r="L153">
        <v>23440242</v>
      </c>
    </row>
    <row r="154" spans="1:12" x14ac:dyDescent="0.25">
      <c r="A154" t="s">
        <v>20</v>
      </c>
      <c r="B154" t="s">
        <v>24</v>
      </c>
      <c r="C154" t="s">
        <v>310</v>
      </c>
      <c r="E154" t="s">
        <v>21</v>
      </c>
      <c r="F154" t="str">
        <f>_xlfn.XLOOKUP($E154,Sheet1!$E:$E,Sheet1!F:F)</f>
        <v>North Ryde</v>
      </c>
      <c r="G154" t="str">
        <f>_xlfn.XLOOKUP($E154,Sheet1!$E:$E,Sheet1!G:G)</f>
        <v>North Ryde [New South Wales]</v>
      </c>
      <c r="I154" t="str">
        <f>_xlfn.XLOOKUP($E154,Sheet1!$E:$E,Sheet1!I:I)</f>
        <v>Default station</v>
      </c>
      <c r="K154" t="s">
        <v>1224</v>
      </c>
      <c r="L154">
        <v>170263</v>
      </c>
    </row>
    <row r="155" spans="1:12" x14ac:dyDescent="0.25">
      <c r="A155" t="s">
        <v>20</v>
      </c>
      <c r="B155" t="s">
        <v>24</v>
      </c>
      <c r="C155" t="s">
        <v>311</v>
      </c>
      <c r="E155" t="s">
        <v>21</v>
      </c>
      <c r="F155" t="str">
        <f>_xlfn.XLOOKUP($E155,Sheet1!$E:$E,Sheet1!F:F)</f>
        <v>North Ryde</v>
      </c>
      <c r="G155" t="str">
        <f>_xlfn.XLOOKUP($E155,Sheet1!$E:$E,Sheet1!G:G)</f>
        <v>North Ryde [New South Wales]</v>
      </c>
      <c r="I155" t="str">
        <f>_xlfn.XLOOKUP($E155,Sheet1!$E:$E,Sheet1!I:I)</f>
        <v>Default station</v>
      </c>
      <c r="K155" t="s">
        <v>1225</v>
      </c>
      <c r="L155">
        <v>16011364</v>
      </c>
    </row>
    <row r="156" spans="1:12" x14ac:dyDescent="0.25">
      <c r="A156" t="s">
        <v>20</v>
      </c>
      <c r="B156" t="s">
        <v>24</v>
      </c>
      <c r="C156" t="s">
        <v>312</v>
      </c>
      <c r="E156" t="s">
        <v>21</v>
      </c>
      <c r="F156" t="str">
        <f>_xlfn.XLOOKUP($E156,Sheet1!$E:$E,Sheet1!F:F)</f>
        <v>North Ryde</v>
      </c>
      <c r="G156" t="str">
        <f>_xlfn.XLOOKUP($E156,Sheet1!$E:$E,Sheet1!G:G)</f>
        <v>North Ryde [New South Wales]</v>
      </c>
      <c r="I156" t="str">
        <f>_xlfn.XLOOKUP($E156,Sheet1!$E:$E,Sheet1!I:I)</f>
        <v>Default station</v>
      </c>
      <c r="K156" t="s">
        <v>1226</v>
      </c>
      <c r="L156">
        <v>170518</v>
      </c>
    </row>
    <row r="157" spans="1:12" x14ac:dyDescent="0.25">
      <c r="A157" t="s">
        <v>20</v>
      </c>
      <c r="B157" t="s">
        <v>24</v>
      </c>
      <c r="C157" t="s">
        <v>313</v>
      </c>
      <c r="E157" t="s">
        <v>21</v>
      </c>
      <c r="F157" t="str">
        <f>_xlfn.XLOOKUP($E157,Sheet1!$E:$E,Sheet1!F:F)</f>
        <v>North Ryde</v>
      </c>
      <c r="G157" t="str">
        <f>_xlfn.XLOOKUP($E157,Sheet1!$E:$E,Sheet1!G:G)</f>
        <v>North Ryde [New South Wales]</v>
      </c>
      <c r="I157" t="str">
        <f>_xlfn.XLOOKUP($E157,Sheet1!$E:$E,Sheet1!I:I)</f>
        <v>Default station</v>
      </c>
      <c r="K157" t="s">
        <v>1227</v>
      </c>
      <c r="L157">
        <v>23440181</v>
      </c>
    </row>
    <row r="158" spans="1:12" x14ac:dyDescent="0.25">
      <c r="A158" t="s">
        <v>20</v>
      </c>
      <c r="B158" t="s">
        <v>24</v>
      </c>
      <c r="C158" t="s">
        <v>314</v>
      </c>
      <c r="E158" t="s">
        <v>21</v>
      </c>
      <c r="F158" t="str">
        <f>_xlfn.XLOOKUP($E158,Sheet1!$E:$E,Sheet1!F:F)</f>
        <v>North Ryde</v>
      </c>
      <c r="G158" t="str">
        <f>_xlfn.XLOOKUP($E158,Sheet1!$E:$E,Sheet1!G:G)</f>
        <v>North Ryde [New South Wales]</v>
      </c>
      <c r="I158" t="str">
        <f>_xlfn.XLOOKUP($E158,Sheet1!$E:$E,Sheet1!I:I)</f>
        <v>Default station</v>
      </c>
      <c r="K158" t="s">
        <v>100</v>
      </c>
      <c r="L158">
        <v>362990</v>
      </c>
    </row>
    <row r="159" spans="1:12" x14ac:dyDescent="0.25">
      <c r="A159" t="s">
        <v>20</v>
      </c>
      <c r="B159" t="s">
        <v>24</v>
      </c>
      <c r="C159" t="s">
        <v>315</v>
      </c>
      <c r="E159" t="s">
        <v>21</v>
      </c>
      <c r="F159" t="str">
        <f>_xlfn.XLOOKUP($E159,Sheet1!$E:$E,Sheet1!F:F)</f>
        <v>North Ryde</v>
      </c>
      <c r="G159" t="str">
        <f>_xlfn.XLOOKUP($E159,Sheet1!$E:$E,Sheet1!G:G)</f>
        <v>North Ryde [New South Wales]</v>
      </c>
      <c r="I159" t="str">
        <f>_xlfn.XLOOKUP($E159,Sheet1!$E:$E,Sheet1!I:I)</f>
        <v>Default station</v>
      </c>
      <c r="K159" t="s">
        <v>1228</v>
      </c>
      <c r="L159">
        <v>170829</v>
      </c>
    </row>
    <row r="160" spans="1:12" x14ac:dyDescent="0.25">
      <c r="A160" t="s">
        <v>20</v>
      </c>
      <c r="B160" t="s">
        <v>24</v>
      </c>
      <c r="C160" t="s">
        <v>316</v>
      </c>
      <c r="E160" t="s">
        <v>21</v>
      </c>
      <c r="F160" t="str">
        <f>_xlfn.XLOOKUP($E160,Sheet1!$E:$E,Sheet1!F:F)</f>
        <v>North Ryde</v>
      </c>
      <c r="G160" t="str">
        <f>_xlfn.XLOOKUP($E160,Sheet1!$E:$E,Sheet1!G:G)</f>
        <v>North Ryde [New South Wales]</v>
      </c>
      <c r="I160" t="str">
        <f>_xlfn.XLOOKUP($E160,Sheet1!$E:$E,Sheet1!I:I)</f>
        <v>Default station</v>
      </c>
      <c r="K160" t="s">
        <v>1229</v>
      </c>
      <c r="L160">
        <v>170259</v>
      </c>
    </row>
    <row r="161" spans="1:12" x14ac:dyDescent="0.25">
      <c r="A161" t="s">
        <v>20</v>
      </c>
      <c r="B161" t="s">
        <v>24</v>
      </c>
      <c r="C161" t="s">
        <v>317</v>
      </c>
      <c r="E161" t="s">
        <v>21</v>
      </c>
      <c r="F161" t="str">
        <f>_xlfn.XLOOKUP($E161,Sheet1!$E:$E,Sheet1!F:F)</f>
        <v>North Ryde</v>
      </c>
      <c r="G161" t="str">
        <f>_xlfn.XLOOKUP($E161,Sheet1!$E:$E,Sheet1!G:G)</f>
        <v>North Ryde [New South Wales]</v>
      </c>
      <c r="I161" t="str">
        <f>_xlfn.XLOOKUP($E161,Sheet1!$E:$E,Sheet1!I:I)</f>
        <v>Default station</v>
      </c>
      <c r="K161" t="s">
        <v>1230</v>
      </c>
      <c r="L161">
        <v>16012384</v>
      </c>
    </row>
    <row r="162" spans="1:12" x14ac:dyDescent="0.25">
      <c r="A162" t="s">
        <v>20</v>
      </c>
      <c r="B162" t="s">
        <v>24</v>
      </c>
      <c r="C162" t="s">
        <v>318</v>
      </c>
      <c r="E162" t="s">
        <v>21</v>
      </c>
      <c r="F162" t="str">
        <f>_xlfn.XLOOKUP($E162,Sheet1!$E:$E,Sheet1!F:F)</f>
        <v>North Ryde</v>
      </c>
      <c r="G162" t="str">
        <f>_xlfn.XLOOKUP($E162,Sheet1!$E:$E,Sheet1!G:G)</f>
        <v>North Ryde [New South Wales]</v>
      </c>
      <c r="I162" t="str">
        <f>_xlfn.XLOOKUP($E162,Sheet1!$E:$E,Sheet1!I:I)</f>
        <v>Default station</v>
      </c>
      <c r="K162" t="s">
        <v>1231</v>
      </c>
      <c r="L162">
        <v>24180042</v>
      </c>
    </row>
    <row r="163" spans="1:12" x14ac:dyDescent="0.25">
      <c r="A163" t="s">
        <v>20</v>
      </c>
      <c r="B163" t="s">
        <v>24</v>
      </c>
      <c r="C163" t="s">
        <v>319</v>
      </c>
      <c r="E163" t="s">
        <v>21</v>
      </c>
      <c r="F163" t="str">
        <f>_xlfn.XLOOKUP($E163,Sheet1!$E:$E,Sheet1!F:F)</f>
        <v>North Ryde</v>
      </c>
      <c r="G163" t="str">
        <f>_xlfn.XLOOKUP($E163,Sheet1!$E:$E,Sheet1!G:G)</f>
        <v>North Ryde [New South Wales]</v>
      </c>
      <c r="I163" t="str">
        <f>_xlfn.XLOOKUP($E163,Sheet1!$E:$E,Sheet1!I:I)</f>
        <v>Default station</v>
      </c>
      <c r="K163" t="s">
        <v>1232</v>
      </c>
      <c r="L163">
        <v>170812</v>
      </c>
    </row>
    <row r="164" spans="1:12" x14ac:dyDescent="0.25">
      <c r="A164" t="s">
        <v>20</v>
      </c>
      <c r="B164" t="s">
        <v>24</v>
      </c>
      <c r="C164" t="s">
        <v>320</v>
      </c>
      <c r="E164" t="s">
        <v>21</v>
      </c>
      <c r="F164" t="str">
        <f>_xlfn.XLOOKUP($E164,Sheet1!$E:$E,Sheet1!F:F)</f>
        <v>North Ryde</v>
      </c>
      <c r="G164" t="str">
        <f>_xlfn.XLOOKUP($E164,Sheet1!$E:$E,Sheet1!G:G)</f>
        <v>North Ryde [New South Wales]</v>
      </c>
      <c r="I164" t="str">
        <f>_xlfn.XLOOKUP($E164,Sheet1!$E:$E,Sheet1!I:I)</f>
        <v>Default station</v>
      </c>
      <c r="K164" t="s">
        <v>1233</v>
      </c>
      <c r="L164">
        <v>16013442</v>
      </c>
    </row>
    <row r="165" spans="1:12" x14ac:dyDescent="0.25">
      <c r="A165" t="s">
        <v>20</v>
      </c>
      <c r="B165" t="s">
        <v>24</v>
      </c>
      <c r="C165" t="s">
        <v>321</v>
      </c>
      <c r="E165" t="s">
        <v>21</v>
      </c>
      <c r="F165" t="str">
        <f>_xlfn.XLOOKUP($E165,Sheet1!$E:$E,Sheet1!F:F)</f>
        <v>North Ryde</v>
      </c>
      <c r="G165" t="str">
        <f>_xlfn.XLOOKUP($E165,Sheet1!$E:$E,Sheet1!G:G)</f>
        <v>North Ryde [New South Wales]</v>
      </c>
      <c r="I165" t="str">
        <f>_xlfn.XLOOKUP($E165,Sheet1!$E:$E,Sheet1!I:I)</f>
        <v>Default station</v>
      </c>
      <c r="K165" t="s">
        <v>1234</v>
      </c>
      <c r="L165">
        <v>16011451</v>
      </c>
    </row>
    <row r="166" spans="1:12" x14ac:dyDescent="0.25">
      <c r="A166" t="s">
        <v>20</v>
      </c>
      <c r="B166" t="s">
        <v>24</v>
      </c>
      <c r="C166" t="s">
        <v>322</v>
      </c>
      <c r="E166" t="s">
        <v>21</v>
      </c>
      <c r="F166" t="str">
        <f>_xlfn.XLOOKUP($E166,Sheet1!$E:$E,Sheet1!F:F)</f>
        <v>North Ryde</v>
      </c>
      <c r="G166" t="str">
        <f>_xlfn.XLOOKUP($E166,Sheet1!$E:$E,Sheet1!G:G)</f>
        <v>North Ryde [New South Wales]</v>
      </c>
      <c r="I166" t="str">
        <f>_xlfn.XLOOKUP($E166,Sheet1!$E:$E,Sheet1!I:I)</f>
        <v>Default station</v>
      </c>
      <c r="K166" t="s">
        <v>80</v>
      </c>
      <c r="L166">
        <v>170106</v>
      </c>
    </row>
    <row r="167" spans="1:12" x14ac:dyDescent="0.25">
      <c r="A167" t="s">
        <v>20</v>
      </c>
      <c r="B167" t="s">
        <v>24</v>
      </c>
      <c r="C167" t="s">
        <v>323</v>
      </c>
      <c r="E167" t="s">
        <v>21</v>
      </c>
      <c r="F167" t="str">
        <f>_xlfn.XLOOKUP($E167,Sheet1!$E:$E,Sheet1!F:F)</f>
        <v>North Ryde</v>
      </c>
      <c r="G167" t="str">
        <f>_xlfn.XLOOKUP($E167,Sheet1!$E:$E,Sheet1!G:G)</f>
        <v>North Ryde [New South Wales]</v>
      </c>
      <c r="I167" t="str">
        <f>_xlfn.XLOOKUP($E167,Sheet1!$E:$E,Sheet1!I:I)</f>
        <v>Default station</v>
      </c>
      <c r="K167" t="s">
        <v>1235</v>
      </c>
      <c r="L167">
        <v>38220073</v>
      </c>
    </row>
    <row r="168" spans="1:12" x14ac:dyDescent="0.25">
      <c r="A168" t="s">
        <v>20</v>
      </c>
      <c r="B168" t="s">
        <v>24</v>
      </c>
      <c r="C168" t="s">
        <v>324</v>
      </c>
      <c r="E168" t="s">
        <v>21</v>
      </c>
      <c r="F168" t="str">
        <f>_xlfn.XLOOKUP($E168,Sheet1!$E:$E,Sheet1!F:F)</f>
        <v>North Ryde</v>
      </c>
      <c r="G168" t="str">
        <f>_xlfn.XLOOKUP($E168,Sheet1!$E:$E,Sheet1!G:G)</f>
        <v>North Ryde [New South Wales]</v>
      </c>
      <c r="I168" t="str">
        <f>_xlfn.XLOOKUP($E168,Sheet1!$E:$E,Sheet1!I:I)</f>
        <v>Default station</v>
      </c>
      <c r="K168" t="s">
        <v>1236</v>
      </c>
      <c r="L168">
        <v>170312</v>
      </c>
    </row>
    <row r="169" spans="1:12" x14ac:dyDescent="0.25">
      <c r="A169" t="s">
        <v>20</v>
      </c>
      <c r="B169" t="s">
        <v>24</v>
      </c>
      <c r="C169" t="s">
        <v>325</v>
      </c>
      <c r="E169" t="s">
        <v>21</v>
      </c>
      <c r="F169" t="str">
        <f>_xlfn.XLOOKUP($E169,Sheet1!$E:$E,Sheet1!F:F)</f>
        <v>North Ryde</v>
      </c>
      <c r="G169" t="str">
        <f>_xlfn.XLOOKUP($E169,Sheet1!$E:$E,Sheet1!G:G)</f>
        <v>North Ryde [New South Wales]</v>
      </c>
      <c r="I169" t="str">
        <f>_xlfn.XLOOKUP($E169,Sheet1!$E:$E,Sheet1!I:I)</f>
        <v>Default station</v>
      </c>
      <c r="K169" t="s">
        <v>1237</v>
      </c>
      <c r="L169">
        <v>16016100</v>
      </c>
    </row>
    <row r="170" spans="1:12" x14ac:dyDescent="0.25">
      <c r="A170" t="s">
        <v>20</v>
      </c>
      <c r="B170" t="s">
        <v>24</v>
      </c>
      <c r="C170" t="s">
        <v>326</v>
      </c>
      <c r="E170" t="s">
        <v>21</v>
      </c>
      <c r="F170" t="str">
        <f>_xlfn.XLOOKUP($E170,Sheet1!$E:$E,Sheet1!F:F)</f>
        <v>North Ryde</v>
      </c>
      <c r="G170" t="str">
        <f>_xlfn.XLOOKUP($E170,Sheet1!$E:$E,Sheet1!G:G)</f>
        <v>North Ryde [New South Wales]</v>
      </c>
      <c r="I170" t="str">
        <f>_xlfn.XLOOKUP($E170,Sheet1!$E:$E,Sheet1!I:I)</f>
        <v>Default station</v>
      </c>
      <c r="K170" t="s">
        <v>1238</v>
      </c>
      <c r="L170">
        <v>16012364</v>
      </c>
    </row>
    <row r="171" spans="1:12" x14ac:dyDescent="0.25">
      <c r="A171" t="s">
        <v>20</v>
      </c>
      <c r="B171" t="s">
        <v>24</v>
      </c>
      <c r="C171" t="s">
        <v>327</v>
      </c>
      <c r="E171" t="s">
        <v>21</v>
      </c>
      <c r="F171" t="str">
        <f>_xlfn.XLOOKUP($E171,Sheet1!$E:$E,Sheet1!F:F)</f>
        <v>North Ryde</v>
      </c>
      <c r="G171" t="str">
        <f>_xlfn.XLOOKUP($E171,Sheet1!$E:$E,Sheet1!G:G)</f>
        <v>North Ryde [New South Wales]</v>
      </c>
      <c r="I171" t="str">
        <f>_xlfn.XLOOKUP($E171,Sheet1!$E:$E,Sheet1!I:I)</f>
        <v>Default station</v>
      </c>
      <c r="K171" t="s">
        <v>1239</v>
      </c>
      <c r="L171">
        <v>241618</v>
      </c>
    </row>
    <row r="172" spans="1:12" x14ac:dyDescent="0.25">
      <c r="A172" t="s">
        <v>20</v>
      </c>
      <c r="B172" t="s">
        <v>24</v>
      </c>
      <c r="C172" t="s">
        <v>328</v>
      </c>
      <c r="E172" t="s">
        <v>21</v>
      </c>
      <c r="F172" t="str">
        <f>_xlfn.XLOOKUP($E172,Sheet1!$E:$E,Sheet1!F:F)</f>
        <v>North Ryde</v>
      </c>
      <c r="G172" t="str">
        <f>_xlfn.XLOOKUP($E172,Sheet1!$E:$E,Sheet1!G:G)</f>
        <v>North Ryde [New South Wales]</v>
      </c>
      <c r="I172" t="str">
        <f>_xlfn.XLOOKUP($E172,Sheet1!$E:$E,Sheet1!I:I)</f>
        <v>Default station</v>
      </c>
      <c r="K172" t="s">
        <v>1240</v>
      </c>
      <c r="L172">
        <v>382201</v>
      </c>
    </row>
    <row r="173" spans="1:12" x14ac:dyDescent="0.25">
      <c r="A173" t="s">
        <v>20</v>
      </c>
      <c r="B173" t="s">
        <v>24</v>
      </c>
      <c r="C173" t="s">
        <v>329</v>
      </c>
      <c r="E173" t="s">
        <v>21</v>
      </c>
      <c r="F173" t="str">
        <f>_xlfn.XLOOKUP($E173,Sheet1!$E:$E,Sheet1!F:F)</f>
        <v>North Ryde</v>
      </c>
      <c r="G173" t="str">
        <f>_xlfn.XLOOKUP($E173,Sheet1!$E:$E,Sheet1!G:G)</f>
        <v>North Ryde [New South Wales]</v>
      </c>
      <c r="I173" t="str">
        <f>_xlfn.XLOOKUP($E173,Sheet1!$E:$E,Sheet1!I:I)</f>
        <v>Default station</v>
      </c>
      <c r="K173" t="s">
        <v>61</v>
      </c>
      <c r="L173">
        <v>170201</v>
      </c>
    </row>
    <row r="174" spans="1:12" x14ac:dyDescent="0.25">
      <c r="A174" t="s">
        <v>20</v>
      </c>
      <c r="B174" t="s">
        <v>24</v>
      </c>
      <c r="C174" t="s">
        <v>330</v>
      </c>
      <c r="E174" t="s">
        <v>21</v>
      </c>
      <c r="F174" t="str">
        <f>_xlfn.XLOOKUP($E174,Sheet1!$E:$E,Sheet1!F:F)</f>
        <v>North Ryde</v>
      </c>
      <c r="G174" t="str">
        <f>_xlfn.XLOOKUP($E174,Sheet1!$E:$E,Sheet1!G:G)</f>
        <v>North Ryde [New South Wales]</v>
      </c>
      <c r="I174" t="str">
        <f>_xlfn.XLOOKUP($E174,Sheet1!$E:$E,Sheet1!I:I)</f>
        <v>Default station</v>
      </c>
      <c r="K174" t="s">
        <v>1241</v>
      </c>
      <c r="L174">
        <v>241811</v>
      </c>
    </row>
    <row r="175" spans="1:12" x14ac:dyDescent="0.25">
      <c r="A175" t="s">
        <v>20</v>
      </c>
      <c r="B175" t="s">
        <v>24</v>
      </c>
      <c r="C175" t="s">
        <v>331</v>
      </c>
      <c r="E175" t="s">
        <v>21</v>
      </c>
      <c r="F175" t="str">
        <f>_xlfn.XLOOKUP($E175,Sheet1!$E:$E,Sheet1!F:F)</f>
        <v>North Ryde</v>
      </c>
      <c r="G175" t="str">
        <f>_xlfn.XLOOKUP($E175,Sheet1!$E:$E,Sheet1!G:G)</f>
        <v>North Ryde [New South Wales]</v>
      </c>
      <c r="I175" t="str">
        <f>_xlfn.XLOOKUP($E175,Sheet1!$E:$E,Sheet1!I:I)</f>
        <v>Default station</v>
      </c>
      <c r="K175" t="s">
        <v>1242</v>
      </c>
      <c r="L175">
        <v>38215138</v>
      </c>
    </row>
    <row r="176" spans="1:12" x14ac:dyDescent="0.25">
      <c r="A176" t="s">
        <v>20</v>
      </c>
      <c r="B176" t="s">
        <v>24</v>
      </c>
      <c r="C176" t="s">
        <v>332</v>
      </c>
      <c r="E176" t="s">
        <v>21</v>
      </c>
      <c r="F176" t="str">
        <f>_xlfn.XLOOKUP($E176,Sheet1!$E:$E,Sheet1!F:F)</f>
        <v>North Ryde</v>
      </c>
      <c r="G176" t="str">
        <f>_xlfn.XLOOKUP($E176,Sheet1!$E:$E,Sheet1!G:G)</f>
        <v>North Ryde [New South Wales]</v>
      </c>
      <c r="I176" t="str">
        <f>_xlfn.XLOOKUP($E176,Sheet1!$E:$E,Sheet1!I:I)</f>
        <v>Default station</v>
      </c>
      <c r="K176" t="s">
        <v>1243</v>
      </c>
      <c r="L176">
        <v>170726</v>
      </c>
    </row>
    <row r="177" spans="1:12" x14ac:dyDescent="0.25">
      <c r="A177" t="s">
        <v>20</v>
      </c>
      <c r="B177" t="s">
        <v>24</v>
      </c>
      <c r="C177" t="s">
        <v>333</v>
      </c>
      <c r="E177" t="s">
        <v>21</v>
      </c>
      <c r="F177" t="str">
        <f>_xlfn.XLOOKUP($E177,Sheet1!$E:$E,Sheet1!F:F)</f>
        <v>North Ryde</v>
      </c>
      <c r="G177" t="str">
        <f>_xlfn.XLOOKUP($E177,Sheet1!$E:$E,Sheet1!G:G)</f>
        <v>North Ryde [New South Wales]</v>
      </c>
      <c r="I177" t="str">
        <f>_xlfn.XLOOKUP($E177,Sheet1!$E:$E,Sheet1!I:I)</f>
        <v>Default station</v>
      </c>
      <c r="K177" t="s">
        <v>1244</v>
      </c>
      <c r="L177">
        <v>16011366</v>
      </c>
    </row>
    <row r="178" spans="1:12" x14ac:dyDescent="0.25">
      <c r="A178" t="s">
        <v>20</v>
      </c>
      <c r="B178" t="s">
        <v>24</v>
      </c>
      <c r="C178" t="s">
        <v>334</v>
      </c>
      <c r="E178" t="s">
        <v>21</v>
      </c>
      <c r="F178" t="str">
        <f>_xlfn.XLOOKUP($E178,Sheet1!$E:$E,Sheet1!F:F)</f>
        <v>North Ryde</v>
      </c>
      <c r="G178" t="str">
        <f>_xlfn.XLOOKUP($E178,Sheet1!$E:$E,Sheet1!G:G)</f>
        <v>North Ryde [New South Wales]</v>
      </c>
      <c r="I178" t="str">
        <f>_xlfn.XLOOKUP($E178,Sheet1!$E:$E,Sheet1!I:I)</f>
        <v>Default station</v>
      </c>
      <c r="K178" t="s">
        <v>1245</v>
      </c>
      <c r="L178">
        <v>16011489</v>
      </c>
    </row>
    <row r="179" spans="1:12" x14ac:dyDescent="0.25">
      <c r="A179" t="s">
        <v>20</v>
      </c>
      <c r="B179" t="s">
        <v>24</v>
      </c>
      <c r="C179" t="s">
        <v>335</v>
      </c>
      <c r="E179" t="s">
        <v>21</v>
      </c>
      <c r="F179" t="str">
        <f>_xlfn.XLOOKUP($E179,Sheet1!$E:$E,Sheet1!F:F)</f>
        <v>North Ryde</v>
      </c>
      <c r="G179" t="str">
        <f>_xlfn.XLOOKUP($E179,Sheet1!$E:$E,Sheet1!G:G)</f>
        <v>North Ryde [New South Wales]</v>
      </c>
      <c r="I179" t="str">
        <f>_xlfn.XLOOKUP($E179,Sheet1!$E:$E,Sheet1!I:I)</f>
        <v>Default station</v>
      </c>
      <c r="K179" t="s">
        <v>1246</v>
      </c>
      <c r="L179">
        <v>241710</v>
      </c>
    </row>
    <row r="180" spans="1:12" x14ac:dyDescent="0.25">
      <c r="A180" t="s">
        <v>20</v>
      </c>
      <c r="B180" t="s">
        <v>24</v>
      </c>
      <c r="C180" t="s">
        <v>336</v>
      </c>
      <c r="E180" t="s">
        <v>21</v>
      </c>
      <c r="F180" t="str">
        <f>_xlfn.XLOOKUP($E180,Sheet1!$E:$E,Sheet1!F:F)</f>
        <v>North Ryde</v>
      </c>
      <c r="G180" t="str">
        <f>_xlfn.XLOOKUP($E180,Sheet1!$E:$E,Sheet1!G:G)</f>
        <v>North Ryde [New South Wales]</v>
      </c>
      <c r="I180" t="str">
        <f>_xlfn.XLOOKUP($E180,Sheet1!$E:$E,Sheet1!I:I)</f>
        <v>Default station</v>
      </c>
      <c r="K180" t="s">
        <v>1247</v>
      </c>
      <c r="L180">
        <v>38220105</v>
      </c>
    </row>
    <row r="181" spans="1:12" x14ac:dyDescent="0.25">
      <c r="A181" t="s">
        <v>20</v>
      </c>
      <c r="B181" t="s">
        <v>24</v>
      </c>
      <c r="C181" t="s">
        <v>337</v>
      </c>
      <c r="E181" t="s">
        <v>21</v>
      </c>
      <c r="F181" t="str">
        <f>_xlfn.XLOOKUP($E181,Sheet1!$E:$E,Sheet1!F:F)</f>
        <v>North Ryde</v>
      </c>
      <c r="G181" t="str">
        <f>_xlfn.XLOOKUP($E181,Sheet1!$E:$E,Sheet1!G:G)</f>
        <v>North Ryde [New South Wales]</v>
      </c>
      <c r="I181" t="str">
        <f>_xlfn.XLOOKUP($E181,Sheet1!$E:$E,Sheet1!I:I)</f>
        <v>Default station</v>
      </c>
      <c r="K181" t="s">
        <v>1248</v>
      </c>
      <c r="L181">
        <v>16012000</v>
      </c>
    </row>
    <row r="182" spans="1:12" x14ac:dyDescent="0.25">
      <c r="A182" t="s">
        <v>20</v>
      </c>
      <c r="B182" t="s">
        <v>24</v>
      </c>
      <c r="C182" t="s">
        <v>338</v>
      </c>
      <c r="E182" t="s">
        <v>21</v>
      </c>
      <c r="F182" t="str">
        <f>_xlfn.XLOOKUP($E182,Sheet1!$E:$E,Sheet1!F:F)</f>
        <v>North Ryde</v>
      </c>
      <c r="G182" t="str">
        <f>_xlfn.XLOOKUP($E182,Sheet1!$E:$E,Sheet1!G:G)</f>
        <v>North Ryde [New South Wales]</v>
      </c>
      <c r="I182" t="str">
        <f>_xlfn.XLOOKUP($E182,Sheet1!$E:$E,Sheet1!I:I)</f>
        <v>Default station</v>
      </c>
      <c r="K182" t="s">
        <v>1249</v>
      </c>
      <c r="L182">
        <v>16011526</v>
      </c>
    </row>
    <row r="183" spans="1:12" x14ac:dyDescent="0.25">
      <c r="A183" t="s">
        <v>20</v>
      </c>
      <c r="B183" t="s">
        <v>24</v>
      </c>
      <c r="C183" t="s">
        <v>339</v>
      </c>
      <c r="E183" t="s">
        <v>21</v>
      </c>
      <c r="F183" t="str">
        <f>_xlfn.XLOOKUP($E183,Sheet1!$E:$E,Sheet1!F:F)</f>
        <v>North Ryde</v>
      </c>
      <c r="G183" t="str">
        <f>_xlfn.XLOOKUP($E183,Sheet1!$E:$E,Sheet1!G:G)</f>
        <v>North Ryde [New South Wales]</v>
      </c>
      <c r="I183" t="str">
        <f>_xlfn.XLOOKUP($E183,Sheet1!$E:$E,Sheet1!I:I)</f>
        <v>Default station</v>
      </c>
      <c r="K183" t="s">
        <v>1250</v>
      </c>
      <c r="L183">
        <v>16011458</v>
      </c>
    </row>
    <row r="184" spans="1:12" x14ac:dyDescent="0.25">
      <c r="A184" t="s">
        <v>20</v>
      </c>
      <c r="B184" t="s">
        <v>24</v>
      </c>
      <c r="C184" t="s">
        <v>340</v>
      </c>
      <c r="E184" t="s">
        <v>21</v>
      </c>
      <c r="F184" t="str">
        <f>_xlfn.XLOOKUP($E184,Sheet1!$E:$E,Sheet1!F:F)</f>
        <v>North Ryde</v>
      </c>
      <c r="G184" t="str">
        <f>_xlfn.XLOOKUP($E184,Sheet1!$E:$E,Sheet1!G:G)</f>
        <v>North Ryde [New South Wales]</v>
      </c>
      <c r="I184" t="str">
        <f>_xlfn.XLOOKUP($E184,Sheet1!$E:$E,Sheet1!I:I)</f>
        <v>Default station</v>
      </c>
      <c r="K184" t="s">
        <v>1251</v>
      </c>
      <c r="L184">
        <v>229350</v>
      </c>
    </row>
    <row r="185" spans="1:12" x14ac:dyDescent="0.25">
      <c r="A185" t="s">
        <v>20</v>
      </c>
      <c r="B185" t="s">
        <v>24</v>
      </c>
      <c r="C185" t="s">
        <v>341</v>
      </c>
      <c r="E185" t="s">
        <v>21</v>
      </c>
      <c r="F185" t="str">
        <f>_xlfn.XLOOKUP($E185,Sheet1!$E:$E,Sheet1!F:F)</f>
        <v>North Ryde</v>
      </c>
      <c r="G185" t="str">
        <f>_xlfn.XLOOKUP($E185,Sheet1!$E:$E,Sheet1!G:G)</f>
        <v>North Ryde [New South Wales]</v>
      </c>
      <c r="I185" t="str">
        <f>_xlfn.XLOOKUP($E185,Sheet1!$E:$E,Sheet1!I:I)</f>
        <v>Default station</v>
      </c>
      <c r="K185" t="s">
        <v>1252</v>
      </c>
      <c r="L185">
        <v>170952</v>
      </c>
    </row>
    <row r="186" spans="1:12" x14ac:dyDescent="0.25">
      <c r="A186" t="s">
        <v>20</v>
      </c>
      <c r="B186" t="s">
        <v>24</v>
      </c>
      <c r="C186" t="s">
        <v>342</v>
      </c>
      <c r="E186" t="s">
        <v>21</v>
      </c>
      <c r="F186" t="str">
        <f>_xlfn.XLOOKUP($E186,Sheet1!$E:$E,Sheet1!F:F)</f>
        <v>North Ryde</v>
      </c>
      <c r="G186" t="str">
        <f>_xlfn.XLOOKUP($E186,Sheet1!$E:$E,Sheet1!G:G)</f>
        <v>North Ryde [New South Wales]</v>
      </c>
      <c r="I186" t="str">
        <f>_xlfn.XLOOKUP($E186,Sheet1!$E:$E,Sheet1!I:I)</f>
        <v>Default station</v>
      </c>
      <c r="K186" t="s">
        <v>1253</v>
      </c>
      <c r="L186">
        <v>23440257</v>
      </c>
    </row>
    <row r="187" spans="1:12" x14ac:dyDescent="0.25">
      <c r="A187" t="s">
        <v>20</v>
      </c>
      <c r="B187" t="s">
        <v>24</v>
      </c>
      <c r="C187" t="s">
        <v>343</v>
      </c>
      <c r="E187" t="s">
        <v>21</v>
      </c>
      <c r="F187" t="str">
        <f>_xlfn.XLOOKUP($E187,Sheet1!$E:$E,Sheet1!F:F)</f>
        <v>North Ryde</v>
      </c>
      <c r="G187" t="str">
        <f>_xlfn.XLOOKUP($E187,Sheet1!$E:$E,Sheet1!G:G)</f>
        <v>North Ryde [New South Wales]</v>
      </c>
      <c r="I187" t="str">
        <f>_xlfn.XLOOKUP($E187,Sheet1!$E:$E,Sheet1!I:I)</f>
        <v>Default station</v>
      </c>
      <c r="K187" t="s">
        <v>1254</v>
      </c>
      <c r="L187">
        <v>230510</v>
      </c>
    </row>
    <row r="188" spans="1:12" x14ac:dyDescent="0.25">
      <c r="A188" t="s">
        <v>20</v>
      </c>
      <c r="B188" t="s">
        <v>24</v>
      </c>
      <c r="C188" t="s">
        <v>344</v>
      </c>
      <c r="E188" t="s">
        <v>21</v>
      </c>
      <c r="F188" t="str">
        <f>_xlfn.XLOOKUP($E188,Sheet1!$E:$E,Sheet1!F:F)</f>
        <v>North Ryde</v>
      </c>
      <c r="G188" t="str">
        <f>_xlfn.XLOOKUP($E188,Sheet1!$E:$E,Sheet1!G:G)</f>
        <v>North Ryde [New South Wales]</v>
      </c>
      <c r="I188" t="str">
        <f>_xlfn.XLOOKUP($E188,Sheet1!$E:$E,Sheet1!I:I)</f>
        <v>Default station</v>
      </c>
      <c r="K188" t="s">
        <v>1255</v>
      </c>
      <c r="L188">
        <v>241995</v>
      </c>
    </row>
    <row r="189" spans="1:12" x14ac:dyDescent="0.25">
      <c r="A189" t="s">
        <v>20</v>
      </c>
      <c r="B189" t="s">
        <v>24</v>
      </c>
      <c r="C189" t="s">
        <v>345</v>
      </c>
      <c r="E189" t="s">
        <v>21</v>
      </c>
      <c r="F189" t="str">
        <f>_xlfn.XLOOKUP($E189,Sheet1!$E:$E,Sheet1!F:F)</f>
        <v>North Ryde</v>
      </c>
      <c r="G189" t="str">
        <f>_xlfn.XLOOKUP($E189,Sheet1!$E:$E,Sheet1!G:G)</f>
        <v>North Ryde [New South Wales]</v>
      </c>
      <c r="I189" t="str">
        <f>_xlfn.XLOOKUP($E189,Sheet1!$E:$E,Sheet1!I:I)</f>
        <v>Default station</v>
      </c>
      <c r="K189" t="s">
        <v>1256</v>
      </c>
      <c r="L189">
        <v>16013995</v>
      </c>
    </row>
    <row r="190" spans="1:12" x14ac:dyDescent="0.25">
      <c r="A190" t="s">
        <v>20</v>
      </c>
      <c r="B190" t="s">
        <v>24</v>
      </c>
      <c r="C190" t="s">
        <v>346</v>
      </c>
      <c r="E190" t="s">
        <v>21</v>
      </c>
      <c r="F190" t="str">
        <f>_xlfn.XLOOKUP($E190,Sheet1!$E:$E,Sheet1!F:F)</f>
        <v>North Ryde</v>
      </c>
      <c r="G190" t="str">
        <f>_xlfn.XLOOKUP($E190,Sheet1!$E:$E,Sheet1!G:G)</f>
        <v>North Ryde [New South Wales]</v>
      </c>
      <c r="I190" t="str">
        <f>_xlfn.XLOOKUP($E190,Sheet1!$E:$E,Sheet1!I:I)</f>
        <v>Default station</v>
      </c>
      <c r="K190" t="s">
        <v>1257</v>
      </c>
      <c r="L190">
        <v>16011488</v>
      </c>
    </row>
    <row r="191" spans="1:12" x14ac:dyDescent="0.25">
      <c r="A191" t="s">
        <v>20</v>
      </c>
      <c r="B191" t="s">
        <v>24</v>
      </c>
      <c r="C191" t="s">
        <v>347</v>
      </c>
      <c r="E191" t="s">
        <v>21</v>
      </c>
      <c r="F191" t="str">
        <f>_xlfn.XLOOKUP($E191,Sheet1!$E:$E,Sheet1!F:F)</f>
        <v>North Ryde</v>
      </c>
      <c r="G191" t="str">
        <f>_xlfn.XLOOKUP($E191,Sheet1!$E:$E,Sheet1!G:G)</f>
        <v>North Ryde [New South Wales]</v>
      </c>
      <c r="I191" t="str">
        <f>_xlfn.XLOOKUP($E191,Sheet1!$E:$E,Sheet1!I:I)</f>
        <v>Default station</v>
      </c>
      <c r="K191" t="s">
        <v>1258</v>
      </c>
      <c r="L191">
        <v>16016623</v>
      </c>
    </row>
    <row r="192" spans="1:12" x14ac:dyDescent="0.25">
      <c r="A192" t="s">
        <v>20</v>
      </c>
      <c r="B192" t="s">
        <v>24</v>
      </c>
      <c r="C192" t="s">
        <v>348</v>
      </c>
      <c r="E192" t="s">
        <v>21</v>
      </c>
      <c r="F192" t="str">
        <f>_xlfn.XLOOKUP($E192,Sheet1!$E:$E,Sheet1!F:F)</f>
        <v>North Ryde</v>
      </c>
      <c r="G192" t="str">
        <f>_xlfn.XLOOKUP($E192,Sheet1!$E:$E,Sheet1!G:G)</f>
        <v>North Ryde [New South Wales]</v>
      </c>
      <c r="I192" t="str">
        <f>_xlfn.XLOOKUP($E192,Sheet1!$E:$E,Sheet1!I:I)</f>
        <v>Default station</v>
      </c>
      <c r="K192" t="s">
        <v>1259</v>
      </c>
      <c r="L192">
        <v>16011417</v>
      </c>
    </row>
    <row r="193" spans="1:12" x14ac:dyDescent="0.25">
      <c r="A193" t="s">
        <v>20</v>
      </c>
      <c r="B193" t="s">
        <v>24</v>
      </c>
      <c r="C193" t="s">
        <v>349</v>
      </c>
      <c r="E193" t="s">
        <v>21</v>
      </c>
      <c r="F193" t="str">
        <f>_xlfn.XLOOKUP($E193,Sheet1!$E:$E,Sheet1!F:F)</f>
        <v>North Ryde</v>
      </c>
      <c r="G193" t="str">
        <f>_xlfn.XLOOKUP($E193,Sheet1!$E:$E,Sheet1!G:G)</f>
        <v>North Ryde [New South Wales]</v>
      </c>
      <c r="I193" t="str">
        <f>_xlfn.XLOOKUP($E193,Sheet1!$E:$E,Sheet1!I:I)</f>
        <v>Default station</v>
      </c>
      <c r="K193" t="s">
        <v>124</v>
      </c>
      <c r="L193">
        <v>709401</v>
      </c>
    </row>
    <row r="194" spans="1:12" x14ac:dyDescent="0.25">
      <c r="A194" t="s">
        <v>20</v>
      </c>
      <c r="B194" t="s">
        <v>24</v>
      </c>
      <c r="C194" t="s">
        <v>350</v>
      </c>
      <c r="E194" t="s">
        <v>21</v>
      </c>
      <c r="F194" t="str">
        <f>_xlfn.XLOOKUP($E194,Sheet1!$E:$E,Sheet1!F:F)</f>
        <v>North Ryde</v>
      </c>
      <c r="G194" t="str">
        <f>_xlfn.XLOOKUP($E194,Sheet1!$E:$E,Sheet1!G:G)</f>
        <v>North Ryde [New South Wales]</v>
      </c>
      <c r="I194" t="str">
        <f>_xlfn.XLOOKUP($E194,Sheet1!$E:$E,Sheet1!I:I)</f>
        <v>Default station</v>
      </c>
      <c r="K194" t="s">
        <v>1260</v>
      </c>
      <c r="L194">
        <v>16016095</v>
      </c>
    </row>
    <row r="195" spans="1:12" x14ac:dyDescent="0.25">
      <c r="A195" t="s">
        <v>20</v>
      </c>
      <c r="B195" t="s">
        <v>24</v>
      </c>
      <c r="C195" t="s">
        <v>351</v>
      </c>
      <c r="E195" t="s">
        <v>21</v>
      </c>
      <c r="F195" t="str">
        <f>_xlfn.XLOOKUP($E195,Sheet1!$E:$E,Sheet1!F:F)</f>
        <v>North Ryde</v>
      </c>
      <c r="G195" t="str">
        <f>_xlfn.XLOOKUP($E195,Sheet1!$E:$E,Sheet1!G:G)</f>
        <v>North Ryde [New South Wales]</v>
      </c>
      <c r="I195" t="str">
        <f>_xlfn.XLOOKUP($E195,Sheet1!$E:$E,Sheet1!I:I)</f>
        <v>Default station</v>
      </c>
      <c r="K195" t="s">
        <v>1261</v>
      </c>
      <c r="L195">
        <v>16017842</v>
      </c>
    </row>
    <row r="196" spans="1:12" x14ac:dyDescent="0.25">
      <c r="A196" t="s">
        <v>20</v>
      </c>
      <c r="B196" t="s">
        <v>24</v>
      </c>
      <c r="C196" t="s">
        <v>352</v>
      </c>
      <c r="E196" t="s">
        <v>21</v>
      </c>
      <c r="F196" t="str">
        <f>_xlfn.XLOOKUP($E196,Sheet1!$E:$E,Sheet1!F:F)</f>
        <v>North Ryde</v>
      </c>
      <c r="G196" t="str">
        <f>_xlfn.XLOOKUP($E196,Sheet1!$E:$E,Sheet1!G:G)</f>
        <v>North Ryde [New South Wales]</v>
      </c>
      <c r="I196" t="str">
        <f>_xlfn.XLOOKUP($E196,Sheet1!$E:$E,Sheet1!I:I)</f>
        <v>Default station</v>
      </c>
      <c r="K196" t="s">
        <v>1262</v>
      </c>
      <c r="L196">
        <v>16011398</v>
      </c>
    </row>
    <row r="197" spans="1:12" x14ac:dyDescent="0.25">
      <c r="A197" t="s">
        <v>20</v>
      </c>
      <c r="B197" t="s">
        <v>24</v>
      </c>
      <c r="C197" t="s">
        <v>353</v>
      </c>
      <c r="E197" t="s">
        <v>21</v>
      </c>
      <c r="F197" t="str">
        <f>_xlfn.XLOOKUP($E197,Sheet1!$E:$E,Sheet1!F:F)</f>
        <v>North Ryde</v>
      </c>
      <c r="G197" t="str">
        <f>_xlfn.XLOOKUP($E197,Sheet1!$E:$E,Sheet1!G:G)</f>
        <v>North Ryde [New South Wales]</v>
      </c>
      <c r="I197" t="str">
        <f>_xlfn.XLOOKUP($E197,Sheet1!$E:$E,Sheet1!I:I)</f>
        <v>Default station</v>
      </c>
      <c r="K197" t="s">
        <v>1263</v>
      </c>
      <c r="L197">
        <v>2413009602</v>
      </c>
    </row>
    <row r="198" spans="1:12" x14ac:dyDescent="0.25">
      <c r="A198" t="s">
        <v>20</v>
      </c>
      <c r="B198" t="s">
        <v>24</v>
      </c>
      <c r="C198" t="s">
        <v>354</v>
      </c>
      <c r="E198" t="s">
        <v>21</v>
      </c>
      <c r="F198" t="str">
        <f>_xlfn.XLOOKUP($E198,Sheet1!$E:$E,Sheet1!F:F)</f>
        <v>North Ryde</v>
      </c>
      <c r="G198" t="str">
        <f>_xlfn.XLOOKUP($E198,Sheet1!$E:$E,Sheet1!G:G)</f>
        <v>North Ryde [New South Wales]</v>
      </c>
      <c r="I198" t="str">
        <f>_xlfn.XLOOKUP($E198,Sheet1!$E:$E,Sheet1!I:I)</f>
        <v>Default station</v>
      </c>
      <c r="K198" t="s">
        <v>110</v>
      </c>
      <c r="L198">
        <v>170802</v>
      </c>
    </row>
    <row r="199" spans="1:12" x14ac:dyDescent="0.25">
      <c r="A199" t="s">
        <v>20</v>
      </c>
      <c r="B199" t="s">
        <v>24</v>
      </c>
      <c r="C199" t="s">
        <v>355</v>
      </c>
      <c r="E199" t="s">
        <v>21</v>
      </c>
      <c r="F199" t="str">
        <f>_xlfn.XLOOKUP($E199,Sheet1!$E:$E,Sheet1!F:F)</f>
        <v>North Ryde</v>
      </c>
      <c r="G199" t="str">
        <f>_xlfn.XLOOKUP($E199,Sheet1!$E:$E,Sheet1!G:G)</f>
        <v>North Ryde [New South Wales]</v>
      </c>
      <c r="I199" t="str">
        <f>_xlfn.XLOOKUP($E199,Sheet1!$E:$E,Sheet1!I:I)</f>
        <v>Default station</v>
      </c>
      <c r="K199" t="s">
        <v>1264</v>
      </c>
      <c r="L199">
        <v>241997</v>
      </c>
    </row>
    <row r="200" spans="1:12" x14ac:dyDescent="0.25">
      <c r="A200" t="s">
        <v>20</v>
      </c>
      <c r="B200" t="s">
        <v>24</v>
      </c>
      <c r="C200" t="s">
        <v>356</v>
      </c>
      <c r="E200" t="s">
        <v>21</v>
      </c>
      <c r="F200" t="str">
        <f>_xlfn.XLOOKUP($E200,Sheet1!$E:$E,Sheet1!F:F)</f>
        <v>North Ryde</v>
      </c>
      <c r="G200" t="str">
        <f>_xlfn.XLOOKUP($E200,Sheet1!$E:$E,Sheet1!G:G)</f>
        <v>North Ryde [New South Wales]</v>
      </c>
      <c r="I200" t="str">
        <f>_xlfn.XLOOKUP($E200,Sheet1!$E:$E,Sheet1!I:I)</f>
        <v>Default station</v>
      </c>
      <c r="K200" t="s">
        <v>113</v>
      </c>
      <c r="L200">
        <v>170592</v>
      </c>
    </row>
    <row r="201" spans="1:12" x14ac:dyDescent="0.25">
      <c r="A201" t="s">
        <v>20</v>
      </c>
      <c r="B201" t="s">
        <v>24</v>
      </c>
      <c r="C201" t="s">
        <v>357</v>
      </c>
      <c r="E201" t="s">
        <v>21</v>
      </c>
      <c r="F201" t="str">
        <f>_xlfn.XLOOKUP($E201,Sheet1!$E:$E,Sheet1!F:F)</f>
        <v>North Ryde</v>
      </c>
      <c r="G201" t="str">
        <f>_xlfn.XLOOKUP($E201,Sheet1!$E:$E,Sheet1!G:G)</f>
        <v>North Ryde [New South Wales]</v>
      </c>
      <c r="I201" t="str">
        <f>_xlfn.XLOOKUP($E201,Sheet1!$E:$E,Sheet1!I:I)</f>
        <v>Default station</v>
      </c>
      <c r="K201" t="s">
        <v>1265</v>
      </c>
      <c r="L201">
        <v>16017976</v>
      </c>
    </row>
    <row r="202" spans="1:12" x14ac:dyDescent="0.25">
      <c r="A202" t="s">
        <v>20</v>
      </c>
      <c r="B202" t="s">
        <v>24</v>
      </c>
      <c r="C202" t="s">
        <v>358</v>
      </c>
      <c r="E202" t="s">
        <v>21</v>
      </c>
      <c r="F202" t="str">
        <f>_xlfn.XLOOKUP($E202,Sheet1!$E:$E,Sheet1!F:F)</f>
        <v>North Ryde</v>
      </c>
      <c r="G202" t="str">
        <f>_xlfn.XLOOKUP($E202,Sheet1!$E:$E,Sheet1!G:G)</f>
        <v>North Ryde [New South Wales]</v>
      </c>
      <c r="I202" t="str">
        <f>_xlfn.XLOOKUP($E202,Sheet1!$E:$E,Sheet1!I:I)</f>
        <v>Default station</v>
      </c>
      <c r="K202" t="s">
        <v>96</v>
      </c>
      <c r="L202">
        <v>170145</v>
      </c>
    </row>
    <row r="203" spans="1:12" x14ac:dyDescent="0.25">
      <c r="A203" t="s">
        <v>20</v>
      </c>
      <c r="B203" t="s">
        <v>24</v>
      </c>
      <c r="C203" t="s">
        <v>359</v>
      </c>
      <c r="E203" t="s">
        <v>21</v>
      </c>
      <c r="F203" t="str">
        <f>_xlfn.XLOOKUP($E203,Sheet1!$E:$E,Sheet1!F:F)</f>
        <v>North Ryde</v>
      </c>
      <c r="G203" t="str">
        <f>_xlfn.XLOOKUP($E203,Sheet1!$E:$E,Sheet1!G:G)</f>
        <v>North Ryde [New South Wales]</v>
      </c>
      <c r="I203" t="str">
        <f>_xlfn.XLOOKUP($E203,Sheet1!$E:$E,Sheet1!I:I)</f>
        <v>Default station</v>
      </c>
      <c r="K203" t="s">
        <v>1266</v>
      </c>
      <c r="L203">
        <v>16011377</v>
      </c>
    </row>
    <row r="204" spans="1:12" x14ac:dyDescent="0.25">
      <c r="A204" t="s">
        <v>20</v>
      </c>
      <c r="B204" t="s">
        <v>24</v>
      </c>
      <c r="C204" t="s">
        <v>360</v>
      </c>
      <c r="E204" t="s">
        <v>21</v>
      </c>
      <c r="F204" t="str">
        <f>_xlfn.XLOOKUP($E204,Sheet1!$E:$E,Sheet1!F:F)</f>
        <v>North Ryde</v>
      </c>
      <c r="G204" t="str">
        <f>_xlfn.XLOOKUP($E204,Sheet1!$E:$E,Sheet1!G:G)</f>
        <v>North Ryde [New South Wales]</v>
      </c>
      <c r="I204" t="str">
        <f>_xlfn.XLOOKUP($E204,Sheet1!$E:$E,Sheet1!I:I)</f>
        <v>Default station</v>
      </c>
      <c r="K204" t="s">
        <v>1267</v>
      </c>
      <c r="L204">
        <v>14000953</v>
      </c>
    </row>
    <row r="205" spans="1:12" x14ac:dyDescent="0.25">
      <c r="A205" t="s">
        <v>20</v>
      </c>
      <c r="B205" t="s">
        <v>24</v>
      </c>
      <c r="C205" t="s">
        <v>361</v>
      </c>
      <c r="E205" t="s">
        <v>21</v>
      </c>
      <c r="F205" t="str">
        <f>_xlfn.XLOOKUP($E205,Sheet1!$E:$E,Sheet1!F:F)</f>
        <v>North Ryde</v>
      </c>
      <c r="G205" t="str">
        <f>_xlfn.XLOOKUP($E205,Sheet1!$E:$E,Sheet1!G:G)</f>
        <v>North Ryde [New South Wales]</v>
      </c>
      <c r="I205" t="str">
        <f>_xlfn.XLOOKUP($E205,Sheet1!$E:$E,Sheet1!I:I)</f>
        <v>Default station</v>
      </c>
      <c r="K205" t="s">
        <v>1268</v>
      </c>
      <c r="L205">
        <v>254503</v>
      </c>
    </row>
    <row r="206" spans="1:12" x14ac:dyDescent="0.25">
      <c r="A206" t="s">
        <v>20</v>
      </c>
      <c r="B206" t="s">
        <v>24</v>
      </c>
      <c r="C206" t="s">
        <v>362</v>
      </c>
      <c r="E206" t="s">
        <v>21</v>
      </c>
      <c r="F206" t="str">
        <f>_xlfn.XLOOKUP($E206,Sheet1!$E:$E,Sheet1!F:F)</f>
        <v>North Ryde</v>
      </c>
      <c r="G206" t="str">
        <f>_xlfn.XLOOKUP($E206,Sheet1!$E:$E,Sheet1!G:G)</f>
        <v>North Ryde [New South Wales]</v>
      </c>
      <c r="I206" t="str">
        <f>_xlfn.XLOOKUP($E206,Sheet1!$E:$E,Sheet1!I:I)</f>
        <v>Default station</v>
      </c>
      <c r="K206" t="s">
        <v>155</v>
      </c>
      <c r="L206">
        <v>229150</v>
      </c>
    </row>
    <row r="207" spans="1:12" x14ac:dyDescent="0.25">
      <c r="A207" t="s">
        <v>20</v>
      </c>
      <c r="B207" t="s">
        <v>24</v>
      </c>
      <c r="C207" t="s">
        <v>363</v>
      </c>
      <c r="E207" t="s">
        <v>21</v>
      </c>
      <c r="F207" t="str">
        <f>_xlfn.XLOOKUP($E207,Sheet1!$E:$E,Sheet1!F:F)</f>
        <v>North Ryde</v>
      </c>
      <c r="G207" t="str">
        <f>_xlfn.XLOOKUP($E207,Sheet1!$E:$E,Sheet1!G:G)</f>
        <v>North Ryde [New South Wales]</v>
      </c>
      <c r="I207" t="str">
        <f>_xlfn.XLOOKUP($E207,Sheet1!$E:$E,Sheet1!I:I)</f>
        <v>Default station</v>
      </c>
      <c r="K207" t="s">
        <v>1269</v>
      </c>
      <c r="L207">
        <v>23420018</v>
      </c>
    </row>
    <row r="208" spans="1:12" x14ac:dyDescent="0.25">
      <c r="A208" t="s">
        <v>20</v>
      </c>
      <c r="B208" t="s">
        <v>24</v>
      </c>
      <c r="C208" t="s">
        <v>364</v>
      </c>
      <c r="E208" t="s">
        <v>21</v>
      </c>
      <c r="F208" t="str">
        <f>_xlfn.XLOOKUP($E208,Sheet1!$E:$E,Sheet1!F:F)</f>
        <v>North Ryde</v>
      </c>
      <c r="G208" t="str">
        <f>_xlfn.XLOOKUP($E208,Sheet1!$E:$E,Sheet1!G:G)</f>
        <v>North Ryde [New South Wales]</v>
      </c>
      <c r="I208" t="str">
        <f>_xlfn.XLOOKUP($E208,Sheet1!$E:$E,Sheet1!I:I)</f>
        <v>Default station</v>
      </c>
      <c r="K208" t="s">
        <v>1270</v>
      </c>
      <c r="L208">
        <v>170323</v>
      </c>
    </row>
    <row r="209" spans="1:12" x14ac:dyDescent="0.25">
      <c r="A209" t="s">
        <v>20</v>
      </c>
      <c r="B209" t="s">
        <v>24</v>
      </c>
      <c r="C209" t="s">
        <v>365</v>
      </c>
      <c r="E209" t="s">
        <v>21</v>
      </c>
      <c r="F209" t="str">
        <f>_xlfn.XLOOKUP($E209,Sheet1!$E:$E,Sheet1!F:F)</f>
        <v>North Ryde</v>
      </c>
      <c r="G209" t="str">
        <f>_xlfn.XLOOKUP($E209,Sheet1!$E:$E,Sheet1!G:G)</f>
        <v>North Ryde [New South Wales]</v>
      </c>
      <c r="I209" t="str">
        <f>_xlfn.XLOOKUP($E209,Sheet1!$E:$E,Sheet1!I:I)</f>
        <v>Default station</v>
      </c>
      <c r="K209" t="s">
        <v>1271</v>
      </c>
      <c r="L209">
        <v>2412011001</v>
      </c>
    </row>
    <row r="210" spans="1:12" x14ac:dyDescent="0.25">
      <c r="A210" t="s">
        <v>20</v>
      </c>
      <c r="B210" t="s">
        <v>24</v>
      </c>
      <c r="C210" t="s">
        <v>366</v>
      </c>
      <c r="E210" t="s">
        <v>21</v>
      </c>
      <c r="F210" t="str">
        <f>_xlfn.XLOOKUP($E210,Sheet1!$E:$E,Sheet1!F:F)</f>
        <v>North Ryde</v>
      </c>
      <c r="G210" t="str">
        <f>_xlfn.XLOOKUP($E210,Sheet1!$E:$E,Sheet1!G:G)</f>
        <v>North Ryde [New South Wales]</v>
      </c>
      <c r="I210" t="str">
        <f>_xlfn.XLOOKUP($E210,Sheet1!$E:$E,Sheet1!I:I)</f>
        <v>Default station</v>
      </c>
      <c r="K210" t="s">
        <v>1272</v>
      </c>
      <c r="L210">
        <v>16011387</v>
      </c>
    </row>
    <row r="211" spans="1:12" x14ac:dyDescent="0.25">
      <c r="A211" t="s">
        <v>20</v>
      </c>
      <c r="B211" t="s">
        <v>24</v>
      </c>
      <c r="C211" t="s">
        <v>367</v>
      </c>
      <c r="E211" t="s">
        <v>21</v>
      </c>
      <c r="F211" t="str">
        <f>_xlfn.XLOOKUP($E211,Sheet1!$E:$E,Sheet1!F:F)</f>
        <v>North Ryde</v>
      </c>
      <c r="G211" t="str">
        <f>_xlfn.XLOOKUP($E211,Sheet1!$E:$E,Sheet1!G:G)</f>
        <v>North Ryde [New South Wales]</v>
      </c>
      <c r="I211" t="str">
        <f>_xlfn.XLOOKUP($E211,Sheet1!$E:$E,Sheet1!I:I)</f>
        <v>Default station</v>
      </c>
      <c r="K211" t="s">
        <v>1273</v>
      </c>
      <c r="L211">
        <v>24160362</v>
      </c>
    </row>
    <row r="212" spans="1:12" x14ac:dyDescent="0.25">
      <c r="A212" t="s">
        <v>20</v>
      </c>
      <c r="B212" t="s">
        <v>24</v>
      </c>
      <c r="C212" t="s">
        <v>368</v>
      </c>
      <c r="E212" t="s">
        <v>21</v>
      </c>
      <c r="F212" t="str">
        <f>_xlfn.XLOOKUP($E212,Sheet1!$E:$E,Sheet1!F:F)</f>
        <v>North Ryde</v>
      </c>
      <c r="G212" t="str">
        <f>_xlfn.XLOOKUP($E212,Sheet1!$E:$E,Sheet1!G:G)</f>
        <v>North Ryde [New South Wales]</v>
      </c>
      <c r="I212" t="str">
        <f>_xlfn.XLOOKUP($E212,Sheet1!$E:$E,Sheet1!I:I)</f>
        <v>Default station</v>
      </c>
      <c r="K212" t="s">
        <v>1274</v>
      </c>
      <c r="L212">
        <v>16014361</v>
      </c>
    </row>
    <row r="213" spans="1:12" x14ac:dyDescent="0.25">
      <c r="A213" t="s">
        <v>20</v>
      </c>
      <c r="B213" t="s">
        <v>24</v>
      </c>
      <c r="C213" t="s">
        <v>369</v>
      </c>
      <c r="E213" t="s">
        <v>21</v>
      </c>
      <c r="F213" t="str">
        <f>_xlfn.XLOOKUP($E213,Sheet1!$E:$E,Sheet1!F:F)</f>
        <v>North Ryde</v>
      </c>
      <c r="G213" t="str">
        <f>_xlfn.XLOOKUP($E213,Sheet1!$E:$E,Sheet1!G:G)</f>
        <v>North Ryde [New South Wales]</v>
      </c>
      <c r="I213" t="str">
        <f>_xlfn.XLOOKUP($E213,Sheet1!$E:$E,Sheet1!I:I)</f>
        <v>Default station</v>
      </c>
      <c r="K213" t="s">
        <v>1275</v>
      </c>
      <c r="L213">
        <v>24160226</v>
      </c>
    </row>
    <row r="214" spans="1:12" x14ac:dyDescent="0.25">
      <c r="A214" t="s">
        <v>20</v>
      </c>
      <c r="B214" t="s">
        <v>24</v>
      </c>
      <c r="C214" t="s">
        <v>370</v>
      </c>
      <c r="E214" t="s">
        <v>21</v>
      </c>
      <c r="F214" t="str">
        <f>_xlfn.XLOOKUP($E214,Sheet1!$E:$E,Sheet1!F:F)</f>
        <v>North Ryde</v>
      </c>
      <c r="G214" t="str">
        <f>_xlfn.XLOOKUP($E214,Sheet1!$E:$E,Sheet1!G:G)</f>
        <v>North Ryde [New South Wales]</v>
      </c>
      <c r="I214" t="str">
        <f>_xlfn.XLOOKUP($E214,Sheet1!$E:$E,Sheet1!I:I)</f>
        <v>Default station</v>
      </c>
      <c r="K214" t="s">
        <v>1276</v>
      </c>
      <c r="L214">
        <v>170515</v>
      </c>
    </row>
    <row r="215" spans="1:12" x14ac:dyDescent="0.25">
      <c r="A215" t="s">
        <v>20</v>
      </c>
      <c r="B215" t="s">
        <v>24</v>
      </c>
      <c r="C215" t="s">
        <v>371</v>
      </c>
      <c r="E215" t="s">
        <v>21</v>
      </c>
      <c r="F215" t="str">
        <f>_xlfn.XLOOKUP($E215,Sheet1!$E:$E,Sheet1!F:F)</f>
        <v>North Ryde</v>
      </c>
      <c r="G215" t="str">
        <f>_xlfn.XLOOKUP($E215,Sheet1!$E:$E,Sheet1!G:G)</f>
        <v>North Ryde [New South Wales]</v>
      </c>
      <c r="I215" t="str">
        <f>_xlfn.XLOOKUP($E215,Sheet1!$E:$E,Sheet1!I:I)</f>
        <v>Default station</v>
      </c>
      <c r="K215" t="s">
        <v>1277</v>
      </c>
      <c r="L215">
        <v>16017382</v>
      </c>
    </row>
    <row r="216" spans="1:12" x14ac:dyDescent="0.25">
      <c r="A216" t="s">
        <v>20</v>
      </c>
      <c r="B216" t="s">
        <v>24</v>
      </c>
      <c r="C216" t="s">
        <v>372</v>
      </c>
      <c r="E216" t="s">
        <v>21</v>
      </c>
      <c r="F216" t="str">
        <f>_xlfn.XLOOKUP($E216,Sheet1!$E:$E,Sheet1!F:F)</f>
        <v>North Ryde</v>
      </c>
      <c r="G216" t="str">
        <f>_xlfn.XLOOKUP($E216,Sheet1!$E:$E,Sheet1!G:G)</f>
        <v>North Ryde [New South Wales]</v>
      </c>
      <c r="I216" t="str">
        <f>_xlfn.XLOOKUP($E216,Sheet1!$E:$E,Sheet1!I:I)</f>
        <v>Default station</v>
      </c>
      <c r="K216" t="s">
        <v>1278</v>
      </c>
      <c r="L216">
        <v>150502</v>
      </c>
    </row>
    <row r="217" spans="1:12" x14ac:dyDescent="0.25">
      <c r="A217" t="s">
        <v>20</v>
      </c>
      <c r="B217" t="s">
        <v>24</v>
      </c>
      <c r="C217" t="s">
        <v>373</v>
      </c>
      <c r="E217" t="s">
        <v>21</v>
      </c>
      <c r="F217" t="str">
        <f>_xlfn.XLOOKUP($E217,Sheet1!$E:$E,Sheet1!F:F)</f>
        <v>North Ryde</v>
      </c>
      <c r="G217" t="str">
        <f>_xlfn.XLOOKUP($E217,Sheet1!$E:$E,Sheet1!G:G)</f>
        <v>North Ryde [New South Wales]</v>
      </c>
      <c r="I217" t="str">
        <f>_xlfn.XLOOKUP($E217,Sheet1!$E:$E,Sheet1!I:I)</f>
        <v>Default station</v>
      </c>
      <c r="K217" t="s">
        <v>46</v>
      </c>
      <c r="L217">
        <v>16013945</v>
      </c>
    </row>
    <row r="218" spans="1:12" x14ac:dyDescent="0.25">
      <c r="A218" t="s">
        <v>20</v>
      </c>
      <c r="B218" t="s">
        <v>24</v>
      </c>
      <c r="C218" t="s">
        <v>374</v>
      </c>
      <c r="E218" t="s">
        <v>21</v>
      </c>
      <c r="F218" t="str">
        <f>_xlfn.XLOOKUP($E218,Sheet1!$E:$E,Sheet1!F:F)</f>
        <v>North Ryde</v>
      </c>
      <c r="G218" t="str">
        <f>_xlfn.XLOOKUP($E218,Sheet1!$E:$E,Sheet1!G:G)</f>
        <v>North Ryde [New South Wales]</v>
      </c>
      <c r="I218" t="str">
        <f>_xlfn.XLOOKUP($E218,Sheet1!$E:$E,Sheet1!I:I)</f>
        <v>Default station</v>
      </c>
      <c r="K218" t="s">
        <v>82</v>
      </c>
      <c r="L218">
        <v>170523</v>
      </c>
    </row>
    <row r="219" spans="1:12" x14ac:dyDescent="0.25">
      <c r="A219" t="s">
        <v>20</v>
      </c>
      <c r="B219" t="s">
        <v>24</v>
      </c>
      <c r="C219" t="s">
        <v>375</v>
      </c>
      <c r="E219" t="s">
        <v>21</v>
      </c>
      <c r="F219" t="str">
        <f>_xlfn.XLOOKUP($E219,Sheet1!$E:$E,Sheet1!F:F)</f>
        <v>North Ryde</v>
      </c>
      <c r="G219" t="str">
        <f>_xlfn.XLOOKUP($E219,Sheet1!$E:$E,Sheet1!G:G)</f>
        <v>North Ryde [New South Wales]</v>
      </c>
      <c r="I219" t="str">
        <f>_xlfn.XLOOKUP($E219,Sheet1!$E:$E,Sheet1!I:I)</f>
        <v>Default station</v>
      </c>
      <c r="K219" t="s">
        <v>1279</v>
      </c>
      <c r="L219">
        <v>170803</v>
      </c>
    </row>
    <row r="220" spans="1:12" x14ac:dyDescent="0.25">
      <c r="A220" t="s">
        <v>20</v>
      </c>
      <c r="B220" t="s">
        <v>24</v>
      </c>
      <c r="C220" t="s">
        <v>376</v>
      </c>
      <c r="E220" t="s">
        <v>21</v>
      </c>
      <c r="F220" t="str">
        <f>_xlfn.XLOOKUP($E220,Sheet1!$E:$E,Sheet1!F:F)</f>
        <v>North Ryde</v>
      </c>
      <c r="G220" t="str">
        <f>_xlfn.XLOOKUP($E220,Sheet1!$E:$E,Sheet1!G:G)</f>
        <v>North Ryde [New South Wales]</v>
      </c>
      <c r="I220" t="str">
        <f>_xlfn.XLOOKUP($E220,Sheet1!$E:$E,Sheet1!I:I)</f>
        <v>Default station</v>
      </c>
      <c r="K220" t="s">
        <v>1280</v>
      </c>
      <c r="L220">
        <v>709201</v>
      </c>
    </row>
    <row r="221" spans="1:12" x14ac:dyDescent="0.25">
      <c r="A221" t="s">
        <v>20</v>
      </c>
      <c r="B221" t="s">
        <v>24</v>
      </c>
      <c r="C221" t="s">
        <v>377</v>
      </c>
      <c r="E221" t="s">
        <v>21</v>
      </c>
      <c r="F221" t="str">
        <f>_xlfn.XLOOKUP($E221,Sheet1!$E:$E,Sheet1!F:F)</f>
        <v>North Ryde</v>
      </c>
      <c r="G221" t="str">
        <f>_xlfn.XLOOKUP($E221,Sheet1!$E:$E,Sheet1!G:G)</f>
        <v>North Ryde [New South Wales]</v>
      </c>
      <c r="I221" t="str">
        <f>_xlfn.XLOOKUP($E221,Sheet1!$E:$E,Sheet1!I:I)</f>
        <v>Default station</v>
      </c>
      <c r="K221" t="s">
        <v>93</v>
      </c>
      <c r="L221">
        <v>170591</v>
      </c>
    </row>
    <row r="222" spans="1:12" x14ac:dyDescent="0.25">
      <c r="A222" t="s">
        <v>20</v>
      </c>
      <c r="B222" t="s">
        <v>24</v>
      </c>
      <c r="C222" t="s">
        <v>378</v>
      </c>
      <c r="E222" t="s">
        <v>21</v>
      </c>
      <c r="F222" t="str">
        <f>_xlfn.XLOOKUP($E222,Sheet1!$E:$E,Sheet1!F:F)</f>
        <v>North Ryde</v>
      </c>
      <c r="G222" t="str">
        <f>_xlfn.XLOOKUP($E222,Sheet1!$E:$E,Sheet1!G:G)</f>
        <v>North Ryde [New South Wales]</v>
      </c>
      <c r="I222" t="str">
        <f>_xlfn.XLOOKUP($E222,Sheet1!$E:$E,Sheet1!I:I)</f>
        <v>Default station</v>
      </c>
      <c r="K222" t="s">
        <v>1281</v>
      </c>
      <c r="L222">
        <v>241993</v>
      </c>
    </row>
    <row r="223" spans="1:12" x14ac:dyDescent="0.25">
      <c r="A223" t="s">
        <v>20</v>
      </c>
      <c r="B223" t="s">
        <v>24</v>
      </c>
      <c r="C223" t="s">
        <v>379</v>
      </c>
      <c r="E223" t="s">
        <v>21</v>
      </c>
      <c r="F223" t="str">
        <f>_xlfn.XLOOKUP($E223,Sheet1!$E:$E,Sheet1!F:F)</f>
        <v>North Ryde</v>
      </c>
      <c r="G223" t="str">
        <f>_xlfn.XLOOKUP($E223,Sheet1!$E:$E,Sheet1!G:G)</f>
        <v>North Ryde [New South Wales]</v>
      </c>
      <c r="I223" t="str">
        <f>_xlfn.XLOOKUP($E223,Sheet1!$E:$E,Sheet1!I:I)</f>
        <v>Default station</v>
      </c>
      <c r="K223" t="s">
        <v>1282</v>
      </c>
      <c r="L223">
        <v>23440173</v>
      </c>
    </row>
    <row r="224" spans="1:12" x14ac:dyDescent="0.25">
      <c r="A224" t="s">
        <v>20</v>
      </c>
      <c r="B224" t="s">
        <v>24</v>
      </c>
      <c r="C224" t="s">
        <v>380</v>
      </c>
      <c r="E224" t="s">
        <v>21</v>
      </c>
      <c r="F224" t="str">
        <f>_xlfn.XLOOKUP($E224,Sheet1!$E:$E,Sheet1!F:F)</f>
        <v>North Ryde</v>
      </c>
      <c r="G224" t="str">
        <f>_xlfn.XLOOKUP($E224,Sheet1!$E:$E,Sheet1!G:G)</f>
        <v>North Ryde [New South Wales]</v>
      </c>
      <c r="I224" t="str">
        <f>_xlfn.XLOOKUP($E224,Sheet1!$E:$E,Sheet1!I:I)</f>
        <v>Default station</v>
      </c>
      <c r="K224" t="s">
        <v>1283</v>
      </c>
      <c r="L224">
        <v>2415000404</v>
      </c>
    </row>
    <row r="225" spans="1:12" x14ac:dyDescent="0.25">
      <c r="A225" t="s">
        <v>20</v>
      </c>
      <c r="B225" t="s">
        <v>24</v>
      </c>
      <c r="C225" t="s">
        <v>381</v>
      </c>
      <c r="E225" t="s">
        <v>21</v>
      </c>
      <c r="F225" t="str">
        <f>_xlfn.XLOOKUP($E225,Sheet1!$E:$E,Sheet1!F:F)</f>
        <v>North Ryde</v>
      </c>
      <c r="G225" t="str">
        <f>_xlfn.XLOOKUP($E225,Sheet1!$E:$E,Sheet1!G:G)</f>
        <v>North Ryde [New South Wales]</v>
      </c>
      <c r="I225" t="str">
        <f>_xlfn.XLOOKUP($E225,Sheet1!$E:$E,Sheet1!I:I)</f>
        <v>Default station</v>
      </c>
      <c r="K225" t="s">
        <v>1284</v>
      </c>
      <c r="L225">
        <v>16016056</v>
      </c>
    </row>
    <row r="226" spans="1:12" x14ac:dyDescent="0.25">
      <c r="A226" t="s">
        <v>20</v>
      </c>
      <c r="B226" t="s">
        <v>24</v>
      </c>
      <c r="C226" t="s">
        <v>382</v>
      </c>
      <c r="E226" t="s">
        <v>21</v>
      </c>
      <c r="F226" t="str">
        <f>_xlfn.XLOOKUP($E226,Sheet1!$E:$E,Sheet1!F:F)</f>
        <v>North Ryde</v>
      </c>
      <c r="G226" t="str">
        <f>_xlfn.XLOOKUP($E226,Sheet1!$E:$E,Sheet1!G:G)</f>
        <v>North Ryde [New South Wales]</v>
      </c>
      <c r="I226" t="str">
        <f>_xlfn.XLOOKUP($E226,Sheet1!$E:$E,Sheet1!I:I)</f>
        <v>Default station</v>
      </c>
      <c r="K226" t="s">
        <v>1285</v>
      </c>
      <c r="L226">
        <v>16017932</v>
      </c>
    </row>
    <row r="227" spans="1:12" x14ac:dyDescent="0.25">
      <c r="A227" t="s">
        <v>20</v>
      </c>
      <c r="B227" t="s">
        <v>24</v>
      </c>
      <c r="C227" t="s">
        <v>383</v>
      </c>
      <c r="E227" t="s">
        <v>21</v>
      </c>
      <c r="F227" t="str">
        <f>_xlfn.XLOOKUP($E227,Sheet1!$E:$E,Sheet1!F:F)</f>
        <v>North Ryde</v>
      </c>
      <c r="G227" t="str">
        <f>_xlfn.XLOOKUP($E227,Sheet1!$E:$E,Sheet1!G:G)</f>
        <v>North Ryde [New South Wales]</v>
      </c>
      <c r="I227" t="str">
        <f>_xlfn.XLOOKUP($E227,Sheet1!$E:$E,Sheet1!I:I)</f>
        <v>Default station</v>
      </c>
      <c r="K227" t="s">
        <v>1286</v>
      </c>
      <c r="L227">
        <v>382904</v>
      </c>
    </row>
    <row r="228" spans="1:12" x14ac:dyDescent="0.25">
      <c r="A228" t="s">
        <v>20</v>
      </c>
      <c r="B228" t="s">
        <v>24</v>
      </c>
      <c r="C228" t="s">
        <v>384</v>
      </c>
      <c r="E228" t="s">
        <v>21</v>
      </c>
      <c r="F228" t="str">
        <f>_xlfn.XLOOKUP($E228,Sheet1!$E:$E,Sheet1!F:F)</f>
        <v>North Ryde</v>
      </c>
      <c r="G228" t="str">
        <f>_xlfn.XLOOKUP($E228,Sheet1!$E:$E,Sheet1!G:G)</f>
        <v>North Ryde [New South Wales]</v>
      </c>
      <c r="I228" t="str">
        <f>_xlfn.XLOOKUP($E228,Sheet1!$E:$E,Sheet1!I:I)</f>
        <v>Default station</v>
      </c>
      <c r="K228" t="s">
        <v>1287</v>
      </c>
      <c r="L228">
        <v>22910011</v>
      </c>
    </row>
    <row r="229" spans="1:12" x14ac:dyDescent="0.25">
      <c r="A229" t="s">
        <v>20</v>
      </c>
      <c r="B229" t="s">
        <v>24</v>
      </c>
      <c r="C229" t="s">
        <v>385</v>
      </c>
      <c r="E229" t="s">
        <v>21</v>
      </c>
      <c r="F229" t="str">
        <f>_xlfn.XLOOKUP($E229,Sheet1!$E:$E,Sheet1!F:F)</f>
        <v>North Ryde</v>
      </c>
      <c r="G229" t="str">
        <f>_xlfn.XLOOKUP($E229,Sheet1!$E:$E,Sheet1!G:G)</f>
        <v>North Ryde [New South Wales]</v>
      </c>
      <c r="I229" t="str">
        <f>_xlfn.XLOOKUP($E229,Sheet1!$E:$E,Sheet1!I:I)</f>
        <v>Default station</v>
      </c>
      <c r="K229" t="s">
        <v>1288</v>
      </c>
      <c r="L229">
        <v>16013435</v>
      </c>
    </row>
    <row r="230" spans="1:12" x14ac:dyDescent="0.25">
      <c r="A230" t="s">
        <v>20</v>
      </c>
      <c r="B230" t="s">
        <v>24</v>
      </c>
      <c r="C230" t="s">
        <v>386</v>
      </c>
      <c r="E230" t="s">
        <v>21</v>
      </c>
      <c r="F230" t="str">
        <f>_xlfn.XLOOKUP($E230,Sheet1!$E:$E,Sheet1!F:F)</f>
        <v>North Ryde</v>
      </c>
      <c r="G230" t="str">
        <f>_xlfn.XLOOKUP($E230,Sheet1!$E:$E,Sheet1!G:G)</f>
        <v>North Ryde [New South Wales]</v>
      </c>
      <c r="I230" t="str">
        <f>_xlfn.XLOOKUP($E230,Sheet1!$E:$E,Sheet1!I:I)</f>
        <v>Default station</v>
      </c>
      <c r="K230" t="s">
        <v>1289</v>
      </c>
      <c r="L230">
        <v>170931</v>
      </c>
    </row>
    <row r="231" spans="1:12" x14ac:dyDescent="0.25">
      <c r="A231" t="s">
        <v>20</v>
      </c>
      <c r="B231" t="s">
        <v>24</v>
      </c>
      <c r="C231" t="s">
        <v>387</v>
      </c>
      <c r="E231" t="s">
        <v>21</v>
      </c>
      <c r="F231" t="str">
        <f>_xlfn.XLOOKUP($E231,Sheet1!$E:$E,Sheet1!F:F)</f>
        <v>North Ryde</v>
      </c>
      <c r="G231" t="str">
        <f>_xlfn.XLOOKUP($E231,Sheet1!$E:$E,Sheet1!G:G)</f>
        <v>North Ryde [New South Wales]</v>
      </c>
      <c r="I231" t="str">
        <f>_xlfn.XLOOKUP($E231,Sheet1!$E:$E,Sheet1!I:I)</f>
        <v>Default station</v>
      </c>
      <c r="K231" t="s">
        <v>78</v>
      </c>
      <c r="L231">
        <v>170302</v>
      </c>
    </row>
    <row r="232" spans="1:12" x14ac:dyDescent="0.25">
      <c r="A232" t="s">
        <v>20</v>
      </c>
      <c r="B232" t="s">
        <v>24</v>
      </c>
      <c r="C232" t="s">
        <v>388</v>
      </c>
      <c r="E232" t="s">
        <v>21</v>
      </c>
      <c r="F232" t="str">
        <f>_xlfn.XLOOKUP($E232,Sheet1!$E:$E,Sheet1!F:F)</f>
        <v>North Ryde</v>
      </c>
      <c r="G232" t="str">
        <f>_xlfn.XLOOKUP($E232,Sheet1!$E:$E,Sheet1!G:G)</f>
        <v>North Ryde [New South Wales]</v>
      </c>
      <c r="I232" t="str">
        <f>_xlfn.XLOOKUP($E232,Sheet1!$E:$E,Sheet1!I:I)</f>
        <v>Default station</v>
      </c>
      <c r="K232" t="s">
        <v>1290</v>
      </c>
      <c r="L232">
        <v>16011395</v>
      </c>
    </row>
    <row r="233" spans="1:12" x14ac:dyDescent="0.25">
      <c r="A233" t="s">
        <v>20</v>
      </c>
      <c r="B233" t="s">
        <v>24</v>
      </c>
      <c r="C233" t="s">
        <v>389</v>
      </c>
      <c r="E233" t="s">
        <v>21</v>
      </c>
      <c r="F233" t="str">
        <f>_xlfn.XLOOKUP($E233,Sheet1!$E:$E,Sheet1!F:F)</f>
        <v>North Ryde</v>
      </c>
      <c r="G233" t="str">
        <f>_xlfn.XLOOKUP($E233,Sheet1!$E:$E,Sheet1!G:G)</f>
        <v>North Ryde [New South Wales]</v>
      </c>
      <c r="I233" t="str">
        <f>_xlfn.XLOOKUP($E233,Sheet1!$E:$E,Sheet1!I:I)</f>
        <v>Default station</v>
      </c>
      <c r="K233" t="s">
        <v>1291</v>
      </c>
      <c r="L233">
        <v>241741</v>
      </c>
    </row>
    <row r="234" spans="1:12" x14ac:dyDescent="0.25">
      <c r="A234" t="s">
        <v>20</v>
      </c>
      <c r="B234" t="s">
        <v>24</v>
      </c>
      <c r="C234" t="s">
        <v>390</v>
      </c>
      <c r="E234" t="s">
        <v>21</v>
      </c>
      <c r="F234" t="str">
        <f>_xlfn.XLOOKUP($E234,Sheet1!$E:$E,Sheet1!F:F)</f>
        <v>North Ryde</v>
      </c>
      <c r="G234" t="str">
        <f>_xlfn.XLOOKUP($E234,Sheet1!$E:$E,Sheet1!G:G)</f>
        <v>North Ryde [New South Wales]</v>
      </c>
      <c r="I234" t="str">
        <f>_xlfn.XLOOKUP($E234,Sheet1!$E:$E,Sheet1!I:I)</f>
        <v>Default station</v>
      </c>
      <c r="K234" t="s">
        <v>1292</v>
      </c>
      <c r="L234">
        <v>170908</v>
      </c>
    </row>
    <row r="235" spans="1:12" x14ac:dyDescent="0.25">
      <c r="A235" t="s">
        <v>20</v>
      </c>
      <c r="B235" t="s">
        <v>24</v>
      </c>
      <c r="C235" t="s">
        <v>391</v>
      </c>
      <c r="E235" t="s">
        <v>21</v>
      </c>
      <c r="F235" t="str">
        <f>_xlfn.XLOOKUP($E235,Sheet1!$E:$E,Sheet1!F:F)</f>
        <v>North Ryde</v>
      </c>
      <c r="G235" t="str">
        <f>_xlfn.XLOOKUP($E235,Sheet1!$E:$E,Sheet1!G:G)</f>
        <v>North Ryde [New South Wales]</v>
      </c>
      <c r="I235" t="str">
        <f>_xlfn.XLOOKUP($E235,Sheet1!$E:$E,Sheet1!I:I)</f>
        <v>Default station</v>
      </c>
      <c r="K235" t="s">
        <v>1293</v>
      </c>
      <c r="L235">
        <v>14000520</v>
      </c>
    </row>
    <row r="236" spans="1:12" x14ac:dyDescent="0.25">
      <c r="A236" t="s">
        <v>20</v>
      </c>
      <c r="B236" t="s">
        <v>24</v>
      </c>
      <c r="C236" t="s">
        <v>392</v>
      </c>
      <c r="E236" t="s">
        <v>21</v>
      </c>
      <c r="F236" t="str">
        <f>_xlfn.XLOOKUP($E236,Sheet1!$E:$E,Sheet1!F:F)</f>
        <v>North Ryde</v>
      </c>
      <c r="G236" t="str">
        <f>_xlfn.XLOOKUP($E236,Sheet1!$E:$E,Sheet1!G:G)</f>
        <v>North Ryde [New South Wales]</v>
      </c>
      <c r="I236" t="str">
        <f>_xlfn.XLOOKUP($E236,Sheet1!$E:$E,Sheet1!I:I)</f>
        <v>Default station</v>
      </c>
      <c r="K236" t="s">
        <v>1294</v>
      </c>
      <c r="L236">
        <v>16011384</v>
      </c>
    </row>
    <row r="237" spans="1:12" x14ac:dyDescent="0.25">
      <c r="A237" t="s">
        <v>20</v>
      </c>
      <c r="B237" t="s">
        <v>24</v>
      </c>
      <c r="C237" t="s">
        <v>393</v>
      </c>
      <c r="E237" t="s">
        <v>21</v>
      </c>
      <c r="F237" t="str">
        <f>_xlfn.XLOOKUP($E237,Sheet1!$E:$E,Sheet1!F:F)</f>
        <v>North Ryde</v>
      </c>
      <c r="G237" t="str">
        <f>_xlfn.XLOOKUP($E237,Sheet1!$E:$E,Sheet1!G:G)</f>
        <v>North Ryde [New South Wales]</v>
      </c>
      <c r="I237" t="str">
        <f>_xlfn.XLOOKUP($E237,Sheet1!$E:$E,Sheet1!I:I)</f>
        <v>Default station</v>
      </c>
      <c r="K237" t="s">
        <v>1295</v>
      </c>
      <c r="L237">
        <v>16017965</v>
      </c>
    </row>
    <row r="238" spans="1:12" x14ac:dyDescent="0.25">
      <c r="A238" t="s">
        <v>20</v>
      </c>
      <c r="B238" t="s">
        <v>24</v>
      </c>
      <c r="C238" t="s">
        <v>394</v>
      </c>
      <c r="E238" t="s">
        <v>21</v>
      </c>
      <c r="F238" t="str">
        <f>_xlfn.XLOOKUP($E238,Sheet1!$E:$E,Sheet1!F:F)</f>
        <v>North Ryde</v>
      </c>
      <c r="G238" t="str">
        <f>_xlfn.XLOOKUP($E238,Sheet1!$E:$E,Sheet1!G:G)</f>
        <v>North Ryde [New South Wales]</v>
      </c>
      <c r="I238" t="str">
        <f>_xlfn.XLOOKUP($E238,Sheet1!$E:$E,Sheet1!I:I)</f>
        <v>Default station</v>
      </c>
      <c r="K238" t="s">
        <v>1296</v>
      </c>
      <c r="L238">
        <v>16011415</v>
      </c>
    </row>
    <row r="239" spans="1:12" x14ac:dyDescent="0.25">
      <c r="A239" t="s">
        <v>20</v>
      </c>
      <c r="B239" t="s">
        <v>24</v>
      </c>
      <c r="C239" t="s">
        <v>395</v>
      </c>
      <c r="E239" t="s">
        <v>21</v>
      </c>
      <c r="F239" t="str">
        <f>_xlfn.XLOOKUP($E239,Sheet1!$E:$E,Sheet1!F:F)</f>
        <v>North Ryde</v>
      </c>
      <c r="G239" t="str">
        <f>_xlfn.XLOOKUP($E239,Sheet1!$E:$E,Sheet1!G:G)</f>
        <v>North Ryde [New South Wales]</v>
      </c>
      <c r="I239" t="str">
        <f>_xlfn.XLOOKUP($E239,Sheet1!$E:$E,Sheet1!I:I)</f>
        <v>Default station</v>
      </c>
      <c r="K239" t="s">
        <v>1297</v>
      </c>
      <c r="L239">
        <v>241906</v>
      </c>
    </row>
    <row r="240" spans="1:12" x14ac:dyDescent="0.25">
      <c r="A240" t="s">
        <v>20</v>
      </c>
      <c r="B240" t="s">
        <v>24</v>
      </c>
      <c r="C240" t="s">
        <v>396</v>
      </c>
      <c r="E240" t="s">
        <v>21</v>
      </c>
      <c r="F240" t="str">
        <f>_xlfn.XLOOKUP($E240,Sheet1!$E:$E,Sheet1!F:F)</f>
        <v>North Ryde</v>
      </c>
      <c r="G240" t="str">
        <f>_xlfn.XLOOKUP($E240,Sheet1!$E:$E,Sheet1!G:G)</f>
        <v>North Ryde [New South Wales]</v>
      </c>
      <c r="I240" t="str">
        <f>_xlfn.XLOOKUP($E240,Sheet1!$E:$E,Sheet1!I:I)</f>
        <v>Default station</v>
      </c>
      <c r="K240" t="s">
        <v>1298</v>
      </c>
      <c r="L240">
        <v>16016423</v>
      </c>
    </row>
    <row r="241" spans="1:12" x14ac:dyDescent="0.25">
      <c r="A241" t="s">
        <v>20</v>
      </c>
      <c r="B241" t="s">
        <v>24</v>
      </c>
      <c r="C241" t="s">
        <v>397</v>
      </c>
      <c r="E241" t="s">
        <v>21</v>
      </c>
      <c r="F241" t="str">
        <f>_xlfn.XLOOKUP($E241,Sheet1!$E:$E,Sheet1!F:F)</f>
        <v>North Ryde</v>
      </c>
      <c r="G241" t="str">
        <f>_xlfn.XLOOKUP($E241,Sheet1!$E:$E,Sheet1!G:G)</f>
        <v>North Ryde [New South Wales]</v>
      </c>
      <c r="I241" t="str">
        <f>_xlfn.XLOOKUP($E241,Sheet1!$E:$E,Sheet1!I:I)</f>
        <v>Default station</v>
      </c>
      <c r="K241" t="s">
        <v>1299</v>
      </c>
      <c r="L241">
        <v>17020684</v>
      </c>
    </row>
    <row r="242" spans="1:12" x14ac:dyDescent="0.25">
      <c r="A242" t="s">
        <v>20</v>
      </c>
      <c r="B242" t="s">
        <v>24</v>
      </c>
      <c r="C242" t="s">
        <v>398</v>
      </c>
      <c r="E242" t="s">
        <v>21</v>
      </c>
      <c r="F242" t="str">
        <f>_xlfn.XLOOKUP($E242,Sheet1!$E:$E,Sheet1!F:F)</f>
        <v>North Ryde</v>
      </c>
      <c r="G242" t="str">
        <f>_xlfn.XLOOKUP($E242,Sheet1!$E:$E,Sheet1!G:G)</f>
        <v>North Ryde [New South Wales]</v>
      </c>
      <c r="I242" t="str">
        <f>_xlfn.XLOOKUP($E242,Sheet1!$E:$E,Sheet1!I:I)</f>
        <v>Default station</v>
      </c>
      <c r="K242" t="s">
        <v>1300</v>
      </c>
      <c r="L242">
        <v>16011427</v>
      </c>
    </row>
    <row r="243" spans="1:12" x14ac:dyDescent="0.25">
      <c r="A243" t="s">
        <v>20</v>
      </c>
      <c r="B243" t="s">
        <v>24</v>
      </c>
      <c r="C243" t="s">
        <v>399</v>
      </c>
      <c r="E243" t="s">
        <v>21</v>
      </c>
      <c r="F243" t="str">
        <f>_xlfn.XLOOKUP($E243,Sheet1!$E:$E,Sheet1!F:F)</f>
        <v>North Ryde</v>
      </c>
      <c r="G243" t="str">
        <f>_xlfn.XLOOKUP($E243,Sheet1!$E:$E,Sheet1!G:G)</f>
        <v>North Ryde [New South Wales]</v>
      </c>
      <c r="I243" t="str">
        <f>_xlfn.XLOOKUP($E243,Sheet1!$E:$E,Sheet1!I:I)</f>
        <v>Default station</v>
      </c>
      <c r="K243" t="s">
        <v>1301</v>
      </c>
      <c r="L243">
        <v>23440214</v>
      </c>
    </row>
    <row r="244" spans="1:12" x14ac:dyDescent="0.25">
      <c r="A244" t="s">
        <v>20</v>
      </c>
      <c r="B244" t="s">
        <v>24</v>
      </c>
      <c r="C244" t="s">
        <v>400</v>
      </c>
      <c r="E244" t="s">
        <v>21</v>
      </c>
      <c r="F244" t="str">
        <f>_xlfn.XLOOKUP($E244,Sheet1!$E:$E,Sheet1!F:F)</f>
        <v>North Ryde</v>
      </c>
      <c r="G244" t="str">
        <f>_xlfn.XLOOKUP($E244,Sheet1!$E:$E,Sheet1!G:G)</f>
        <v>North Ryde [New South Wales]</v>
      </c>
      <c r="I244" t="str">
        <f>_xlfn.XLOOKUP($E244,Sheet1!$E:$E,Sheet1!I:I)</f>
        <v>Default station</v>
      </c>
      <c r="K244" t="s">
        <v>1302</v>
      </c>
      <c r="L244">
        <v>23440177</v>
      </c>
    </row>
    <row r="245" spans="1:12" x14ac:dyDescent="0.25">
      <c r="A245" t="s">
        <v>20</v>
      </c>
      <c r="B245" t="s">
        <v>24</v>
      </c>
      <c r="C245" t="s">
        <v>401</v>
      </c>
      <c r="E245" t="s">
        <v>21</v>
      </c>
      <c r="F245" t="str">
        <f>_xlfn.XLOOKUP($E245,Sheet1!$E:$E,Sheet1!F:F)</f>
        <v>North Ryde</v>
      </c>
      <c r="G245" t="str">
        <f>_xlfn.XLOOKUP($E245,Sheet1!$E:$E,Sheet1!G:G)</f>
        <v>North Ryde [New South Wales]</v>
      </c>
      <c r="I245" t="str">
        <f>_xlfn.XLOOKUP($E245,Sheet1!$E:$E,Sheet1!I:I)</f>
        <v>Default station</v>
      </c>
      <c r="K245" t="s">
        <v>1303</v>
      </c>
      <c r="L245">
        <v>16011354</v>
      </c>
    </row>
    <row r="246" spans="1:12" x14ac:dyDescent="0.25">
      <c r="A246" t="s">
        <v>20</v>
      </c>
      <c r="B246" t="s">
        <v>24</v>
      </c>
      <c r="C246" t="s">
        <v>402</v>
      </c>
      <c r="E246" t="s">
        <v>21</v>
      </c>
      <c r="F246" t="str">
        <f>_xlfn.XLOOKUP($E246,Sheet1!$E:$E,Sheet1!F:F)</f>
        <v>North Ryde</v>
      </c>
      <c r="G246" t="str">
        <f>_xlfn.XLOOKUP($E246,Sheet1!$E:$E,Sheet1!G:G)</f>
        <v>North Ryde [New South Wales]</v>
      </c>
      <c r="I246" t="str">
        <f>_xlfn.XLOOKUP($E246,Sheet1!$E:$E,Sheet1!I:I)</f>
        <v>Default station</v>
      </c>
      <c r="K246" t="s">
        <v>1304</v>
      </c>
      <c r="L246">
        <v>17020090</v>
      </c>
    </row>
    <row r="247" spans="1:12" x14ac:dyDescent="0.25">
      <c r="A247" t="s">
        <v>20</v>
      </c>
      <c r="B247" t="s">
        <v>24</v>
      </c>
      <c r="C247" t="s">
        <v>403</v>
      </c>
      <c r="E247" t="s">
        <v>21</v>
      </c>
      <c r="F247" t="str">
        <f>_xlfn.XLOOKUP($E247,Sheet1!$E:$E,Sheet1!F:F)</f>
        <v>North Ryde</v>
      </c>
      <c r="G247" t="str">
        <f>_xlfn.XLOOKUP($E247,Sheet1!$E:$E,Sheet1!G:G)</f>
        <v>North Ryde [New South Wales]</v>
      </c>
      <c r="I247" t="str">
        <f>_xlfn.XLOOKUP($E247,Sheet1!$E:$E,Sheet1!I:I)</f>
        <v>Default station</v>
      </c>
      <c r="K247" t="s">
        <v>1305</v>
      </c>
      <c r="L247">
        <v>16017863</v>
      </c>
    </row>
    <row r="248" spans="1:12" x14ac:dyDescent="0.25">
      <c r="A248" t="s">
        <v>20</v>
      </c>
      <c r="B248" t="s">
        <v>24</v>
      </c>
      <c r="C248" t="s">
        <v>404</v>
      </c>
      <c r="E248" t="s">
        <v>21</v>
      </c>
      <c r="F248" t="str">
        <f>_xlfn.XLOOKUP($E248,Sheet1!$E:$E,Sheet1!F:F)</f>
        <v>North Ryde</v>
      </c>
      <c r="G248" t="str">
        <f>_xlfn.XLOOKUP($E248,Sheet1!$E:$E,Sheet1!G:G)</f>
        <v>North Ryde [New South Wales]</v>
      </c>
      <c r="I248" t="str">
        <f>_xlfn.XLOOKUP($E248,Sheet1!$E:$E,Sheet1!I:I)</f>
        <v>Default station</v>
      </c>
      <c r="K248" t="s">
        <v>1306</v>
      </c>
      <c r="L248">
        <v>170407</v>
      </c>
    </row>
    <row r="249" spans="1:12" x14ac:dyDescent="0.25">
      <c r="A249" t="s">
        <v>20</v>
      </c>
      <c r="B249" t="s">
        <v>24</v>
      </c>
      <c r="C249" t="s">
        <v>405</v>
      </c>
      <c r="E249" t="s">
        <v>21</v>
      </c>
      <c r="F249" t="str">
        <f>_xlfn.XLOOKUP($E249,Sheet1!$E:$E,Sheet1!F:F)</f>
        <v>North Ryde</v>
      </c>
      <c r="G249" t="str">
        <f>_xlfn.XLOOKUP($E249,Sheet1!$E:$E,Sheet1!G:G)</f>
        <v>North Ryde [New South Wales]</v>
      </c>
      <c r="I249" t="str">
        <f>_xlfn.XLOOKUP($E249,Sheet1!$E:$E,Sheet1!I:I)</f>
        <v>Default station</v>
      </c>
      <c r="K249" t="s">
        <v>1307</v>
      </c>
      <c r="L249">
        <v>170230</v>
      </c>
    </row>
    <row r="250" spans="1:12" x14ac:dyDescent="0.25">
      <c r="A250" t="s">
        <v>20</v>
      </c>
      <c r="B250" t="s">
        <v>24</v>
      </c>
      <c r="C250" t="s">
        <v>406</v>
      </c>
      <c r="E250" t="s">
        <v>21</v>
      </c>
      <c r="F250" t="str">
        <f>_xlfn.XLOOKUP($E250,Sheet1!$E:$E,Sheet1!F:F)</f>
        <v>North Ryde</v>
      </c>
      <c r="G250" t="str">
        <f>_xlfn.XLOOKUP($E250,Sheet1!$E:$E,Sheet1!G:G)</f>
        <v>North Ryde [New South Wales]</v>
      </c>
      <c r="I250" t="str">
        <f>_xlfn.XLOOKUP($E250,Sheet1!$E:$E,Sheet1!I:I)</f>
        <v>Default station</v>
      </c>
      <c r="K250" t="s">
        <v>1308</v>
      </c>
      <c r="L250">
        <v>16011414</v>
      </c>
    </row>
    <row r="251" spans="1:12" x14ac:dyDescent="0.25">
      <c r="A251" t="s">
        <v>20</v>
      </c>
      <c r="B251" t="s">
        <v>24</v>
      </c>
      <c r="C251" t="s">
        <v>407</v>
      </c>
      <c r="E251" t="s">
        <v>21</v>
      </c>
      <c r="F251" t="str">
        <f>_xlfn.XLOOKUP($E251,Sheet1!$E:$E,Sheet1!F:F)</f>
        <v>North Ryde</v>
      </c>
      <c r="G251" t="str">
        <f>_xlfn.XLOOKUP($E251,Sheet1!$E:$E,Sheet1!G:G)</f>
        <v>North Ryde [New South Wales]</v>
      </c>
      <c r="I251" t="str">
        <f>_xlfn.XLOOKUP($E251,Sheet1!$E:$E,Sheet1!I:I)</f>
        <v>Default station</v>
      </c>
      <c r="K251" t="s">
        <v>1309</v>
      </c>
      <c r="L251">
        <v>38210125</v>
      </c>
    </row>
    <row r="252" spans="1:12" x14ac:dyDescent="0.25">
      <c r="A252" t="s">
        <v>20</v>
      </c>
      <c r="B252" t="s">
        <v>24</v>
      </c>
      <c r="C252" t="s">
        <v>408</v>
      </c>
      <c r="E252" t="s">
        <v>21</v>
      </c>
      <c r="F252" t="str">
        <f>_xlfn.XLOOKUP($E252,Sheet1!$E:$E,Sheet1!F:F)</f>
        <v>North Ryde</v>
      </c>
      <c r="G252" t="str">
        <f>_xlfn.XLOOKUP($E252,Sheet1!$E:$E,Sheet1!G:G)</f>
        <v>North Ryde [New South Wales]</v>
      </c>
      <c r="I252" t="str">
        <f>_xlfn.XLOOKUP($E252,Sheet1!$E:$E,Sheet1!I:I)</f>
        <v>Default station</v>
      </c>
      <c r="K252" t="s">
        <v>1310</v>
      </c>
      <c r="L252">
        <v>254202</v>
      </c>
    </row>
    <row r="253" spans="1:12" x14ac:dyDescent="0.25">
      <c r="A253" t="s">
        <v>20</v>
      </c>
      <c r="B253" t="s">
        <v>24</v>
      </c>
      <c r="C253" t="s">
        <v>409</v>
      </c>
      <c r="E253" t="s">
        <v>21</v>
      </c>
      <c r="F253" t="str">
        <f>_xlfn.XLOOKUP($E253,Sheet1!$E:$E,Sheet1!F:F)</f>
        <v>North Ryde</v>
      </c>
      <c r="G253" t="str">
        <f>_xlfn.XLOOKUP($E253,Sheet1!$E:$E,Sheet1!G:G)</f>
        <v>North Ryde [New South Wales]</v>
      </c>
      <c r="I253" t="str">
        <f>_xlfn.XLOOKUP($E253,Sheet1!$E:$E,Sheet1!I:I)</f>
        <v>Default station</v>
      </c>
      <c r="K253" t="s">
        <v>1311</v>
      </c>
      <c r="L253">
        <v>241735</v>
      </c>
    </row>
    <row r="254" spans="1:12" x14ac:dyDescent="0.25">
      <c r="A254" t="s">
        <v>20</v>
      </c>
      <c r="B254" t="s">
        <v>24</v>
      </c>
      <c r="C254" t="s">
        <v>410</v>
      </c>
      <c r="E254" t="s">
        <v>21</v>
      </c>
      <c r="F254" t="str">
        <f>_xlfn.XLOOKUP($E254,Sheet1!$E:$E,Sheet1!F:F)</f>
        <v>North Ryde</v>
      </c>
      <c r="G254" t="str">
        <f>_xlfn.XLOOKUP($E254,Sheet1!$E:$E,Sheet1!G:G)</f>
        <v>North Ryde [New South Wales]</v>
      </c>
      <c r="I254" t="str">
        <f>_xlfn.XLOOKUP($E254,Sheet1!$E:$E,Sheet1!I:I)</f>
        <v>Default station</v>
      </c>
      <c r="K254" t="s">
        <v>1312</v>
      </c>
      <c r="L254">
        <v>170912</v>
      </c>
    </row>
    <row r="255" spans="1:12" x14ac:dyDescent="0.25">
      <c r="A255" t="s">
        <v>20</v>
      </c>
      <c r="B255" t="s">
        <v>24</v>
      </c>
      <c r="C255" t="s">
        <v>411</v>
      </c>
      <c r="E255" t="s">
        <v>21</v>
      </c>
      <c r="F255" t="str">
        <f>_xlfn.XLOOKUP($E255,Sheet1!$E:$E,Sheet1!F:F)</f>
        <v>North Ryde</v>
      </c>
      <c r="G255" t="str">
        <f>_xlfn.XLOOKUP($E255,Sheet1!$E:$E,Sheet1!G:G)</f>
        <v>North Ryde [New South Wales]</v>
      </c>
      <c r="I255" t="str">
        <f>_xlfn.XLOOKUP($E255,Sheet1!$E:$E,Sheet1!I:I)</f>
        <v>Default station</v>
      </c>
      <c r="K255" t="s">
        <v>1313</v>
      </c>
      <c r="L255">
        <v>16010977</v>
      </c>
    </row>
    <row r="256" spans="1:12" x14ac:dyDescent="0.25">
      <c r="A256" t="s">
        <v>20</v>
      </c>
      <c r="B256" t="s">
        <v>24</v>
      </c>
      <c r="C256" t="s">
        <v>412</v>
      </c>
      <c r="E256" t="s">
        <v>21</v>
      </c>
      <c r="F256" t="str">
        <f>_xlfn.XLOOKUP($E256,Sheet1!$E:$E,Sheet1!F:F)</f>
        <v>North Ryde</v>
      </c>
      <c r="G256" t="str">
        <f>_xlfn.XLOOKUP($E256,Sheet1!$E:$E,Sheet1!G:G)</f>
        <v>North Ryde [New South Wales]</v>
      </c>
      <c r="I256" t="str">
        <f>_xlfn.XLOOKUP($E256,Sheet1!$E:$E,Sheet1!I:I)</f>
        <v>Default station</v>
      </c>
      <c r="K256" t="s">
        <v>1314</v>
      </c>
      <c r="L256">
        <v>16012430</v>
      </c>
    </row>
    <row r="257" spans="1:12" x14ac:dyDescent="0.25">
      <c r="A257" t="s">
        <v>20</v>
      </c>
      <c r="B257" t="s">
        <v>24</v>
      </c>
      <c r="C257" t="s">
        <v>413</v>
      </c>
      <c r="E257" t="s">
        <v>21</v>
      </c>
      <c r="F257" t="str">
        <f>_xlfn.XLOOKUP($E257,Sheet1!$E:$E,Sheet1!F:F)</f>
        <v>North Ryde</v>
      </c>
      <c r="G257" t="str">
        <f>_xlfn.XLOOKUP($E257,Sheet1!$E:$E,Sheet1!G:G)</f>
        <v>North Ryde [New South Wales]</v>
      </c>
      <c r="I257" t="str">
        <f>_xlfn.XLOOKUP($E257,Sheet1!$E:$E,Sheet1!I:I)</f>
        <v>Default station</v>
      </c>
      <c r="K257" t="s">
        <v>1315</v>
      </c>
      <c r="L257">
        <v>170285</v>
      </c>
    </row>
    <row r="258" spans="1:12" x14ac:dyDescent="0.25">
      <c r="A258" t="s">
        <v>20</v>
      </c>
      <c r="B258" t="s">
        <v>24</v>
      </c>
      <c r="C258" t="s">
        <v>414</v>
      </c>
      <c r="E258" t="s">
        <v>21</v>
      </c>
      <c r="F258" t="str">
        <f>_xlfn.XLOOKUP($E258,Sheet1!$E:$E,Sheet1!F:F)</f>
        <v>North Ryde</v>
      </c>
      <c r="G258" t="str">
        <f>_xlfn.XLOOKUP($E258,Sheet1!$E:$E,Sheet1!G:G)</f>
        <v>North Ryde [New South Wales]</v>
      </c>
      <c r="I258" t="str">
        <f>_xlfn.XLOOKUP($E258,Sheet1!$E:$E,Sheet1!I:I)</f>
        <v>Default station</v>
      </c>
      <c r="K258" t="s">
        <v>1316</v>
      </c>
      <c r="L258">
        <v>16013425</v>
      </c>
    </row>
    <row r="259" spans="1:12" x14ac:dyDescent="0.25">
      <c r="A259" t="s">
        <v>20</v>
      </c>
      <c r="B259" t="s">
        <v>24</v>
      </c>
      <c r="C259" t="s">
        <v>415</v>
      </c>
      <c r="E259" t="s">
        <v>21</v>
      </c>
      <c r="F259" t="str">
        <f>_xlfn.XLOOKUP($E259,Sheet1!$E:$E,Sheet1!F:F)</f>
        <v>North Ryde</v>
      </c>
      <c r="G259" t="str">
        <f>_xlfn.XLOOKUP($E259,Sheet1!$E:$E,Sheet1!G:G)</f>
        <v>North Ryde [New South Wales]</v>
      </c>
      <c r="I259" t="str">
        <f>_xlfn.XLOOKUP($E259,Sheet1!$E:$E,Sheet1!I:I)</f>
        <v>Default station</v>
      </c>
      <c r="K259" t="s">
        <v>1317</v>
      </c>
      <c r="L259">
        <v>16013999</v>
      </c>
    </row>
    <row r="260" spans="1:12" x14ac:dyDescent="0.25">
      <c r="A260" t="s">
        <v>20</v>
      </c>
      <c r="B260" t="s">
        <v>24</v>
      </c>
      <c r="C260" t="s">
        <v>416</v>
      </c>
      <c r="E260" t="s">
        <v>21</v>
      </c>
      <c r="F260" t="str">
        <f>_xlfn.XLOOKUP($E260,Sheet1!$E:$E,Sheet1!F:F)</f>
        <v>North Ryde</v>
      </c>
      <c r="G260" t="str">
        <f>_xlfn.XLOOKUP($E260,Sheet1!$E:$E,Sheet1!G:G)</f>
        <v>North Ryde [New South Wales]</v>
      </c>
      <c r="I260" t="str">
        <f>_xlfn.XLOOKUP($E260,Sheet1!$E:$E,Sheet1!I:I)</f>
        <v>Default station</v>
      </c>
      <c r="K260" t="s">
        <v>1318</v>
      </c>
      <c r="L260">
        <v>16016621</v>
      </c>
    </row>
    <row r="261" spans="1:12" x14ac:dyDescent="0.25">
      <c r="A261" t="s">
        <v>20</v>
      </c>
      <c r="B261" t="s">
        <v>24</v>
      </c>
      <c r="C261" t="s">
        <v>417</v>
      </c>
      <c r="E261" t="s">
        <v>21</v>
      </c>
      <c r="F261" t="str">
        <f>_xlfn.XLOOKUP($E261,Sheet1!$E:$E,Sheet1!F:F)</f>
        <v>North Ryde</v>
      </c>
      <c r="G261" t="str">
        <f>_xlfn.XLOOKUP($E261,Sheet1!$E:$E,Sheet1!G:G)</f>
        <v>North Ryde [New South Wales]</v>
      </c>
      <c r="I261" t="str">
        <f>_xlfn.XLOOKUP($E261,Sheet1!$E:$E,Sheet1!I:I)</f>
        <v>Default station</v>
      </c>
      <c r="K261" t="s">
        <v>1319</v>
      </c>
      <c r="L261">
        <v>16013428</v>
      </c>
    </row>
    <row r="262" spans="1:12" x14ac:dyDescent="0.25">
      <c r="A262" t="s">
        <v>20</v>
      </c>
      <c r="B262" t="s">
        <v>24</v>
      </c>
      <c r="C262" t="s">
        <v>418</v>
      </c>
      <c r="E262" t="s">
        <v>21</v>
      </c>
      <c r="F262" t="str">
        <f>_xlfn.XLOOKUP($E262,Sheet1!$E:$E,Sheet1!F:F)</f>
        <v>North Ryde</v>
      </c>
      <c r="G262" t="str">
        <f>_xlfn.XLOOKUP($E262,Sheet1!$E:$E,Sheet1!G:G)</f>
        <v>North Ryde [New South Wales]</v>
      </c>
      <c r="I262" t="str">
        <f>_xlfn.XLOOKUP($E262,Sheet1!$E:$E,Sheet1!I:I)</f>
        <v>Default station</v>
      </c>
      <c r="K262" t="s">
        <v>1320</v>
      </c>
      <c r="L262">
        <v>170303</v>
      </c>
    </row>
    <row r="263" spans="1:12" x14ac:dyDescent="0.25">
      <c r="A263" t="s">
        <v>20</v>
      </c>
      <c r="B263" t="s">
        <v>24</v>
      </c>
      <c r="C263" t="s">
        <v>419</v>
      </c>
      <c r="E263" t="s">
        <v>21</v>
      </c>
      <c r="F263" t="str">
        <f>_xlfn.XLOOKUP($E263,Sheet1!$E:$E,Sheet1!F:F)</f>
        <v>North Ryde</v>
      </c>
      <c r="G263" t="str">
        <f>_xlfn.XLOOKUP($E263,Sheet1!$E:$E,Sheet1!G:G)</f>
        <v>North Ryde [New South Wales]</v>
      </c>
      <c r="I263" t="str">
        <f>_xlfn.XLOOKUP($E263,Sheet1!$E:$E,Sheet1!I:I)</f>
        <v>Default station</v>
      </c>
      <c r="K263" t="s">
        <v>1321</v>
      </c>
      <c r="L263">
        <v>16016051</v>
      </c>
    </row>
    <row r="264" spans="1:12" x14ac:dyDescent="0.25">
      <c r="A264" t="s">
        <v>20</v>
      </c>
      <c r="B264" t="s">
        <v>24</v>
      </c>
      <c r="C264" t="s">
        <v>420</v>
      </c>
      <c r="E264" t="s">
        <v>21</v>
      </c>
      <c r="F264" t="str">
        <f>_xlfn.XLOOKUP($E264,Sheet1!$E:$E,Sheet1!F:F)</f>
        <v>North Ryde</v>
      </c>
      <c r="G264" t="str">
        <f>_xlfn.XLOOKUP($E264,Sheet1!$E:$E,Sheet1!G:G)</f>
        <v>North Ryde [New South Wales]</v>
      </c>
      <c r="I264" t="str">
        <f>_xlfn.XLOOKUP($E264,Sheet1!$E:$E,Sheet1!I:I)</f>
        <v>Default station</v>
      </c>
      <c r="K264" t="s">
        <v>139</v>
      </c>
      <c r="L264">
        <v>14000945</v>
      </c>
    </row>
    <row r="265" spans="1:12" x14ac:dyDescent="0.25">
      <c r="A265" t="s">
        <v>20</v>
      </c>
      <c r="B265" t="s">
        <v>24</v>
      </c>
      <c r="C265" t="s">
        <v>421</v>
      </c>
      <c r="E265" t="s">
        <v>21</v>
      </c>
      <c r="F265" t="str">
        <f>_xlfn.XLOOKUP($E265,Sheet1!$E:$E,Sheet1!F:F)</f>
        <v>North Ryde</v>
      </c>
      <c r="G265" t="str">
        <f>_xlfn.XLOOKUP($E265,Sheet1!$E:$E,Sheet1!G:G)</f>
        <v>North Ryde [New South Wales]</v>
      </c>
      <c r="I265" t="str">
        <f>_xlfn.XLOOKUP($E265,Sheet1!$E:$E,Sheet1!I:I)</f>
        <v>Default station</v>
      </c>
      <c r="K265" t="s">
        <v>1322</v>
      </c>
      <c r="L265">
        <v>16011460</v>
      </c>
    </row>
    <row r="266" spans="1:12" x14ac:dyDescent="0.25">
      <c r="A266" t="s">
        <v>20</v>
      </c>
      <c r="B266" t="s">
        <v>24</v>
      </c>
      <c r="C266" t="s">
        <v>422</v>
      </c>
      <c r="E266" t="s">
        <v>21</v>
      </c>
      <c r="F266" t="str">
        <f>_xlfn.XLOOKUP($E266,Sheet1!$E:$E,Sheet1!F:F)</f>
        <v>North Ryde</v>
      </c>
      <c r="G266" t="str">
        <f>_xlfn.XLOOKUP($E266,Sheet1!$E:$E,Sheet1!G:G)</f>
        <v>North Ryde [New South Wales]</v>
      </c>
      <c r="I266" t="str">
        <f>_xlfn.XLOOKUP($E266,Sheet1!$E:$E,Sheet1!I:I)</f>
        <v>Default station</v>
      </c>
      <c r="K266" t="s">
        <v>1323</v>
      </c>
      <c r="L266">
        <v>170114</v>
      </c>
    </row>
    <row r="267" spans="1:12" x14ac:dyDescent="0.25">
      <c r="A267" t="s">
        <v>20</v>
      </c>
      <c r="B267" t="s">
        <v>24</v>
      </c>
      <c r="C267" t="s">
        <v>423</v>
      </c>
      <c r="E267" t="s">
        <v>21</v>
      </c>
      <c r="F267" t="str">
        <f>_xlfn.XLOOKUP($E267,Sheet1!$E:$E,Sheet1!F:F)</f>
        <v>North Ryde</v>
      </c>
      <c r="G267" t="str">
        <f>_xlfn.XLOOKUP($E267,Sheet1!$E:$E,Sheet1!G:G)</f>
        <v>North Ryde [New South Wales]</v>
      </c>
      <c r="I267" t="str">
        <f>_xlfn.XLOOKUP($E267,Sheet1!$E:$E,Sheet1!I:I)</f>
        <v>Default station</v>
      </c>
      <c r="K267" t="s">
        <v>1324</v>
      </c>
      <c r="L267">
        <v>170227</v>
      </c>
    </row>
    <row r="268" spans="1:12" x14ac:dyDescent="0.25">
      <c r="A268" t="s">
        <v>20</v>
      </c>
      <c r="B268" t="s">
        <v>24</v>
      </c>
      <c r="C268" t="s">
        <v>424</v>
      </c>
      <c r="E268" t="s">
        <v>21</v>
      </c>
      <c r="F268" t="str">
        <f>_xlfn.XLOOKUP($E268,Sheet1!$E:$E,Sheet1!F:F)</f>
        <v>North Ryde</v>
      </c>
      <c r="G268" t="str">
        <f>_xlfn.XLOOKUP($E268,Sheet1!$E:$E,Sheet1!G:G)</f>
        <v>North Ryde [New South Wales]</v>
      </c>
      <c r="I268" t="str">
        <f>_xlfn.XLOOKUP($E268,Sheet1!$E:$E,Sheet1!I:I)</f>
        <v>Default station</v>
      </c>
      <c r="K268" t="s">
        <v>101</v>
      </c>
      <c r="L268">
        <v>230102</v>
      </c>
    </row>
    <row r="269" spans="1:12" x14ac:dyDescent="0.25">
      <c r="A269" t="s">
        <v>20</v>
      </c>
      <c r="B269" t="s">
        <v>24</v>
      </c>
      <c r="C269" t="s">
        <v>425</v>
      </c>
      <c r="E269" t="s">
        <v>21</v>
      </c>
      <c r="F269" t="str">
        <f>_xlfn.XLOOKUP($E269,Sheet1!$E:$E,Sheet1!F:F)</f>
        <v>North Ryde</v>
      </c>
      <c r="G269" t="str">
        <f>_xlfn.XLOOKUP($E269,Sheet1!$E:$E,Sheet1!G:G)</f>
        <v>North Ryde [New South Wales]</v>
      </c>
      <c r="I269" t="str">
        <f>_xlfn.XLOOKUP($E269,Sheet1!$E:$E,Sheet1!I:I)</f>
        <v>Default station</v>
      </c>
      <c r="K269" t="s">
        <v>1325</v>
      </c>
      <c r="L269">
        <v>709210</v>
      </c>
    </row>
    <row r="270" spans="1:12" x14ac:dyDescent="0.25">
      <c r="A270" t="s">
        <v>20</v>
      </c>
      <c r="B270" t="s">
        <v>24</v>
      </c>
      <c r="C270" t="s">
        <v>426</v>
      </c>
      <c r="E270" t="s">
        <v>21</v>
      </c>
      <c r="F270" t="str">
        <f>_xlfn.XLOOKUP($E270,Sheet1!$E:$E,Sheet1!F:F)</f>
        <v>North Ryde</v>
      </c>
      <c r="G270" t="str">
        <f>_xlfn.XLOOKUP($E270,Sheet1!$E:$E,Sheet1!G:G)</f>
        <v>North Ryde [New South Wales]</v>
      </c>
      <c r="I270" t="str">
        <f>_xlfn.XLOOKUP($E270,Sheet1!$E:$E,Sheet1!I:I)</f>
        <v>Default station</v>
      </c>
      <c r="K270" t="s">
        <v>1326</v>
      </c>
      <c r="L270">
        <v>170406</v>
      </c>
    </row>
    <row r="271" spans="1:12" x14ac:dyDescent="0.25">
      <c r="A271" t="s">
        <v>20</v>
      </c>
      <c r="B271" t="s">
        <v>24</v>
      </c>
      <c r="C271" t="s">
        <v>427</v>
      </c>
      <c r="E271" t="s">
        <v>21</v>
      </c>
      <c r="F271" t="str">
        <f>_xlfn.XLOOKUP($E271,Sheet1!$E:$E,Sheet1!F:F)</f>
        <v>North Ryde</v>
      </c>
      <c r="G271" t="str">
        <f>_xlfn.XLOOKUP($E271,Sheet1!$E:$E,Sheet1!G:G)</f>
        <v>North Ryde [New South Wales]</v>
      </c>
      <c r="I271" t="str">
        <f>_xlfn.XLOOKUP($E271,Sheet1!$E:$E,Sheet1!I:I)</f>
        <v>Default station</v>
      </c>
      <c r="K271" t="s">
        <v>1327</v>
      </c>
      <c r="L271">
        <v>241919</v>
      </c>
    </row>
    <row r="272" spans="1:12" x14ac:dyDescent="0.25">
      <c r="A272" t="s">
        <v>20</v>
      </c>
      <c r="B272" t="s">
        <v>24</v>
      </c>
      <c r="C272" t="s">
        <v>428</v>
      </c>
      <c r="E272" t="s">
        <v>21</v>
      </c>
      <c r="F272" t="str">
        <f>_xlfn.XLOOKUP($E272,Sheet1!$E:$E,Sheet1!F:F)</f>
        <v>North Ryde</v>
      </c>
      <c r="G272" t="str">
        <f>_xlfn.XLOOKUP($E272,Sheet1!$E:$E,Sheet1!G:G)</f>
        <v>North Ryde [New South Wales]</v>
      </c>
      <c r="I272" t="str">
        <f>_xlfn.XLOOKUP($E272,Sheet1!$E:$E,Sheet1!I:I)</f>
        <v>Default station</v>
      </c>
      <c r="K272" t="s">
        <v>1328</v>
      </c>
      <c r="L272">
        <v>24130040</v>
      </c>
    </row>
    <row r="273" spans="1:12" x14ac:dyDescent="0.25">
      <c r="A273" t="s">
        <v>20</v>
      </c>
      <c r="B273" t="s">
        <v>24</v>
      </c>
      <c r="C273" t="s">
        <v>429</v>
      </c>
      <c r="E273" t="s">
        <v>21</v>
      </c>
      <c r="F273" t="str">
        <f>_xlfn.XLOOKUP($E273,Sheet1!$E:$E,Sheet1!F:F)</f>
        <v>North Ryde</v>
      </c>
      <c r="G273" t="str">
        <f>_xlfn.XLOOKUP($E273,Sheet1!$E:$E,Sheet1!G:G)</f>
        <v>North Ryde [New South Wales]</v>
      </c>
      <c r="I273" t="str">
        <f>_xlfn.XLOOKUP($E273,Sheet1!$E:$E,Sheet1!I:I)</f>
        <v>Default station</v>
      </c>
      <c r="K273" t="s">
        <v>1329</v>
      </c>
      <c r="L273">
        <v>241724</v>
      </c>
    </row>
    <row r="274" spans="1:12" x14ac:dyDescent="0.25">
      <c r="A274" t="s">
        <v>20</v>
      </c>
      <c r="B274" t="s">
        <v>24</v>
      </c>
      <c r="C274" t="s">
        <v>430</v>
      </c>
      <c r="E274" t="s">
        <v>21</v>
      </c>
      <c r="F274" t="str">
        <f>_xlfn.XLOOKUP($E274,Sheet1!$E:$E,Sheet1!F:F)</f>
        <v>North Ryde</v>
      </c>
      <c r="G274" t="str">
        <f>_xlfn.XLOOKUP($E274,Sheet1!$E:$E,Sheet1!G:G)</f>
        <v>North Ryde [New South Wales]</v>
      </c>
      <c r="I274" t="str">
        <f>_xlfn.XLOOKUP($E274,Sheet1!$E:$E,Sheet1!I:I)</f>
        <v>Default station</v>
      </c>
      <c r="K274" t="s">
        <v>1330</v>
      </c>
      <c r="L274">
        <v>16016674</v>
      </c>
    </row>
    <row r="275" spans="1:12" x14ac:dyDescent="0.25">
      <c r="A275" t="s">
        <v>20</v>
      </c>
      <c r="B275" t="s">
        <v>24</v>
      </c>
      <c r="C275" t="s">
        <v>431</v>
      </c>
      <c r="E275" t="s">
        <v>21</v>
      </c>
      <c r="F275" t="str">
        <f>_xlfn.XLOOKUP($E275,Sheet1!$E:$E,Sheet1!F:F)</f>
        <v>North Ryde</v>
      </c>
      <c r="G275" t="str">
        <f>_xlfn.XLOOKUP($E275,Sheet1!$E:$E,Sheet1!G:G)</f>
        <v>North Ryde [New South Wales]</v>
      </c>
      <c r="I275" t="str">
        <f>_xlfn.XLOOKUP($E275,Sheet1!$E:$E,Sheet1!I:I)</f>
        <v>Default station</v>
      </c>
      <c r="K275" t="s">
        <v>1331</v>
      </c>
      <c r="L275">
        <v>17020890</v>
      </c>
    </row>
    <row r="276" spans="1:12" x14ac:dyDescent="0.25">
      <c r="A276" t="s">
        <v>20</v>
      </c>
      <c r="B276" t="s">
        <v>24</v>
      </c>
      <c r="C276" t="s">
        <v>432</v>
      </c>
      <c r="E276" t="s">
        <v>21</v>
      </c>
      <c r="F276" t="str">
        <f>_xlfn.XLOOKUP($E276,Sheet1!$E:$E,Sheet1!F:F)</f>
        <v>North Ryde</v>
      </c>
      <c r="G276" t="str">
        <f>_xlfn.XLOOKUP($E276,Sheet1!$E:$E,Sheet1!G:G)</f>
        <v>North Ryde [New South Wales]</v>
      </c>
      <c r="I276" t="str">
        <f>_xlfn.XLOOKUP($E276,Sheet1!$E:$E,Sheet1!I:I)</f>
        <v>Default station</v>
      </c>
      <c r="K276" t="s">
        <v>1332</v>
      </c>
      <c r="L276">
        <v>170925</v>
      </c>
    </row>
    <row r="277" spans="1:12" x14ac:dyDescent="0.25">
      <c r="A277" t="s">
        <v>20</v>
      </c>
      <c r="B277" t="s">
        <v>24</v>
      </c>
      <c r="C277" t="s">
        <v>433</v>
      </c>
      <c r="E277" t="s">
        <v>21</v>
      </c>
      <c r="F277" t="str">
        <f>_xlfn.XLOOKUP($E277,Sheet1!$E:$E,Sheet1!F:F)</f>
        <v>North Ryde</v>
      </c>
      <c r="G277" t="str">
        <f>_xlfn.XLOOKUP($E277,Sheet1!$E:$E,Sheet1!G:G)</f>
        <v>North Ryde [New South Wales]</v>
      </c>
      <c r="I277" t="str">
        <f>_xlfn.XLOOKUP($E277,Sheet1!$E:$E,Sheet1!I:I)</f>
        <v>Default station</v>
      </c>
      <c r="K277" t="s">
        <v>1333</v>
      </c>
      <c r="L277">
        <v>16011471</v>
      </c>
    </row>
    <row r="278" spans="1:12" x14ac:dyDescent="0.25">
      <c r="A278" t="s">
        <v>20</v>
      </c>
      <c r="B278" t="s">
        <v>24</v>
      </c>
      <c r="C278" t="s">
        <v>434</v>
      </c>
      <c r="E278" t="s">
        <v>21</v>
      </c>
      <c r="F278" t="str">
        <f>_xlfn.XLOOKUP($E278,Sheet1!$E:$E,Sheet1!F:F)</f>
        <v>North Ryde</v>
      </c>
      <c r="G278" t="str">
        <f>_xlfn.XLOOKUP($E278,Sheet1!$E:$E,Sheet1!G:G)</f>
        <v>North Ryde [New South Wales]</v>
      </c>
      <c r="I278" t="str">
        <f>_xlfn.XLOOKUP($E278,Sheet1!$E:$E,Sheet1!I:I)</f>
        <v>Default station</v>
      </c>
      <c r="K278" t="s">
        <v>1334</v>
      </c>
      <c r="L278">
        <v>16013903</v>
      </c>
    </row>
    <row r="279" spans="1:12" x14ac:dyDescent="0.25">
      <c r="A279" t="s">
        <v>20</v>
      </c>
      <c r="B279" t="s">
        <v>24</v>
      </c>
      <c r="C279" t="s">
        <v>435</v>
      </c>
      <c r="E279" t="s">
        <v>21</v>
      </c>
      <c r="F279" t="str">
        <f>_xlfn.XLOOKUP($E279,Sheet1!$E:$E,Sheet1!F:F)</f>
        <v>North Ryde</v>
      </c>
      <c r="G279" t="str">
        <f>_xlfn.XLOOKUP($E279,Sheet1!$E:$E,Sheet1!G:G)</f>
        <v>North Ryde [New South Wales]</v>
      </c>
      <c r="I279" t="str">
        <f>_xlfn.XLOOKUP($E279,Sheet1!$E:$E,Sheet1!I:I)</f>
        <v>Default station</v>
      </c>
      <c r="K279" t="s">
        <v>1335</v>
      </c>
      <c r="L279">
        <v>170233</v>
      </c>
    </row>
    <row r="280" spans="1:12" x14ac:dyDescent="0.25">
      <c r="A280" t="s">
        <v>20</v>
      </c>
      <c r="B280" t="s">
        <v>24</v>
      </c>
      <c r="C280" t="s">
        <v>436</v>
      </c>
      <c r="E280" t="s">
        <v>21</v>
      </c>
      <c r="F280" t="str">
        <f>_xlfn.XLOOKUP($E280,Sheet1!$E:$E,Sheet1!F:F)</f>
        <v>North Ryde</v>
      </c>
      <c r="G280" t="str">
        <f>_xlfn.XLOOKUP($E280,Sheet1!$E:$E,Sheet1!G:G)</f>
        <v>North Ryde [New South Wales]</v>
      </c>
      <c r="I280" t="str">
        <f>_xlfn.XLOOKUP($E280,Sheet1!$E:$E,Sheet1!I:I)</f>
        <v>Default station</v>
      </c>
      <c r="K280" t="s">
        <v>1336</v>
      </c>
      <c r="L280">
        <v>16017831</v>
      </c>
    </row>
    <row r="281" spans="1:12" x14ac:dyDescent="0.25">
      <c r="A281" t="s">
        <v>20</v>
      </c>
      <c r="B281" t="s">
        <v>24</v>
      </c>
      <c r="C281" t="s">
        <v>437</v>
      </c>
      <c r="E281" t="s">
        <v>21</v>
      </c>
      <c r="F281" t="str">
        <f>_xlfn.XLOOKUP($E281,Sheet1!$E:$E,Sheet1!F:F)</f>
        <v>North Ryde</v>
      </c>
      <c r="G281" t="str">
        <f>_xlfn.XLOOKUP($E281,Sheet1!$E:$E,Sheet1!G:G)</f>
        <v>North Ryde [New South Wales]</v>
      </c>
      <c r="I281" t="str">
        <f>_xlfn.XLOOKUP($E281,Sheet1!$E:$E,Sheet1!I:I)</f>
        <v>Default station</v>
      </c>
      <c r="K281" t="s">
        <v>1337</v>
      </c>
      <c r="L281">
        <v>170411</v>
      </c>
    </row>
    <row r="282" spans="1:12" x14ac:dyDescent="0.25">
      <c r="A282" t="s">
        <v>20</v>
      </c>
      <c r="B282" t="s">
        <v>24</v>
      </c>
      <c r="C282" t="s">
        <v>438</v>
      </c>
      <c r="E282" t="s">
        <v>21</v>
      </c>
      <c r="F282" t="str">
        <f>_xlfn.XLOOKUP($E282,Sheet1!$E:$E,Sheet1!F:F)</f>
        <v>North Ryde</v>
      </c>
      <c r="G282" t="str">
        <f>_xlfn.XLOOKUP($E282,Sheet1!$E:$E,Sheet1!G:G)</f>
        <v>North Ryde [New South Wales]</v>
      </c>
      <c r="I282" t="str">
        <f>_xlfn.XLOOKUP($E282,Sheet1!$E:$E,Sheet1!I:I)</f>
        <v>Default station</v>
      </c>
      <c r="K282" t="s">
        <v>1338</v>
      </c>
      <c r="L282">
        <v>170603</v>
      </c>
    </row>
    <row r="283" spans="1:12" x14ac:dyDescent="0.25">
      <c r="A283" t="s">
        <v>20</v>
      </c>
      <c r="B283" t="s">
        <v>24</v>
      </c>
      <c r="C283" t="s">
        <v>439</v>
      </c>
      <c r="E283" t="s">
        <v>21</v>
      </c>
      <c r="F283" t="str">
        <f>_xlfn.XLOOKUP($E283,Sheet1!$E:$E,Sheet1!F:F)</f>
        <v>North Ryde</v>
      </c>
      <c r="G283" t="str">
        <f>_xlfn.XLOOKUP($E283,Sheet1!$E:$E,Sheet1!G:G)</f>
        <v>North Ryde [New South Wales]</v>
      </c>
      <c r="I283" t="str">
        <f>_xlfn.XLOOKUP($E283,Sheet1!$E:$E,Sheet1!I:I)</f>
        <v>Default station</v>
      </c>
      <c r="K283" t="s">
        <v>1339</v>
      </c>
      <c r="L283">
        <v>239013</v>
      </c>
    </row>
    <row r="284" spans="1:12" x14ac:dyDescent="0.25">
      <c r="A284" t="s">
        <v>20</v>
      </c>
      <c r="B284" t="s">
        <v>24</v>
      </c>
      <c r="C284" t="s">
        <v>440</v>
      </c>
      <c r="E284" t="s">
        <v>21</v>
      </c>
      <c r="F284" t="str">
        <f>_xlfn.XLOOKUP($E284,Sheet1!$E:$E,Sheet1!F:F)</f>
        <v>North Ryde</v>
      </c>
      <c r="G284" t="str">
        <f>_xlfn.XLOOKUP($E284,Sheet1!$E:$E,Sheet1!G:G)</f>
        <v>North Ryde [New South Wales]</v>
      </c>
      <c r="I284" t="str">
        <f>_xlfn.XLOOKUP($E284,Sheet1!$E:$E,Sheet1!I:I)</f>
        <v>Default station</v>
      </c>
      <c r="K284" t="s">
        <v>1340</v>
      </c>
      <c r="L284">
        <v>16013436</v>
      </c>
    </row>
    <row r="285" spans="1:12" x14ac:dyDescent="0.25">
      <c r="A285" t="s">
        <v>20</v>
      </c>
      <c r="B285" t="s">
        <v>24</v>
      </c>
      <c r="C285" t="s">
        <v>441</v>
      </c>
      <c r="E285" t="s">
        <v>21</v>
      </c>
      <c r="F285" t="str">
        <f>_xlfn.XLOOKUP($E285,Sheet1!$E:$E,Sheet1!F:F)</f>
        <v>North Ryde</v>
      </c>
      <c r="G285" t="str">
        <f>_xlfn.XLOOKUP($E285,Sheet1!$E:$E,Sheet1!G:G)</f>
        <v>North Ryde [New South Wales]</v>
      </c>
      <c r="I285" t="str">
        <f>_xlfn.XLOOKUP($E285,Sheet1!$E:$E,Sheet1!I:I)</f>
        <v>Default station</v>
      </c>
      <c r="K285" t="s">
        <v>41</v>
      </c>
      <c r="L285">
        <v>23440036</v>
      </c>
    </row>
    <row r="286" spans="1:12" x14ac:dyDescent="0.25">
      <c r="A286" t="s">
        <v>20</v>
      </c>
      <c r="B286" t="s">
        <v>24</v>
      </c>
      <c r="C286" t="s">
        <v>442</v>
      </c>
      <c r="E286" t="s">
        <v>21</v>
      </c>
      <c r="F286" t="str">
        <f>_xlfn.XLOOKUP($E286,Sheet1!$E:$E,Sheet1!F:F)</f>
        <v>North Ryde</v>
      </c>
      <c r="G286" t="str">
        <f>_xlfn.XLOOKUP($E286,Sheet1!$E:$E,Sheet1!G:G)</f>
        <v>North Ryde [New South Wales]</v>
      </c>
      <c r="I286" t="str">
        <f>_xlfn.XLOOKUP($E286,Sheet1!$E:$E,Sheet1!I:I)</f>
        <v>Default station</v>
      </c>
      <c r="K286" t="s">
        <v>1341</v>
      </c>
      <c r="L286">
        <v>16011425</v>
      </c>
    </row>
    <row r="287" spans="1:12" x14ac:dyDescent="0.25">
      <c r="A287" t="s">
        <v>20</v>
      </c>
      <c r="B287" t="s">
        <v>24</v>
      </c>
      <c r="C287" t="s">
        <v>443</v>
      </c>
      <c r="E287" t="s">
        <v>21</v>
      </c>
      <c r="F287" t="str">
        <f>_xlfn.XLOOKUP($E287,Sheet1!$E:$E,Sheet1!F:F)</f>
        <v>North Ryde</v>
      </c>
      <c r="G287" t="str">
        <f>_xlfn.XLOOKUP($E287,Sheet1!$E:$E,Sheet1!G:G)</f>
        <v>North Ryde [New South Wales]</v>
      </c>
      <c r="I287" t="str">
        <f>_xlfn.XLOOKUP($E287,Sheet1!$E:$E,Sheet1!I:I)</f>
        <v>Default station</v>
      </c>
      <c r="K287" t="s">
        <v>1342</v>
      </c>
      <c r="L287">
        <v>170101</v>
      </c>
    </row>
    <row r="288" spans="1:12" x14ac:dyDescent="0.25">
      <c r="A288" t="s">
        <v>20</v>
      </c>
      <c r="B288" t="s">
        <v>24</v>
      </c>
      <c r="C288" t="s">
        <v>444</v>
      </c>
      <c r="E288" t="s">
        <v>21</v>
      </c>
      <c r="F288" t="str">
        <f>_xlfn.XLOOKUP($E288,Sheet1!$E:$E,Sheet1!F:F)</f>
        <v>North Ryde</v>
      </c>
      <c r="G288" t="str">
        <f>_xlfn.XLOOKUP($E288,Sheet1!$E:$E,Sheet1!G:G)</f>
        <v>North Ryde [New South Wales]</v>
      </c>
      <c r="I288" t="str">
        <f>_xlfn.XLOOKUP($E288,Sheet1!$E:$E,Sheet1!I:I)</f>
        <v>Default station</v>
      </c>
      <c r="K288" t="s">
        <v>1343</v>
      </c>
      <c r="L288">
        <v>16017768</v>
      </c>
    </row>
    <row r="289" spans="1:12" x14ac:dyDescent="0.25">
      <c r="A289" t="s">
        <v>20</v>
      </c>
      <c r="B289" t="s">
        <v>24</v>
      </c>
      <c r="C289" t="s">
        <v>445</v>
      </c>
      <c r="E289" t="s">
        <v>21</v>
      </c>
      <c r="F289" t="str">
        <f>_xlfn.XLOOKUP($E289,Sheet1!$E:$E,Sheet1!F:F)</f>
        <v>North Ryde</v>
      </c>
      <c r="G289" t="str">
        <f>_xlfn.XLOOKUP($E289,Sheet1!$E:$E,Sheet1!G:G)</f>
        <v>North Ryde [New South Wales]</v>
      </c>
      <c r="I289" t="str">
        <f>_xlfn.XLOOKUP($E289,Sheet1!$E:$E,Sheet1!I:I)</f>
        <v>Default station</v>
      </c>
      <c r="K289" t="s">
        <v>1344</v>
      </c>
      <c r="L289">
        <v>16017886</v>
      </c>
    </row>
    <row r="290" spans="1:12" x14ac:dyDescent="0.25">
      <c r="A290" t="s">
        <v>20</v>
      </c>
      <c r="B290" t="s">
        <v>24</v>
      </c>
      <c r="C290" t="s">
        <v>446</v>
      </c>
      <c r="E290" t="s">
        <v>21</v>
      </c>
      <c r="F290" t="str">
        <f>_xlfn.XLOOKUP($E290,Sheet1!$E:$E,Sheet1!F:F)</f>
        <v>North Ryde</v>
      </c>
      <c r="G290" t="str">
        <f>_xlfn.XLOOKUP($E290,Sheet1!$E:$E,Sheet1!G:G)</f>
        <v>North Ryde [New South Wales]</v>
      </c>
      <c r="I290" t="str">
        <f>_xlfn.XLOOKUP($E290,Sheet1!$E:$E,Sheet1!I:I)</f>
        <v>Default station</v>
      </c>
      <c r="K290" t="s">
        <v>1345</v>
      </c>
      <c r="L290">
        <v>150507</v>
      </c>
    </row>
    <row r="291" spans="1:12" x14ac:dyDescent="0.25">
      <c r="A291" t="s">
        <v>20</v>
      </c>
      <c r="B291" t="s">
        <v>24</v>
      </c>
      <c r="C291" t="s">
        <v>447</v>
      </c>
      <c r="E291" t="s">
        <v>21</v>
      </c>
      <c r="F291" t="str">
        <f>_xlfn.XLOOKUP($E291,Sheet1!$E:$E,Sheet1!F:F)</f>
        <v>North Ryde</v>
      </c>
      <c r="G291" t="str">
        <f>_xlfn.XLOOKUP($E291,Sheet1!$E:$E,Sheet1!G:G)</f>
        <v>North Ryde [New South Wales]</v>
      </c>
      <c r="I291" t="str">
        <f>_xlfn.XLOOKUP($E291,Sheet1!$E:$E,Sheet1!I:I)</f>
        <v>Default station</v>
      </c>
      <c r="K291" t="s">
        <v>1346</v>
      </c>
      <c r="L291">
        <v>382307</v>
      </c>
    </row>
    <row r="292" spans="1:12" x14ac:dyDescent="0.25">
      <c r="A292" t="s">
        <v>20</v>
      </c>
      <c r="B292" t="s">
        <v>24</v>
      </c>
      <c r="C292" t="s">
        <v>448</v>
      </c>
      <c r="E292" t="s">
        <v>21</v>
      </c>
      <c r="F292" t="str">
        <f>_xlfn.XLOOKUP($E292,Sheet1!$E:$E,Sheet1!F:F)</f>
        <v>North Ryde</v>
      </c>
      <c r="G292" t="str">
        <f>_xlfn.XLOOKUP($E292,Sheet1!$E:$E,Sheet1!G:G)</f>
        <v>North Ryde [New South Wales]</v>
      </c>
      <c r="I292" t="str">
        <f>_xlfn.XLOOKUP($E292,Sheet1!$E:$E,Sheet1!I:I)</f>
        <v>Default station</v>
      </c>
      <c r="K292" t="s">
        <v>1347</v>
      </c>
      <c r="L292">
        <v>16016356</v>
      </c>
    </row>
    <row r="293" spans="1:12" x14ac:dyDescent="0.25">
      <c r="A293" t="s">
        <v>20</v>
      </c>
      <c r="B293" t="s">
        <v>24</v>
      </c>
      <c r="C293" t="s">
        <v>449</v>
      </c>
      <c r="E293" t="s">
        <v>21</v>
      </c>
      <c r="F293" t="str">
        <f>_xlfn.XLOOKUP($E293,Sheet1!$E:$E,Sheet1!F:F)</f>
        <v>North Ryde</v>
      </c>
      <c r="G293" t="str">
        <f>_xlfn.XLOOKUP($E293,Sheet1!$E:$E,Sheet1!G:G)</f>
        <v>North Ryde [New South Wales]</v>
      </c>
      <c r="I293" t="str">
        <f>_xlfn.XLOOKUP($E293,Sheet1!$E:$E,Sheet1!I:I)</f>
        <v>Default station</v>
      </c>
      <c r="K293" t="s">
        <v>1348</v>
      </c>
      <c r="L293">
        <v>16017981</v>
      </c>
    </row>
    <row r="294" spans="1:12" x14ac:dyDescent="0.25">
      <c r="A294" t="s">
        <v>20</v>
      </c>
      <c r="B294" t="s">
        <v>24</v>
      </c>
      <c r="C294" t="s">
        <v>450</v>
      </c>
      <c r="E294" t="s">
        <v>21</v>
      </c>
      <c r="F294" t="str">
        <f>_xlfn.XLOOKUP($E294,Sheet1!$E:$E,Sheet1!F:F)</f>
        <v>North Ryde</v>
      </c>
      <c r="G294" t="str">
        <f>_xlfn.XLOOKUP($E294,Sheet1!$E:$E,Sheet1!G:G)</f>
        <v>North Ryde [New South Wales]</v>
      </c>
      <c r="I294" t="str">
        <f>_xlfn.XLOOKUP($E294,Sheet1!$E:$E,Sheet1!I:I)</f>
        <v>Default station</v>
      </c>
      <c r="K294" t="s">
        <v>1349</v>
      </c>
      <c r="L294">
        <v>16017947</v>
      </c>
    </row>
    <row r="295" spans="1:12" x14ac:dyDescent="0.25">
      <c r="A295" t="s">
        <v>20</v>
      </c>
      <c r="B295" t="s">
        <v>24</v>
      </c>
      <c r="C295" t="s">
        <v>451</v>
      </c>
      <c r="E295" t="s">
        <v>21</v>
      </c>
      <c r="F295" t="str">
        <f>_xlfn.XLOOKUP($E295,Sheet1!$E:$E,Sheet1!F:F)</f>
        <v>North Ryde</v>
      </c>
      <c r="G295" t="str">
        <f>_xlfn.XLOOKUP($E295,Sheet1!$E:$E,Sheet1!G:G)</f>
        <v>North Ryde [New South Wales]</v>
      </c>
      <c r="I295" t="str">
        <f>_xlfn.XLOOKUP($E295,Sheet1!$E:$E,Sheet1!I:I)</f>
        <v>Default station</v>
      </c>
      <c r="K295" t="s">
        <v>1350</v>
      </c>
      <c r="L295">
        <v>14000499</v>
      </c>
    </row>
    <row r="296" spans="1:12" x14ac:dyDescent="0.25">
      <c r="A296" t="s">
        <v>20</v>
      </c>
      <c r="B296" t="s">
        <v>24</v>
      </c>
      <c r="C296" t="s">
        <v>452</v>
      </c>
      <c r="E296" t="s">
        <v>21</v>
      </c>
      <c r="F296" t="str">
        <f>_xlfn.XLOOKUP($E296,Sheet1!$E:$E,Sheet1!F:F)</f>
        <v>North Ryde</v>
      </c>
      <c r="G296" t="str">
        <f>_xlfn.XLOOKUP($E296,Sheet1!$E:$E,Sheet1!G:G)</f>
        <v>North Ryde [New South Wales]</v>
      </c>
      <c r="I296" t="str">
        <f>_xlfn.XLOOKUP($E296,Sheet1!$E:$E,Sheet1!I:I)</f>
        <v>Default station</v>
      </c>
      <c r="K296" t="s">
        <v>1351</v>
      </c>
      <c r="L296">
        <v>16012486</v>
      </c>
    </row>
    <row r="297" spans="1:12" x14ac:dyDescent="0.25">
      <c r="A297" t="s">
        <v>20</v>
      </c>
      <c r="B297" t="s">
        <v>24</v>
      </c>
      <c r="C297" t="s">
        <v>453</v>
      </c>
      <c r="E297" t="s">
        <v>21</v>
      </c>
      <c r="F297" t="str">
        <f>_xlfn.XLOOKUP($E297,Sheet1!$E:$E,Sheet1!F:F)</f>
        <v>North Ryde</v>
      </c>
      <c r="G297" t="str">
        <f>_xlfn.XLOOKUP($E297,Sheet1!$E:$E,Sheet1!G:G)</f>
        <v>North Ryde [New South Wales]</v>
      </c>
      <c r="I297" t="str">
        <f>_xlfn.XLOOKUP($E297,Sheet1!$E:$E,Sheet1!I:I)</f>
        <v>Default station</v>
      </c>
      <c r="K297" t="s">
        <v>1352</v>
      </c>
      <c r="L297">
        <v>16011457</v>
      </c>
    </row>
    <row r="298" spans="1:12" x14ac:dyDescent="0.25">
      <c r="A298" t="s">
        <v>20</v>
      </c>
      <c r="B298" t="s">
        <v>24</v>
      </c>
      <c r="C298" t="s">
        <v>454</v>
      </c>
      <c r="E298" t="s">
        <v>21</v>
      </c>
      <c r="F298" t="str">
        <f>_xlfn.XLOOKUP($E298,Sheet1!$E:$E,Sheet1!F:F)</f>
        <v>North Ryde</v>
      </c>
      <c r="G298" t="str">
        <f>_xlfn.XLOOKUP($E298,Sheet1!$E:$E,Sheet1!G:G)</f>
        <v>North Ryde [New South Wales]</v>
      </c>
      <c r="I298" t="str">
        <f>_xlfn.XLOOKUP($E298,Sheet1!$E:$E,Sheet1!I:I)</f>
        <v>Default station</v>
      </c>
      <c r="K298" t="s">
        <v>1353</v>
      </c>
      <c r="L298">
        <v>16011499</v>
      </c>
    </row>
    <row r="299" spans="1:12" x14ac:dyDescent="0.25">
      <c r="A299" t="s">
        <v>20</v>
      </c>
      <c r="B299" t="s">
        <v>24</v>
      </c>
      <c r="C299" t="s">
        <v>455</v>
      </c>
      <c r="E299" t="s">
        <v>21</v>
      </c>
      <c r="F299" t="str">
        <f>_xlfn.XLOOKUP($E299,Sheet1!$E:$E,Sheet1!F:F)</f>
        <v>North Ryde</v>
      </c>
      <c r="G299" t="str">
        <f>_xlfn.XLOOKUP($E299,Sheet1!$E:$E,Sheet1!G:G)</f>
        <v>North Ryde [New South Wales]</v>
      </c>
      <c r="I299" t="str">
        <f>_xlfn.XLOOKUP($E299,Sheet1!$E:$E,Sheet1!I:I)</f>
        <v>Default station</v>
      </c>
      <c r="K299" t="s">
        <v>1354</v>
      </c>
      <c r="L299">
        <v>16011520</v>
      </c>
    </row>
    <row r="300" spans="1:12" x14ac:dyDescent="0.25">
      <c r="A300" t="s">
        <v>20</v>
      </c>
      <c r="B300" t="s">
        <v>24</v>
      </c>
      <c r="C300" t="s">
        <v>456</v>
      </c>
      <c r="E300" t="s">
        <v>21</v>
      </c>
      <c r="F300" t="str">
        <f>_xlfn.XLOOKUP($E300,Sheet1!$E:$E,Sheet1!F:F)</f>
        <v>North Ryde</v>
      </c>
      <c r="G300" t="str">
        <f>_xlfn.XLOOKUP($E300,Sheet1!$E:$E,Sheet1!G:G)</f>
        <v>North Ryde [New South Wales]</v>
      </c>
      <c r="I300" t="str">
        <f>_xlfn.XLOOKUP($E300,Sheet1!$E:$E,Sheet1!I:I)</f>
        <v>Default station</v>
      </c>
      <c r="K300" t="s">
        <v>1355</v>
      </c>
      <c r="L300">
        <v>16013432</v>
      </c>
    </row>
    <row r="301" spans="1:12" x14ac:dyDescent="0.25">
      <c r="A301" t="s">
        <v>20</v>
      </c>
      <c r="B301" t="s">
        <v>24</v>
      </c>
      <c r="C301" t="s">
        <v>457</v>
      </c>
      <c r="E301" t="s">
        <v>21</v>
      </c>
      <c r="F301" t="str">
        <f>_xlfn.XLOOKUP($E301,Sheet1!$E:$E,Sheet1!F:F)</f>
        <v>North Ryde</v>
      </c>
      <c r="G301" t="str">
        <f>_xlfn.XLOOKUP($E301,Sheet1!$E:$E,Sheet1!G:G)</f>
        <v>North Ryde [New South Wales]</v>
      </c>
      <c r="I301" t="str">
        <f>_xlfn.XLOOKUP($E301,Sheet1!$E:$E,Sheet1!I:I)</f>
        <v>Default station</v>
      </c>
      <c r="K301" t="s">
        <v>1356</v>
      </c>
      <c r="L301">
        <v>17020683</v>
      </c>
    </row>
    <row r="302" spans="1:12" x14ac:dyDescent="0.25">
      <c r="A302" t="s">
        <v>20</v>
      </c>
      <c r="B302" t="s">
        <v>24</v>
      </c>
      <c r="C302" t="s">
        <v>458</v>
      </c>
      <c r="E302" t="s">
        <v>21</v>
      </c>
      <c r="F302" t="str">
        <f>_xlfn.XLOOKUP($E302,Sheet1!$E:$E,Sheet1!F:F)</f>
        <v>North Ryde</v>
      </c>
      <c r="G302" t="str">
        <f>_xlfn.XLOOKUP($E302,Sheet1!$E:$E,Sheet1!G:G)</f>
        <v>North Ryde [New South Wales]</v>
      </c>
      <c r="I302" t="str">
        <f>_xlfn.XLOOKUP($E302,Sheet1!$E:$E,Sheet1!I:I)</f>
        <v>Default station</v>
      </c>
      <c r="K302" t="s">
        <v>146</v>
      </c>
      <c r="L302">
        <v>37740099</v>
      </c>
    </row>
    <row r="303" spans="1:12" x14ac:dyDescent="0.25">
      <c r="A303" t="s">
        <v>20</v>
      </c>
      <c r="B303" t="s">
        <v>24</v>
      </c>
      <c r="C303" t="s">
        <v>459</v>
      </c>
      <c r="E303" t="s">
        <v>21</v>
      </c>
      <c r="F303" t="str">
        <f>_xlfn.XLOOKUP($E303,Sheet1!$E:$E,Sheet1!F:F)</f>
        <v>North Ryde</v>
      </c>
      <c r="G303" t="str">
        <f>_xlfn.XLOOKUP($E303,Sheet1!$E:$E,Sheet1!G:G)</f>
        <v>North Ryde [New South Wales]</v>
      </c>
      <c r="I303" t="str">
        <f>_xlfn.XLOOKUP($E303,Sheet1!$E:$E,Sheet1!I:I)</f>
        <v>Default station</v>
      </c>
      <c r="K303" t="s">
        <v>1357</v>
      </c>
      <c r="L303">
        <v>170519</v>
      </c>
    </row>
    <row r="304" spans="1:12" x14ac:dyDescent="0.25">
      <c r="A304" t="s">
        <v>20</v>
      </c>
      <c r="B304" t="s">
        <v>24</v>
      </c>
      <c r="C304" t="s">
        <v>460</v>
      </c>
      <c r="E304" t="s">
        <v>21</v>
      </c>
      <c r="F304" t="str">
        <f>_xlfn.XLOOKUP($E304,Sheet1!$E:$E,Sheet1!F:F)</f>
        <v>North Ryde</v>
      </c>
      <c r="G304" t="str">
        <f>_xlfn.XLOOKUP($E304,Sheet1!$E:$E,Sheet1!G:G)</f>
        <v>North Ryde [New South Wales]</v>
      </c>
      <c r="I304" t="str">
        <f>_xlfn.XLOOKUP($E304,Sheet1!$E:$E,Sheet1!I:I)</f>
        <v>Default station</v>
      </c>
      <c r="K304" t="s">
        <v>1358</v>
      </c>
      <c r="L304">
        <v>16011404</v>
      </c>
    </row>
    <row r="305" spans="1:12" x14ac:dyDescent="0.25">
      <c r="A305" t="s">
        <v>20</v>
      </c>
      <c r="B305" t="s">
        <v>24</v>
      </c>
      <c r="C305" t="s">
        <v>461</v>
      </c>
      <c r="E305" t="s">
        <v>21</v>
      </c>
      <c r="F305" t="str">
        <f>_xlfn.XLOOKUP($E305,Sheet1!$E:$E,Sheet1!F:F)</f>
        <v>North Ryde</v>
      </c>
      <c r="G305" t="str">
        <f>_xlfn.XLOOKUP($E305,Sheet1!$E:$E,Sheet1!G:G)</f>
        <v>North Ryde [New South Wales]</v>
      </c>
      <c r="I305" t="str">
        <f>_xlfn.XLOOKUP($E305,Sheet1!$E:$E,Sheet1!I:I)</f>
        <v>Default station</v>
      </c>
      <c r="K305" t="s">
        <v>1359</v>
      </c>
      <c r="L305">
        <v>170408</v>
      </c>
    </row>
    <row r="306" spans="1:12" x14ac:dyDescent="0.25">
      <c r="A306" t="s">
        <v>20</v>
      </c>
      <c r="B306" t="s">
        <v>24</v>
      </c>
      <c r="C306" t="s">
        <v>462</v>
      </c>
      <c r="E306" t="s">
        <v>21</v>
      </c>
      <c r="F306" t="str">
        <f>_xlfn.XLOOKUP($E306,Sheet1!$E:$E,Sheet1!F:F)</f>
        <v>North Ryde</v>
      </c>
      <c r="G306" t="str">
        <f>_xlfn.XLOOKUP($E306,Sheet1!$E:$E,Sheet1!G:G)</f>
        <v>North Ryde [New South Wales]</v>
      </c>
      <c r="I306" t="str">
        <f>_xlfn.XLOOKUP($E306,Sheet1!$E:$E,Sheet1!I:I)</f>
        <v>Default station</v>
      </c>
      <c r="K306" t="s">
        <v>1360</v>
      </c>
      <c r="L306">
        <v>16011500</v>
      </c>
    </row>
    <row r="307" spans="1:12" x14ac:dyDescent="0.25">
      <c r="A307" t="s">
        <v>20</v>
      </c>
      <c r="B307" t="s">
        <v>24</v>
      </c>
      <c r="C307" t="s">
        <v>463</v>
      </c>
      <c r="E307" t="s">
        <v>21</v>
      </c>
      <c r="F307" t="str">
        <f>_xlfn.XLOOKUP($E307,Sheet1!$E:$E,Sheet1!F:F)</f>
        <v>North Ryde</v>
      </c>
      <c r="G307" t="str">
        <f>_xlfn.XLOOKUP($E307,Sheet1!$E:$E,Sheet1!G:G)</f>
        <v>North Ryde [New South Wales]</v>
      </c>
      <c r="I307" t="str">
        <f>_xlfn.XLOOKUP($E307,Sheet1!$E:$E,Sheet1!I:I)</f>
        <v>Default station</v>
      </c>
      <c r="K307" t="s">
        <v>1361</v>
      </c>
      <c r="L307">
        <v>16013034</v>
      </c>
    </row>
    <row r="308" spans="1:12" x14ac:dyDescent="0.25">
      <c r="A308" t="s">
        <v>20</v>
      </c>
      <c r="B308" t="s">
        <v>24</v>
      </c>
      <c r="C308" t="s">
        <v>464</v>
      </c>
      <c r="E308" t="s">
        <v>21</v>
      </c>
      <c r="F308" t="str">
        <f>_xlfn.XLOOKUP($E308,Sheet1!$E:$E,Sheet1!F:F)</f>
        <v>North Ryde</v>
      </c>
      <c r="G308" t="str">
        <f>_xlfn.XLOOKUP($E308,Sheet1!$E:$E,Sheet1!G:G)</f>
        <v>North Ryde [New South Wales]</v>
      </c>
      <c r="I308" t="str">
        <f>_xlfn.XLOOKUP($E308,Sheet1!$E:$E,Sheet1!I:I)</f>
        <v>Default station</v>
      </c>
      <c r="K308" t="s">
        <v>1362</v>
      </c>
      <c r="L308">
        <v>38210122</v>
      </c>
    </row>
    <row r="309" spans="1:12" x14ac:dyDescent="0.25">
      <c r="A309" t="s">
        <v>20</v>
      </c>
      <c r="B309" t="s">
        <v>24</v>
      </c>
      <c r="C309" t="s">
        <v>465</v>
      </c>
      <c r="E309" t="s">
        <v>21</v>
      </c>
      <c r="F309" t="str">
        <f>_xlfn.XLOOKUP($E309,Sheet1!$E:$E,Sheet1!F:F)</f>
        <v>North Ryde</v>
      </c>
      <c r="G309" t="str">
        <f>_xlfn.XLOOKUP($E309,Sheet1!$E:$E,Sheet1!G:G)</f>
        <v>North Ryde [New South Wales]</v>
      </c>
      <c r="I309" t="str">
        <f>_xlfn.XLOOKUP($E309,Sheet1!$E:$E,Sheet1!I:I)</f>
        <v>Default station</v>
      </c>
      <c r="K309" t="s">
        <v>1363</v>
      </c>
      <c r="L309">
        <v>170430</v>
      </c>
    </row>
    <row r="310" spans="1:12" x14ac:dyDescent="0.25">
      <c r="A310" t="s">
        <v>20</v>
      </c>
      <c r="B310" t="s">
        <v>24</v>
      </c>
      <c r="C310" t="s">
        <v>466</v>
      </c>
      <c r="E310" t="s">
        <v>21</v>
      </c>
      <c r="F310" t="str">
        <f>_xlfn.XLOOKUP($E310,Sheet1!$E:$E,Sheet1!F:F)</f>
        <v>North Ryde</v>
      </c>
      <c r="G310" t="str">
        <f>_xlfn.XLOOKUP($E310,Sheet1!$E:$E,Sheet1!G:G)</f>
        <v>North Ryde [New South Wales]</v>
      </c>
      <c r="I310" t="str">
        <f>_xlfn.XLOOKUP($E310,Sheet1!$E:$E,Sheet1!I:I)</f>
        <v>Default station</v>
      </c>
      <c r="K310" t="s">
        <v>1364</v>
      </c>
      <c r="L310">
        <v>16012444</v>
      </c>
    </row>
    <row r="311" spans="1:12" x14ac:dyDescent="0.25">
      <c r="A311" t="s">
        <v>20</v>
      </c>
      <c r="B311" t="s">
        <v>24</v>
      </c>
      <c r="C311" t="s">
        <v>36</v>
      </c>
      <c r="E311" t="s">
        <v>21</v>
      </c>
      <c r="F311" t="str">
        <f>_xlfn.XLOOKUP($E311,Sheet1!$E:$E,Sheet1!F:F)</f>
        <v>North Ryde</v>
      </c>
      <c r="G311" t="str">
        <f>_xlfn.XLOOKUP($E311,Sheet1!$E:$E,Sheet1!G:G)</f>
        <v>North Ryde [New South Wales]</v>
      </c>
      <c r="I311" t="str">
        <f>_xlfn.XLOOKUP($E311,Sheet1!$E:$E,Sheet1!I:I)</f>
        <v>Default station</v>
      </c>
      <c r="K311" t="s">
        <v>1365</v>
      </c>
      <c r="L311">
        <v>382011</v>
      </c>
    </row>
    <row r="312" spans="1:12" x14ac:dyDescent="0.25">
      <c r="A312" t="s">
        <v>20</v>
      </c>
      <c r="B312" t="s">
        <v>24</v>
      </c>
      <c r="C312" t="s">
        <v>467</v>
      </c>
      <c r="E312" t="s">
        <v>21</v>
      </c>
      <c r="F312" t="str">
        <f>_xlfn.XLOOKUP($E312,Sheet1!$E:$E,Sheet1!F:F)</f>
        <v>North Ryde</v>
      </c>
      <c r="G312" t="str">
        <f>_xlfn.XLOOKUP($E312,Sheet1!$E:$E,Sheet1!G:G)</f>
        <v>North Ryde [New South Wales]</v>
      </c>
      <c r="I312" t="str">
        <f>_xlfn.XLOOKUP($E312,Sheet1!$E:$E,Sheet1!I:I)</f>
        <v>Default station</v>
      </c>
      <c r="K312" t="s">
        <v>1366</v>
      </c>
      <c r="L312">
        <v>240109</v>
      </c>
    </row>
    <row r="313" spans="1:12" x14ac:dyDescent="0.25">
      <c r="A313" t="s">
        <v>20</v>
      </c>
      <c r="B313" t="s">
        <v>24</v>
      </c>
      <c r="C313" t="s">
        <v>468</v>
      </c>
      <c r="E313" t="s">
        <v>21</v>
      </c>
      <c r="F313" t="str">
        <f>_xlfn.XLOOKUP($E313,Sheet1!$E:$E,Sheet1!F:F)</f>
        <v>North Ryde</v>
      </c>
      <c r="G313" t="str">
        <f>_xlfn.XLOOKUP($E313,Sheet1!$E:$E,Sheet1!G:G)</f>
        <v>North Ryde [New South Wales]</v>
      </c>
      <c r="I313" t="str">
        <f>_xlfn.XLOOKUP($E313,Sheet1!$E:$E,Sheet1!I:I)</f>
        <v>Default station</v>
      </c>
      <c r="K313" t="s">
        <v>1367</v>
      </c>
      <c r="L313">
        <v>241802</v>
      </c>
    </row>
    <row r="314" spans="1:12" x14ac:dyDescent="0.25">
      <c r="A314" t="s">
        <v>20</v>
      </c>
      <c r="B314" t="s">
        <v>24</v>
      </c>
      <c r="C314" t="s">
        <v>469</v>
      </c>
      <c r="E314" t="s">
        <v>21</v>
      </c>
      <c r="F314" t="str">
        <f>_xlfn.XLOOKUP($E314,Sheet1!$E:$E,Sheet1!F:F)</f>
        <v>North Ryde</v>
      </c>
      <c r="G314" t="str">
        <f>_xlfn.XLOOKUP($E314,Sheet1!$E:$E,Sheet1!G:G)</f>
        <v>North Ryde [New South Wales]</v>
      </c>
      <c r="I314" t="str">
        <f>_xlfn.XLOOKUP($E314,Sheet1!$E:$E,Sheet1!I:I)</f>
        <v>Default station</v>
      </c>
      <c r="K314" t="s">
        <v>1368</v>
      </c>
      <c r="L314">
        <v>38225101</v>
      </c>
    </row>
    <row r="315" spans="1:12" x14ac:dyDescent="0.25">
      <c r="A315" t="s">
        <v>20</v>
      </c>
      <c r="B315" t="s">
        <v>24</v>
      </c>
      <c r="C315" t="s">
        <v>470</v>
      </c>
      <c r="E315" t="s">
        <v>21</v>
      </c>
      <c r="F315" t="str">
        <f>_xlfn.XLOOKUP($E315,Sheet1!$E:$E,Sheet1!F:F)</f>
        <v>North Ryde</v>
      </c>
      <c r="G315" t="str">
        <f>_xlfn.XLOOKUP($E315,Sheet1!$E:$E,Sheet1!G:G)</f>
        <v>North Ryde [New South Wales]</v>
      </c>
      <c r="I315" t="str">
        <f>_xlfn.XLOOKUP($E315,Sheet1!$E:$E,Sheet1!I:I)</f>
        <v>Default station</v>
      </c>
      <c r="K315" t="s">
        <v>1369</v>
      </c>
      <c r="L315">
        <v>16011405</v>
      </c>
    </row>
    <row r="316" spans="1:12" x14ac:dyDescent="0.25">
      <c r="A316" t="s">
        <v>20</v>
      </c>
      <c r="B316" t="s">
        <v>24</v>
      </c>
      <c r="C316" t="s">
        <v>471</v>
      </c>
      <c r="E316" t="s">
        <v>21</v>
      </c>
      <c r="F316" t="str">
        <f>_xlfn.XLOOKUP($E316,Sheet1!$E:$E,Sheet1!F:F)</f>
        <v>North Ryde</v>
      </c>
      <c r="G316" t="str">
        <f>_xlfn.XLOOKUP($E316,Sheet1!$E:$E,Sheet1!G:G)</f>
        <v>North Ryde [New South Wales]</v>
      </c>
      <c r="I316" t="str">
        <f>_xlfn.XLOOKUP($E316,Sheet1!$E:$E,Sheet1!I:I)</f>
        <v>Default station</v>
      </c>
      <c r="K316" t="s">
        <v>1370</v>
      </c>
      <c r="L316">
        <v>16013416</v>
      </c>
    </row>
    <row r="317" spans="1:12" x14ac:dyDescent="0.25">
      <c r="A317" t="s">
        <v>20</v>
      </c>
      <c r="B317" t="s">
        <v>24</v>
      </c>
      <c r="C317" t="s">
        <v>472</v>
      </c>
      <c r="E317" t="s">
        <v>21</v>
      </c>
      <c r="F317" t="str">
        <f>_xlfn.XLOOKUP($E317,Sheet1!$E:$E,Sheet1!F:F)</f>
        <v>North Ryde</v>
      </c>
      <c r="G317" t="str">
        <f>_xlfn.XLOOKUP($E317,Sheet1!$E:$E,Sheet1!G:G)</f>
        <v>North Ryde [New South Wales]</v>
      </c>
      <c r="I317" t="str">
        <f>_xlfn.XLOOKUP($E317,Sheet1!$E:$E,Sheet1!I:I)</f>
        <v>Default station</v>
      </c>
      <c r="K317" t="s">
        <v>1371</v>
      </c>
      <c r="L317">
        <v>16012477</v>
      </c>
    </row>
    <row r="318" spans="1:12" x14ac:dyDescent="0.25">
      <c r="A318" t="s">
        <v>20</v>
      </c>
      <c r="B318" t="s">
        <v>24</v>
      </c>
      <c r="C318" t="s">
        <v>473</v>
      </c>
      <c r="E318" t="s">
        <v>21</v>
      </c>
      <c r="F318" t="str">
        <f>_xlfn.XLOOKUP($E318,Sheet1!$E:$E,Sheet1!F:F)</f>
        <v>North Ryde</v>
      </c>
      <c r="G318" t="str">
        <f>_xlfn.XLOOKUP($E318,Sheet1!$E:$E,Sheet1!G:G)</f>
        <v>North Ryde [New South Wales]</v>
      </c>
      <c r="I318" t="str">
        <f>_xlfn.XLOOKUP($E318,Sheet1!$E:$E,Sheet1!I:I)</f>
        <v>Default station</v>
      </c>
      <c r="K318" t="s">
        <v>1372</v>
      </c>
      <c r="L318">
        <v>16011391</v>
      </c>
    </row>
    <row r="319" spans="1:12" x14ac:dyDescent="0.25">
      <c r="A319" t="s">
        <v>20</v>
      </c>
      <c r="B319" t="s">
        <v>24</v>
      </c>
      <c r="C319" t="s">
        <v>474</v>
      </c>
      <c r="E319" t="s">
        <v>21</v>
      </c>
      <c r="F319" t="str">
        <f>_xlfn.XLOOKUP($E319,Sheet1!$E:$E,Sheet1!F:F)</f>
        <v>North Ryde</v>
      </c>
      <c r="G319" t="str">
        <f>_xlfn.XLOOKUP($E319,Sheet1!$E:$E,Sheet1!G:G)</f>
        <v>North Ryde [New South Wales]</v>
      </c>
      <c r="I319" t="str">
        <f>_xlfn.XLOOKUP($E319,Sheet1!$E:$E,Sheet1!I:I)</f>
        <v>Default station</v>
      </c>
      <c r="K319" t="s">
        <v>67</v>
      </c>
      <c r="L319">
        <v>170691</v>
      </c>
    </row>
    <row r="320" spans="1:12" x14ac:dyDescent="0.25">
      <c r="A320" t="s">
        <v>20</v>
      </c>
      <c r="B320" t="s">
        <v>24</v>
      </c>
      <c r="C320" t="s">
        <v>475</v>
      </c>
      <c r="E320" t="s">
        <v>21</v>
      </c>
      <c r="F320" t="str">
        <f>_xlfn.XLOOKUP($E320,Sheet1!$E:$E,Sheet1!F:F)</f>
        <v>North Ryde</v>
      </c>
      <c r="G320" t="str">
        <f>_xlfn.XLOOKUP($E320,Sheet1!$E:$E,Sheet1!G:G)</f>
        <v>North Ryde [New South Wales]</v>
      </c>
      <c r="I320" t="str">
        <f>_xlfn.XLOOKUP($E320,Sheet1!$E:$E,Sheet1!I:I)</f>
        <v>Default station</v>
      </c>
      <c r="K320" t="s">
        <v>1373</v>
      </c>
      <c r="L320">
        <v>38210107</v>
      </c>
    </row>
    <row r="321" spans="1:12" x14ac:dyDescent="0.25">
      <c r="A321" t="s">
        <v>20</v>
      </c>
      <c r="B321" t="s">
        <v>24</v>
      </c>
      <c r="C321" t="s">
        <v>476</v>
      </c>
      <c r="E321" t="s">
        <v>21</v>
      </c>
      <c r="F321" t="str">
        <f>_xlfn.XLOOKUP($E321,Sheet1!$E:$E,Sheet1!F:F)</f>
        <v>North Ryde</v>
      </c>
      <c r="G321" t="str">
        <f>_xlfn.XLOOKUP($E321,Sheet1!$E:$E,Sheet1!G:G)</f>
        <v>North Ryde [New South Wales]</v>
      </c>
      <c r="I321" t="str">
        <f>_xlfn.XLOOKUP($E321,Sheet1!$E:$E,Sheet1!I:I)</f>
        <v>Default station</v>
      </c>
      <c r="K321" t="s">
        <v>1374</v>
      </c>
      <c r="L321">
        <v>241316</v>
      </c>
    </row>
    <row r="322" spans="1:12" x14ac:dyDescent="0.25">
      <c r="A322" t="s">
        <v>20</v>
      </c>
      <c r="B322" t="s">
        <v>24</v>
      </c>
      <c r="C322" t="s">
        <v>477</v>
      </c>
      <c r="E322" t="s">
        <v>21</v>
      </c>
      <c r="F322" t="str">
        <f>_xlfn.XLOOKUP($E322,Sheet1!$E:$E,Sheet1!F:F)</f>
        <v>North Ryde</v>
      </c>
      <c r="G322" t="str">
        <f>_xlfn.XLOOKUP($E322,Sheet1!$E:$E,Sheet1!G:G)</f>
        <v>North Ryde [New South Wales]</v>
      </c>
      <c r="I322" t="str">
        <f>_xlfn.XLOOKUP($E322,Sheet1!$E:$E,Sheet1!I:I)</f>
        <v>Default station</v>
      </c>
      <c r="K322" t="s">
        <v>1375</v>
      </c>
      <c r="L322">
        <v>16013781</v>
      </c>
    </row>
    <row r="323" spans="1:12" x14ac:dyDescent="0.25">
      <c r="A323" t="s">
        <v>20</v>
      </c>
      <c r="B323" t="s">
        <v>24</v>
      </c>
      <c r="C323" t="s">
        <v>478</v>
      </c>
      <c r="E323" t="s">
        <v>21</v>
      </c>
      <c r="F323" t="str">
        <f>_xlfn.XLOOKUP($E323,Sheet1!$E:$E,Sheet1!F:F)</f>
        <v>North Ryde</v>
      </c>
      <c r="G323" t="str">
        <f>_xlfn.XLOOKUP($E323,Sheet1!$E:$E,Sheet1!G:G)</f>
        <v>North Ryde [New South Wales]</v>
      </c>
      <c r="I323" t="str">
        <f>_xlfn.XLOOKUP($E323,Sheet1!$E:$E,Sheet1!I:I)</f>
        <v>Default station</v>
      </c>
      <c r="K323" t="s">
        <v>1376</v>
      </c>
      <c r="L323">
        <v>38235005</v>
      </c>
    </row>
    <row r="324" spans="1:12" x14ac:dyDescent="0.25">
      <c r="A324" t="s">
        <v>20</v>
      </c>
      <c r="B324" t="s">
        <v>24</v>
      </c>
      <c r="C324" t="s">
        <v>479</v>
      </c>
      <c r="E324" t="s">
        <v>21</v>
      </c>
      <c r="F324" t="str">
        <f>_xlfn.XLOOKUP($E324,Sheet1!$E:$E,Sheet1!F:F)</f>
        <v>North Ryde</v>
      </c>
      <c r="G324" t="str">
        <f>_xlfn.XLOOKUP($E324,Sheet1!$E:$E,Sheet1!G:G)</f>
        <v>North Ryde [New South Wales]</v>
      </c>
      <c r="I324" t="str">
        <f>_xlfn.XLOOKUP($E324,Sheet1!$E:$E,Sheet1!I:I)</f>
        <v>Default station</v>
      </c>
      <c r="K324" t="s">
        <v>150</v>
      </c>
      <c r="L324">
        <v>23440263</v>
      </c>
    </row>
    <row r="325" spans="1:12" x14ac:dyDescent="0.25">
      <c r="A325" t="s">
        <v>20</v>
      </c>
      <c r="B325" t="s">
        <v>24</v>
      </c>
      <c r="C325" t="s">
        <v>480</v>
      </c>
      <c r="E325" t="s">
        <v>21</v>
      </c>
      <c r="F325" t="str">
        <f>_xlfn.XLOOKUP($E325,Sheet1!$E:$E,Sheet1!F:F)</f>
        <v>North Ryde</v>
      </c>
      <c r="G325" t="str">
        <f>_xlfn.XLOOKUP($E325,Sheet1!$E:$E,Sheet1!G:G)</f>
        <v>North Ryde [New South Wales]</v>
      </c>
      <c r="I325" t="str">
        <f>_xlfn.XLOOKUP($E325,Sheet1!$E:$E,Sheet1!I:I)</f>
        <v>Default station</v>
      </c>
      <c r="K325" t="s">
        <v>1377</v>
      </c>
      <c r="L325">
        <v>38280128</v>
      </c>
    </row>
    <row r="326" spans="1:12" x14ac:dyDescent="0.25">
      <c r="A326" t="s">
        <v>20</v>
      </c>
      <c r="B326" t="s">
        <v>24</v>
      </c>
      <c r="C326" t="s">
        <v>481</v>
      </c>
      <c r="E326" t="s">
        <v>21</v>
      </c>
      <c r="F326" t="str">
        <f>_xlfn.XLOOKUP($E326,Sheet1!$E:$E,Sheet1!F:F)</f>
        <v>North Ryde</v>
      </c>
      <c r="G326" t="str">
        <f>_xlfn.XLOOKUP($E326,Sheet1!$E:$E,Sheet1!G:G)</f>
        <v>North Ryde [New South Wales]</v>
      </c>
      <c r="I326" t="str">
        <f>_xlfn.XLOOKUP($E326,Sheet1!$E:$E,Sheet1!I:I)</f>
        <v>Default station</v>
      </c>
      <c r="K326" t="s">
        <v>1378</v>
      </c>
      <c r="L326">
        <v>241810</v>
      </c>
    </row>
    <row r="327" spans="1:12" x14ac:dyDescent="0.25">
      <c r="A327" t="s">
        <v>20</v>
      </c>
      <c r="B327" t="s">
        <v>24</v>
      </c>
      <c r="C327" t="s">
        <v>482</v>
      </c>
      <c r="E327" t="s">
        <v>21</v>
      </c>
      <c r="F327" t="str">
        <f>_xlfn.XLOOKUP($E327,Sheet1!$E:$E,Sheet1!F:F)</f>
        <v>North Ryde</v>
      </c>
      <c r="G327" t="str">
        <f>_xlfn.XLOOKUP($E327,Sheet1!$E:$E,Sheet1!G:G)</f>
        <v>North Ryde [New South Wales]</v>
      </c>
      <c r="I327" t="str">
        <f>_xlfn.XLOOKUP($E327,Sheet1!$E:$E,Sheet1!I:I)</f>
        <v>Default station</v>
      </c>
      <c r="K327" t="s">
        <v>1379</v>
      </c>
      <c r="L327">
        <v>22910027</v>
      </c>
    </row>
    <row r="328" spans="1:12" x14ac:dyDescent="0.25">
      <c r="A328" t="s">
        <v>20</v>
      </c>
      <c r="B328" t="s">
        <v>24</v>
      </c>
      <c r="C328" t="s">
        <v>483</v>
      </c>
      <c r="E328" t="s">
        <v>21</v>
      </c>
      <c r="F328" t="str">
        <f>_xlfn.XLOOKUP($E328,Sheet1!$E:$E,Sheet1!F:F)</f>
        <v>North Ryde</v>
      </c>
      <c r="G328" t="str">
        <f>_xlfn.XLOOKUP($E328,Sheet1!$E:$E,Sheet1!G:G)</f>
        <v>North Ryde [New South Wales]</v>
      </c>
      <c r="I328" t="str">
        <f>_xlfn.XLOOKUP($E328,Sheet1!$E:$E,Sheet1!I:I)</f>
        <v>Default station</v>
      </c>
      <c r="K328" t="s">
        <v>1380</v>
      </c>
      <c r="L328">
        <v>170504</v>
      </c>
    </row>
    <row r="329" spans="1:12" x14ac:dyDescent="0.25">
      <c r="A329" t="s">
        <v>20</v>
      </c>
      <c r="B329" t="s">
        <v>24</v>
      </c>
      <c r="C329" t="s">
        <v>484</v>
      </c>
      <c r="E329" t="s">
        <v>21</v>
      </c>
      <c r="F329" t="str">
        <f>_xlfn.XLOOKUP($E329,Sheet1!$E:$E,Sheet1!F:F)</f>
        <v>North Ryde</v>
      </c>
      <c r="G329" t="str">
        <f>_xlfn.XLOOKUP($E329,Sheet1!$E:$E,Sheet1!G:G)</f>
        <v>North Ryde [New South Wales]</v>
      </c>
      <c r="I329" t="str">
        <f>_xlfn.XLOOKUP($E329,Sheet1!$E:$E,Sheet1!I:I)</f>
        <v>Default station</v>
      </c>
      <c r="K329" t="s">
        <v>1381</v>
      </c>
      <c r="L329">
        <v>16016708</v>
      </c>
    </row>
    <row r="330" spans="1:12" x14ac:dyDescent="0.25">
      <c r="A330" t="s">
        <v>20</v>
      </c>
      <c r="B330" t="s">
        <v>24</v>
      </c>
      <c r="C330" t="s">
        <v>485</v>
      </c>
      <c r="E330" t="s">
        <v>21</v>
      </c>
      <c r="F330" t="str">
        <f>_xlfn.XLOOKUP($E330,Sheet1!$E:$E,Sheet1!F:F)</f>
        <v>North Ryde</v>
      </c>
      <c r="G330" t="str">
        <f>_xlfn.XLOOKUP($E330,Sheet1!$E:$E,Sheet1!G:G)</f>
        <v>North Ryde [New South Wales]</v>
      </c>
      <c r="I330" t="str">
        <f>_xlfn.XLOOKUP($E330,Sheet1!$E:$E,Sheet1!I:I)</f>
        <v>Default station</v>
      </c>
      <c r="K330" t="s">
        <v>1382</v>
      </c>
      <c r="L330">
        <v>16013780</v>
      </c>
    </row>
    <row r="331" spans="1:12" x14ac:dyDescent="0.25">
      <c r="A331" t="s">
        <v>20</v>
      </c>
      <c r="B331" t="s">
        <v>24</v>
      </c>
      <c r="C331" t="s">
        <v>486</v>
      </c>
      <c r="E331" t="s">
        <v>21</v>
      </c>
      <c r="F331" t="str">
        <f>_xlfn.XLOOKUP($E331,Sheet1!$E:$E,Sheet1!F:F)</f>
        <v>North Ryde</v>
      </c>
      <c r="G331" t="str">
        <f>_xlfn.XLOOKUP($E331,Sheet1!$E:$E,Sheet1!G:G)</f>
        <v>North Ryde [New South Wales]</v>
      </c>
      <c r="I331" t="str">
        <f>_xlfn.XLOOKUP($E331,Sheet1!$E:$E,Sheet1!I:I)</f>
        <v>Default station</v>
      </c>
      <c r="K331" t="s">
        <v>60</v>
      </c>
      <c r="L331">
        <v>20042010</v>
      </c>
    </row>
    <row r="332" spans="1:12" x14ac:dyDescent="0.25">
      <c r="A332" t="s">
        <v>20</v>
      </c>
      <c r="B332" t="s">
        <v>24</v>
      </c>
      <c r="C332" t="s">
        <v>487</v>
      </c>
      <c r="E332" t="s">
        <v>21</v>
      </c>
      <c r="F332" t="str">
        <f>_xlfn.XLOOKUP($E332,Sheet1!$E:$E,Sheet1!F:F)</f>
        <v>North Ryde</v>
      </c>
      <c r="G332" t="str">
        <f>_xlfn.XLOOKUP($E332,Sheet1!$E:$E,Sheet1!G:G)</f>
        <v>North Ryde [New South Wales]</v>
      </c>
      <c r="I332" t="str">
        <f>_xlfn.XLOOKUP($E332,Sheet1!$E:$E,Sheet1!I:I)</f>
        <v>Default station</v>
      </c>
      <c r="K332" t="s">
        <v>1383</v>
      </c>
      <c r="L332">
        <v>170265</v>
      </c>
    </row>
    <row r="333" spans="1:12" x14ac:dyDescent="0.25">
      <c r="A333" t="s">
        <v>20</v>
      </c>
      <c r="B333" t="s">
        <v>24</v>
      </c>
      <c r="C333" t="s">
        <v>488</v>
      </c>
      <c r="E333" t="s">
        <v>21</v>
      </c>
      <c r="F333" t="str">
        <f>_xlfn.XLOOKUP($E333,Sheet1!$E:$E,Sheet1!F:F)</f>
        <v>North Ryde</v>
      </c>
      <c r="G333" t="str">
        <f>_xlfn.XLOOKUP($E333,Sheet1!$E:$E,Sheet1!G:G)</f>
        <v>North Ryde [New South Wales]</v>
      </c>
      <c r="I333" t="str">
        <f>_xlfn.XLOOKUP($E333,Sheet1!$E:$E,Sheet1!I:I)</f>
        <v>Default station</v>
      </c>
      <c r="K333" t="s">
        <v>1384</v>
      </c>
      <c r="L333">
        <v>16016298</v>
      </c>
    </row>
    <row r="334" spans="1:12" x14ac:dyDescent="0.25">
      <c r="A334" t="s">
        <v>20</v>
      </c>
      <c r="B334" t="s">
        <v>24</v>
      </c>
      <c r="C334" t="s">
        <v>489</v>
      </c>
      <c r="E334" t="s">
        <v>21</v>
      </c>
      <c r="F334" t="str">
        <f>_xlfn.XLOOKUP($E334,Sheet1!$E:$E,Sheet1!F:F)</f>
        <v>North Ryde</v>
      </c>
      <c r="G334" t="str">
        <f>_xlfn.XLOOKUP($E334,Sheet1!$E:$E,Sheet1!G:G)</f>
        <v>North Ryde [New South Wales]</v>
      </c>
      <c r="I334" t="str">
        <f>_xlfn.XLOOKUP($E334,Sheet1!$E:$E,Sheet1!I:I)</f>
        <v>Default station</v>
      </c>
      <c r="K334" t="s">
        <v>1385</v>
      </c>
      <c r="L334">
        <v>16011421</v>
      </c>
    </row>
    <row r="335" spans="1:12" x14ac:dyDescent="0.25">
      <c r="A335" t="s">
        <v>20</v>
      </c>
      <c r="B335" t="s">
        <v>24</v>
      </c>
      <c r="C335" t="s">
        <v>490</v>
      </c>
      <c r="E335" t="s">
        <v>21</v>
      </c>
      <c r="F335" t="str">
        <f>_xlfn.XLOOKUP($E335,Sheet1!$E:$E,Sheet1!F:F)</f>
        <v>North Ryde</v>
      </c>
      <c r="G335" t="str">
        <f>_xlfn.XLOOKUP($E335,Sheet1!$E:$E,Sheet1!G:G)</f>
        <v>North Ryde [New South Wales]</v>
      </c>
      <c r="I335" t="str">
        <f>_xlfn.XLOOKUP($E335,Sheet1!$E:$E,Sheet1!I:I)</f>
        <v>Default station</v>
      </c>
      <c r="K335" t="s">
        <v>1386</v>
      </c>
      <c r="L335">
        <v>38210101</v>
      </c>
    </row>
    <row r="336" spans="1:12" x14ac:dyDescent="0.25">
      <c r="A336" t="s">
        <v>20</v>
      </c>
      <c r="B336" t="s">
        <v>24</v>
      </c>
      <c r="C336" t="s">
        <v>491</v>
      </c>
      <c r="E336" t="s">
        <v>21</v>
      </c>
      <c r="F336" t="str">
        <f>_xlfn.XLOOKUP($E336,Sheet1!$E:$E,Sheet1!F:F)</f>
        <v>North Ryde</v>
      </c>
      <c r="G336" t="str">
        <f>_xlfn.XLOOKUP($E336,Sheet1!$E:$E,Sheet1!G:G)</f>
        <v>North Ryde [New South Wales]</v>
      </c>
      <c r="I336" t="str">
        <f>_xlfn.XLOOKUP($E336,Sheet1!$E:$E,Sheet1!I:I)</f>
        <v>Default station</v>
      </c>
      <c r="K336" t="s">
        <v>1387</v>
      </c>
      <c r="L336">
        <v>170133</v>
      </c>
    </row>
    <row r="337" spans="1:12" x14ac:dyDescent="0.25">
      <c r="A337" t="s">
        <v>20</v>
      </c>
      <c r="B337" t="s">
        <v>24</v>
      </c>
      <c r="C337" t="s">
        <v>492</v>
      </c>
      <c r="E337" t="s">
        <v>21</v>
      </c>
      <c r="F337" t="str">
        <f>_xlfn.XLOOKUP($E337,Sheet1!$E:$E,Sheet1!F:F)</f>
        <v>North Ryde</v>
      </c>
      <c r="G337" t="str">
        <f>_xlfn.XLOOKUP($E337,Sheet1!$E:$E,Sheet1!G:G)</f>
        <v>North Ryde [New South Wales]</v>
      </c>
      <c r="I337" t="str">
        <f>_xlfn.XLOOKUP($E337,Sheet1!$E:$E,Sheet1!I:I)</f>
        <v>Default station</v>
      </c>
      <c r="K337" t="s">
        <v>1388</v>
      </c>
      <c r="L337">
        <v>170423</v>
      </c>
    </row>
    <row r="338" spans="1:12" x14ac:dyDescent="0.25">
      <c r="A338" t="s">
        <v>20</v>
      </c>
      <c r="B338" t="s">
        <v>24</v>
      </c>
      <c r="C338" t="s">
        <v>493</v>
      </c>
      <c r="E338" t="s">
        <v>21</v>
      </c>
      <c r="F338" t="str">
        <f>_xlfn.XLOOKUP($E338,Sheet1!$E:$E,Sheet1!F:F)</f>
        <v>North Ryde</v>
      </c>
      <c r="G338" t="str">
        <f>_xlfn.XLOOKUP($E338,Sheet1!$E:$E,Sheet1!G:G)</f>
        <v>North Ryde [New South Wales]</v>
      </c>
      <c r="I338" t="str">
        <f>_xlfn.XLOOKUP($E338,Sheet1!$E:$E,Sheet1!I:I)</f>
        <v>Default station</v>
      </c>
      <c r="K338" t="s">
        <v>1389</v>
      </c>
      <c r="L338">
        <v>170508</v>
      </c>
    </row>
    <row r="339" spans="1:12" x14ac:dyDescent="0.25">
      <c r="A339" t="s">
        <v>20</v>
      </c>
      <c r="B339" t="s">
        <v>24</v>
      </c>
      <c r="C339" t="s">
        <v>494</v>
      </c>
      <c r="E339" t="s">
        <v>21</v>
      </c>
      <c r="F339" t="str">
        <f>_xlfn.XLOOKUP($E339,Sheet1!$E:$E,Sheet1!F:F)</f>
        <v>North Ryde</v>
      </c>
      <c r="G339" t="str">
        <f>_xlfn.XLOOKUP($E339,Sheet1!$E:$E,Sheet1!G:G)</f>
        <v>North Ryde [New South Wales]</v>
      </c>
      <c r="I339" t="str">
        <f>_xlfn.XLOOKUP($E339,Sheet1!$E:$E,Sheet1!I:I)</f>
        <v>Default station</v>
      </c>
      <c r="K339" t="s">
        <v>1390</v>
      </c>
      <c r="L339">
        <v>241915</v>
      </c>
    </row>
    <row r="340" spans="1:12" x14ac:dyDescent="0.25">
      <c r="A340" t="s">
        <v>20</v>
      </c>
      <c r="B340" t="s">
        <v>24</v>
      </c>
      <c r="C340" t="s">
        <v>495</v>
      </c>
      <c r="E340" t="s">
        <v>21</v>
      </c>
      <c r="F340" t="str">
        <f>_xlfn.XLOOKUP($E340,Sheet1!$E:$E,Sheet1!F:F)</f>
        <v>North Ryde</v>
      </c>
      <c r="G340" t="str">
        <f>_xlfn.XLOOKUP($E340,Sheet1!$E:$E,Sheet1!G:G)</f>
        <v>North Ryde [New South Wales]</v>
      </c>
      <c r="I340" t="str">
        <f>_xlfn.XLOOKUP($E340,Sheet1!$E:$E,Sheet1!I:I)</f>
        <v>Default station</v>
      </c>
      <c r="K340" t="s">
        <v>1391</v>
      </c>
      <c r="L340">
        <v>16016310</v>
      </c>
    </row>
    <row r="341" spans="1:12" x14ac:dyDescent="0.25">
      <c r="A341" t="s">
        <v>20</v>
      </c>
      <c r="B341" t="s">
        <v>24</v>
      </c>
      <c r="C341" t="s">
        <v>496</v>
      </c>
      <c r="E341" t="s">
        <v>21</v>
      </c>
      <c r="F341" t="str">
        <f>_xlfn.XLOOKUP($E341,Sheet1!$E:$E,Sheet1!F:F)</f>
        <v>North Ryde</v>
      </c>
      <c r="G341" t="str">
        <f>_xlfn.XLOOKUP($E341,Sheet1!$E:$E,Sheet1!G:G)</f>
        <v>North Ryde [New South Wales]</v>
      </c>
      <c r="I341" t="str">
        <f>_xlfn.XLOOKUP($E341,Sheet1!$E:$E,Sheet1!I:I)</f>
        <v>Default station</v>
      </c>
      <c r="K341" t="s">
        <v>1392</v>
      </c>
      <c r="L341">
        <v>239011</v>
      </c>
    </row>
    <row r="342" spans="1:12" x14ac:dyDescent="0.25">
      <c r="A342" t="s">
        <v>20</v>
      </c>
      <c r="B342" t="s">
        <v>24</v>
      </c>
      <c r="C342" t="s">
        <v>497</v>
      </c>
      <c r="E342" t="s">
        <v>21</v>
      </c>
      <c r="F342" t="str">
        <f>_xlfn.XLOOKUP($E342,Sheet1!$E:$E,Sheet1!F:F)</f>
        <v>North Ryde</v>
      </c>
      <c r="G342" t="str">
        <f>_xlfn.XLOOKUP($E342,Sheet1!$E:$E,Sheet1!G:G)</f>
        <v>North Ryde [New South Wales]</v>
      </c>
      <c r="I342" t="str">
        <f>_xlfn.XLOOKUP($E342,Sheet1!$E:$E,Sheet1!I:I)</f>
        <v>Default station</v>
      </c>
      <c r="K342" t="s">
        <v>1393</v>
      </c>
      <c r="L342">
        <v>170301</v>
      </c>
    </row>
    <row r="343" spans="1:12" x14ac:dyDescent="0.25">
      <c r="A343" t="s">
        <v>20</v>
      </c>
      <c r="B343" t="s">
        <v>24</v>
      </c>
      <c r="C343" t="s">
        <v>498</v>
      </c>
      <c r="E343" t="s">
        <v>21</v>
      </c>
      <c r="F343" t="str">
        <f>_xlfn.XLOOKUP($E343,Sheet1!$E:$E,Sheet1!F:F)</f>
        <v>North Ryde</v>
      </c>
      <c r="G343" t="str">
        <f>_xlfn.XLOOKUP($E343,Sheet1!$E:$E,Sheet1!G:G)</f>
        <v>North Ryde [New South Wales]</v>
      </c>
      <c r="I343" t="str">
        <f>_xlfn.XLOOKUP($E343,Sheet1!$E:$E,Sheet1!I:I)</f>
        <v>Default station</v>
      </c>
      <c r="K343" t="s">
        <v>1394</v>
      </c>
      <c r="L343">
        <v>170152</v>
      </c>
    </row>
    <row r="344" spans="1:12" x14ac:dyDescent="0.25">
      <c r="A344" t="s">
        <v>20</v>
      </c>
      <c r="B344" t="s">
        <v>24</v>
      </c>
      <c r="C344" t="s">
        <v>499</v>
      </c>
      <c r="E344" t="s">
        <v>21</v>
      </c>
      <c r="F344" t="str">
        <f>_xlfn.XLOOKUP($E344,Sheet1!$E:$E,Sheet1!F:F)</f>
        <v>North Ryde</v>
      </c>
      <c r="G344" t="str">
        <f>_xlfn.XLOOKUP($E344,Sheet1!$E:$E,Sheet1!G:G)</f>
        <v>North Ryde [New South Wales]</v>
      </c>
      <c r="I344" t="str">
        <f>_xlfn.XLOOKUP($E344,Sheet1!$E:$E,Sheet1!I:I)</f>
        <v>Default station</v>
      </c>
      <c r="K344" t="s">
        <v>1395</v>
      </c>
      <c r="L344">
        <v>304001</v>
      </c>
    </row>
    <row r="345" spans="1:12" x14ac:dyDescent="0.25">
      <c r="A345" t="s">
        <v>20</v>
      </c>
      <c r="B345" t="s">
        <v>24</v>
      </c>
      <c r="C345" t="s">
        <v>500</v>
      </c>
      <c r="E345" t="s">
        <v>21</v>
      </c>
      <c r="F345" t="str">
        <f>_xlfn.XLOOKUP($E345,Sheet1!$E:$E,Sheet1!F:F)</f>
        <v>North Ryde</v>
      </c>
      <c r="G345" t="str">
        <f>_xlfn.XLOOKUP($E345,Sheet1!$E:$E,Sheet1!G:G)</f>
        <v>North Ryde [New South Wales]</v>
      </c>
      <c r="I345" t="str">
        <f>_xlfn.XLOOKUP($E345,Sheet1!$E:$E,Sheet1!I:I)</f>
        <v>Default station</v>
      </c>
      <c r="K345" t="s">
        <v>1396</v>
      </c>
      <c r="L345">
        <v>241730</v>
      </c>
    </row>
    <row r="346" spans="1:12" x14ac:dyDescent="0.25">
      <c r="A346" t="s">
        <v>20</v>
      </c>
      <c r="B346" t="s">
        <v>24</v>
      </c>
      <c r="C346" t="s">
        <v>501</v>
      </c>
      <c r="E346" t="s">
        <v>21</v>
      </c>
      <c r="F346" t="str">
        <f>_xlfn.XLOOKUP($E346,Sheet1!$E:$E,Sheet1!F:F)</f>
        <v>North Ryde</v>
      </c>
      <c r="G346" t="str">
        <f>_xlfn.XLOOKUP($E346,Sheet1!$E:$E,Sheet1!G:G)</f>
        <v>North Ryde [New South Wales]</v>
      </c>
      <c r="I346" t="str">
        <f>_xlfn.XLOOKUP($E346,Sheet1!$E:$E,Sheet1!I:I)</f>
        <v>Default station</v>
      </c>
      <c r="K346" t="s">
        <v>1397</v>
      </c>
      <c r="L346">
        <v>16013413</v>
      </c>
    </row>
    <row r="347" spans="1:12" x14ac:dyDescent="0.25">
      <c r="A347" t="s">
        <v>20</v>
      </c>
      <c r="B347" t="s">
        <v>24</v>
      </c>
      <c r="C347" t="s">
        <v>502</v>
      </c>
      <c r="E347" t="s">
        <v>21</v>
      </c>
      <c r="F347" t="str">
        <f>_xlfn.XLOOKUP($E347,Sheet1!$E:$E,Sheet1!F:F)</f>
        <v>North Ryde</v>
      </c>
      <c r="G347" t="str">
        <f>_xlfn.XLOOKUP($E347,Sheet1!$E:$E,Sheet1!G:G)</f>
        <v>North Ryde [New South Wales]</v>
      </c>
      <c r="I347" t="str">
        <f>_xlfn.XLOOKUP($E347,Sheet1!$E:$E,Sheet1!I:I)</f>
        <v>Default station</v>
      </c>
      <c r="K347" t="s">
        <v>1398</v>
      </c>
      <c r="L347">
        <v>200413</v>
      </c>
    </row>
    <row r="348" spans="1:12" x14ac:dyDescent="0.25">
      <c r="A348" t="s">
        <v>20</v>
      </c>
      <c r="B348" t="s">
        <v>24</v>
      </c>
      <c r="C348" t="s">
        <v>503</v>
      </c>
      <c r="E348" t="s">
        <v>21</v>
      </c>
      <c r="F348" t="str">
        <f>_xlfn.XLOOKUP($E348,Sheet1!$E:$E,Sheet1!F:F)</f>
        <v>North Ryde</v>
      </c>
      <c r="G348" t="str">
        <f>_xlfn.XLOOKUP($E348,Sheet1!$E:$E,Sheet1!G:G)</f>
        <v>North Ryde [New South Wales]</v>
      </c>
      <c r="I348" t="str">
        <f>_xlfn.XLOOKUP($E348,Sheet1!$E:$E,Sheet1!I:I)</f>
        <v>Default station</v>
      </c>
      <c r="K348" t="s">
        <v>1399</v>
      </c>
      <c r="L348">
        <v>16014425</v>
      </c>
    </row>
    <row r="349" spans="1:12" x14ac:dyDescent="0.25">
      <c r="A349" t="s">
        <v>20</v>
      </c>
      <c r="B349" t="s">
        <v>24</v>
      </c>
      <c r="C349" t="s">
        <v>504</v>
      </c>
      <c r="E349" t="s">
        <v>21</v>
      </c>
      <c r="F349" t="str">
        <f>_xlfn.XLOOKUP($E349,Sheet1!$E:$E,Sheet1!F:F)</f>
        <v>North Ryde</v>
      </c>
      <c r="G349" t="str">
        <f>_xlfn.XLOOKUP($E349,Sheet1!$E:$E,Sheet1!G:G)</f>
        <v>North Ryde [New South Wales]</v>
      </c>
      <c r="I349" t="str">
        <f>_xlfn.XLOOKUP($E349,Sheet1!$E:$E,Sheet1!I:I)</f>
        <v>Default station</v>
      </c>
      <c r="K349" t="s">
        <v>1400</v>
      </c>
      <c r="L349">
        <v>241818</v>
      </c>
    </row>
    <row r="350" spans="1:12" x14ac:dyDescent="0.25">
      <c r="A350" t="s">
        <v>20</v>
      </c>
      <c r="B350" t="s">
        <v>24</v>
      </c>
      <c r="C350" t="s">
        <v>505</v>
      </c>
      <c r="E350" t="s">
        <v>21</v>
      </c>
      <c r="F350" t="str">
        <f>_xlfn.XLOOKUP($E350,Sheet1!$E:$E,Sheet1!F:F)</f>
        <v>North Ryde</v>
      </c>
      <c r="G350" t="str">
        <f>_xlfn.XLOOKUP($E350,Sheet1!$E:$E,Sheet1!G:G)</f>
        <v>North Ryde [New South Wales]</v>
      </c>
      <c r="I350" t="str">
        <f>_xlfn.XLOOKUP($E350,Sheet1!$E:$E,Sheet1!I:I)</f>
        <v>Default station</v>
      </c>
      <c r="K350" t="s">
        <v>1401</v>
      </c>
      <c r="L350">
        <v>38270053</v>
      </c>
    </row>
    <row r="351" spans="1:12" x14ac:dyDescent="0.25">
      <c r="A351" t="s">
        <v>20</v>
      </c>
      <c r="B351" t="s">
        <v>24</v>
      </c>
      <c r="C351" t="s">
        <v>506</v>
      </c>
      <c r="E351" t="s">
        <v>21</v>
      </c>
      <c r="F351" t="str">
        <f>_xlfn.XLOOKUP($E351,Sheet1!$E:$E,Sheet1!F:F)</f>
        <v>North Ryde</v>
      </c>
      <c r="G351" t="str">
        <f>_xlfn.XLOOKUP($E351,Sheet1!$E:$E,Sheet1!G:G)</f>
        <v>North Ryde [New South Wales]</v>
      </c>
      <c r="I351" t="str">
        <f>_xlfn.XLOOKUP($E351,Sheet1!$E:$E,Sheet1!I:I)</f>
        <v>Default station</v>
      </c>
      <c r="K351" t="s">
        <v>1402</v>
      </c>
      <c r="L351">
        <v>16012399</v>
      </c>
    </row>
    <row r="352" spans="1:12" x14ac:dyDescent="0.25">
      <c r="A352" t="s">
        <v>20</v>
      </c>
      <c r="B352" t="s">
        <v>24</v>
      </c>
      <c r="C352" t="s">
        <v>507</v>
      </c>
      <c r="E352" t="s">
        <v>21</v>
      </c>
      <c r="F352" t="str">
        <f>_xlfn.XLOOKUP($E352,Sheet1!$E:$E,Sheet1!F:F)</f>
        <v>North Ryde</v>
      </c>
      <c r="G352" t="str">
        <f>_xlfn.XLOOKUP($E352,Sheet1!$E:$E,Sheet1!G:G)</f>
        <v>North Ryde [New South Wales]</v>
      </c>
      <c r="I352" t="str">
        <f>_xlfn.XLOOKUP($E352,Sheet1!$E:$E,Sheet1!I:I)</f>
        <v>Default station</v>
      </c>
      <c r="K352" t="s">
        <v>59</v>
      </c>
      <c r="L352">
        <v>377101</v>
      </c>
    </row>
    <row r="353" spans="1:12" x14ac:dyDescent="0.25">
      <c r="A353" t="s">
        <v>20</v>
      </c>
      <c r="B353" t="s">
        <v>24</v>
      </c>
      <c r="C353" t="s">
        <v>508</v>
      </c>
      <c r="E353" t="s">
        <v>21</v>
      </c>
      <c r="F353" t="str">
        <f>_xlfn.XLOOKUP($E353,Sheet1!$E:$E,Sheet1!F:F)</f>
        <v>North Ryde</v>
      </c>
      <c r="G353" t="str">
        <f>_xlfn.XLOOKUP($E353,Sheet1!$E:$E,Sheet1!G:G)</f>
        <v>North Ryde [New South Wales]</v>
      </c>
      <c r="I353" t="str">
        <f>_xlfn.XLOOKUP($E353,Sheet1!$E:$E,Sheet1!I:I)</f>
        <v>Default station</v>
      </c>
      <c r="K353" t="s">
        <v>1403</v>
      </c>
      <c r="L353">
        <v>13001211</v>
      </c>
    </row>
    <row r="354" spans="1:12" x14ac:dyDescent="0.25">
      <c r="A354" t="s">
        <v>20</v>
      </c>
      <c r="B354" t="s">
        <v>24</v>
      </c>
      <c r="C354" t="s">
        <v>509</v>
      </c>
      <c r="E354" t="s">
        <v>21</v>
      </c>
      <c r="F354" t="str">
        <f>_xlfn.XLOOKUP($E354,Sheet1!$E:$E,Sheet1!F:F)</f>
        <v>North Ryde</v>
      </c>
      <c r="G354" t="str">
        <f>_xlfn.XLOOKUP($E354,Sheet1!$E:$E,Sheet1!G:G)</f>
        <v>North Ryde [New South Wales]</v>
      </c>
      <c r="I354" t="str">
        <f>_xlfn.XLOOKUP($E354,Sheet1!$E:$E,Sheet1!I:I)</f>
        <v>Default station</v>
      </c>
      <c r="K354" t="s">
        <v>1404</v>
      </c>
      <c r="L354">
        <v>16011376</v>
      </c>
    </row>
    <row r="355" spans="1:12" x14ac:dyDescent="0.25">
      <c r="A355" t="s">
        <v>20</v>
      </c>
      <c r="B355" t="s">
        <v>24</v>
      </c>
      <c r="C355" t="s">
        <v>510</v>
      </c>
      <c r="E355" t="s">
        <v>21</v>
      </c>
      <c r="F355" t="str">
        <f>_xlfn.XLOOKUP($E355,Sheet1!$E:$E,Sheet1!F:F)</f>
        <v>North Ryde</v>
      </c>
      <c r="G355" t="str">
        <f>_xlfn.XLOOKUP($E355,Sheet1!$E:$E,Sheet1!G:G)</f>
        <v>North Ryde [New South Wales]</v>
      </c>
      <c r="I355" t="str">
        <f>_xlfn.XLOOKUP($E355,Sheet1!$E:$E,Sheet1!I:I)</f>
        <v>Default station</v>
      </c>
      <c r="K355" t="s">
        <v>1405</v>
      </c>
      <c r="L355">
        <v>16012485</v>
      </c>
    </row>
    <row r="356" spans="1:12" x14ac:dyDescent="0.25">
      <c r="A356" t="s">
        <v>20</v>
      </c>
      <c r="B356" t="s">
        <v>24</v>
      </c>
      <c r="C356" t="s">
        <v>511</v>
      </c>
      <c r="E356" t="s">
        <v>21</v>
      </c>
      <c r="F356" t="str">
        <f>_xlfn.XLOOKUP($E356,Sheet1!$E:$E,Sheet1!F:F)</f>
        <v>North Ryde</v>
      </c>
      <c r="G356" t="str">
        <f>_xlfn.XLOOKUP($E356,Sheet1!$E:$E,Sheet1!G:G)</f>
        <v>North Ryde [New South Wales]</v>
      </c>
      <c r="I356" t="str">
        <f>_xlfn.XLOOKUP($E356,Sheet1!$E:$E,Sheet1!I:I)</f>
        <v>Default station</v>
      </c>
      <c r="K356" t="s">
        <v>1406</v>
      </c>
      <c r="L356">
        <v>16014976</v>
      </c>
    </row>
    <row r="357" spans="1:12" x14ac:dyDescent="0.25">
      <c r="A357" t="s">
        <v>20</v>
      </c>
      <c r="B357" t="s">
        <v>24</v>
      </c>
      <c r="C357" t="s">
        <v>512</v>
      </c>
      <c r="E357" t="s">
        <v>21</v>
      </c>
      <c r="F357" t="str">
        <f>_xlfn.XLOOKUP($E357,Sheet1!$E:$E,Sheet1!F:F)</f>
        <v>North Ryde</v>
      </c>
      <c r="G357" t="str">
        <f>_xlfn.XLOOKUP($E357,Sheet1!$E:$E,Sheet1!G:G)</f>
        <v>North Ryde [New South Wales]</v>
      </c>
      <c r="I357" t="str">
        <f>_xlfn.XLOOKUP($E357,Sheet1!$E:$E,Sheet1!I:I)</f>
        <v>Default station</v>
      </c>
      <c r="K357" t="s">
        <v>1407</v>
      </c>
      <c r="L357">
        <v>241312</v>
      </c>
    </row>
    <row r="358" spans="1:12" x14ac:dyDescent="0.25">
      <c r="A358" t="s">
        <v>20</v>
      </c>
      <c r="B358" t="s">
        <v>24</v>
      </c>
      <c r="C358" t="s">
        <v>513</v>
      </c>
      <c r="E358" t="s">
        <v>21</v>
      </c>
      <c r="F358" t="str">
        <f>_xlfn.XLOOKUP($E358,Sheet1!$E:$E,Sheet1!F:F)</f>
        <v>North Ryde</v>
      </c>
      <c r="G358" t="str">
        <f>_xlfn.XLOOKUP($E358,Sheet1!$E:$E,Sheet1!G:G)</f>
        <v>North Ryde [New South Wales]</v>
      </c>
      <c r="I358" t="str">
        <f>_xlfn.XLOOKUP($E358,Sheet1!$E:$E,Sheet1!I:I)</f>
        <v>Default station</v>
      </c>
      <c r="K358" t="s">
        <v>1408</v>
      </c>
      <c r="L358">
        <v>241833</v>
      </c>
    </row>
    <row r="359" spans="1:12" x14ac:dyDescent="0.25">
      <c r="A359" t="s">
        <v>20</v>
      </c>
      <c r="B359" t="s">
        <v>24</v>
      </c>
      <c r="C359" t="s">
        <v>514</v>
      </c>
      <c r="E359" t="s">
        <v>21</v>
      </c>
      <c r="F359" t="str">
        <f>_xlfn.XLOOKUP($E359,Sheet1!$E:$E,Sheet1!F:F)</f>
        <v>North Ryde</v>
      </c>
      <c r="G359" t="str">
        <f>_xlfn.XLOOKUP($E359,Sheet1!$E:$E,Sheet1!G:G)</f>
        <v>North Ryde [New South Wales]</v>
      </c>
      <c r="I359" t="str">
        <f>_xlfn.XLOOKUP($E359,Sheet1!$E:$E,Sheet1!I:I)</f>
        <v>Default station</v>
      </c>
      <c r="K359" t="s">
        <v>1409</v>
      </c>
      <c r="L359">
        <v>16012487</v>
      </c>
    </row>
    <row r="360" spans="1:12" x14ac:dyDescent="0.25">
      <c r="A360" t="s">
        <v>20</v>
      </c>
      <c r="B360" t="s">
        <v>24</v>
      </c>
      <c r="C360" t="s">
        <v>515</v>
      </c>
      <c r="E360" t="s">
        <v>21</v>
      </c>
      <c r="F360" t="str">
        <f>_xlfn.XLOOKUP($E360,Sheet1!$E:$E,Sheet1!F:F)</f>
        <v>North Ryde</v>
      </c>
      <c r="G360" t="str">
        <f>_xlfn.XLOOKUP($E360,Sheet1!$E:$E,Sheet1!G:G)</f>
        <v>North Ryde [New South Wales]</v>
      </c>
      <c r="I360" t="str">
        <f>_xlfn.XLOOKUP($E360,Sheet1!$E:$E,Sheet1!I:I)</f>
        <v>Default station</v>
      </c>
      <c r="K360" t="s">
        <v>1410</v>
      </c>
      <c r="L360">
        <v>16010970</v>
      </c>
    </row>
    <row r="361" spans="1:12" x14ac:dyDescent="0.25">
      <c r="A361" t="s">
        <v>20</v>
      </c>
      <c r="B361" t="s">
        <v>24</v>
      </c>
      <c r="C361" t="s">
        <v>516</v>
      </c>
      <c r="E361" t="s">
        <v>21</v>
      </c>
      <c r="F361" t="str">
        <f>_xlfn.XLOOKUP($E361,Sheet1!$E:$E,Sheet1!F:F)</f>
        <v>North Ryde</v>
      </c>
      <c r="G361" t="str">
        <f>_xlfn.XLOOKUP($E361,Sheet1!$E:$E,Sheet1!G:G)</f>
        <v>North Ryde [New South Wales]</v>
      </c>
      <c r="I361" t="str">
        <f>_xlfn.XLOOKUP($E361,Sheet1!$E:$E,Sheet1!I:I)</f>
        <v>Default station</v>
      </c>
      <c r="K361" t="s">
        <v>1411</v>
      </c>
      <c r="L361">
        <v>38210102</v>
      </c>
    </row>
    <row r="362" spans="1:12" x14ac:dyDescent="0.25">
      <c r="A362" t="s">
        <v>20</v>
      </c>
      <c r="B362" t="s">
        <v>24</v>
      </c>
      <c r="C362" t="s">
        <v>517</v>
      </c>
      <c r="E362" t="s">
        <v>21</v>
      </c>
      <c r="F362" t="str">
        <f>_xlfn.XLOOKUP($E362,Sheet1!$E:$E,Sheet1!F:F)</f>
        <v>North Ryde</v>
      </c>
      <c r="G362" t="str">
        <f>_xlfn.XLOOKUP($E362,Sheet1!$E:$E,Sheet1!G:G)</f>
        <v>North Ryde [New South Wales]</v>
      </c>
      <c r="I362" t="str">
        <f>_xlfn.XLOOKUP($E362,Sheet1!$E:$E,Sheet1!I:I)</f>
        <v>Default station</v>
      </c>
      <c r="K362" t="s">
        <v>1412</v>
      </c>
      <c r="L362">
        <v>16011477</v>
      </c>
    </row>
    <row r="363" spans="1:12" x14ac:dyDescent="0.25">
      <c r="A363" t="s">
        <v>20</v>
      </c>
      <c r="B363" t="s">
        <v>24</v>
      </c>
      <c r="C363" t="s">
        <v>518</v>
      </c>
      <c r="E363" t="s">
        <v>21</v>
      </c>
      <c r="F363" t="str">
        <f>_xlfn.XLOOKUP($E363,Sheet1!$E:$E,Sheet1!F:F)</f>
        <v>North Ryde</v>
      </c>
      <c r="G363" t="str">
        <f>_xlfn.XLOOKUP($E363,Sheet1!$E:$E,Sheet1!G:G)</f>
        <v>North Ryde [New South Wales]</v>
      </c>
      <c r="I363" t="str">
        <f>_xlfn.XLOOKUP($E363,Sheet1!$E:$E,Sheet1!I:I)</f>
        <v>Default station</v>
      </c>
      <c r="K363" t="s">
        <v>1413</v>
      </c>
      <c r="L363">
        <v>38270101</v>
      </c>
    </row>
    <row r="364" spans="1:12" x14ac:dyDescent="0.25">
      <c r="A364" t="s">
        <v>20</v>
      </c>
      <c r="B364" t="s">
        <v>24</v>
      </c>
      <c r="C364" t="s">
        <v>519</v>
      </c>
      <c r="E364" t="s">
        <v>21</v>
      </c>
      <c r="F364" t="str">
        <f>_xlfn.XLOOKUP($E364,Sheet1!$E:$E,Sheet1!F:F)</f>
        <v>North Ryde</v>
      </c>
      <c r="G364" t="str">
        <f>_xlfn.XLOOKUP($E364,Sheet1!$E:$E,Sheet1!G:G)</f>
        <v>North Ryde [New South Wales]</v>
      </c>
      <c r="I364" t="str">
        <f>_xlfn.XLOOKUP($E364,Sheet1!$E:$E,Sheet1!I:I)</f>
        <v>Default station</v>
      </c>
      <c r="K364" t="s">
        <v>1414</v>
      </c>
      <c r="L364">
        <v>14000464</v>
      </c>
    </row>
    <row r="365" spans="1:12" x14ac:dyDescent="0.25">
      <c r="A365" t="s">
        <v>20</v>
      </c>
      <c r="B365" t="s">
        <v>24</v>
      </c>
      <c r="C365" t="s">
        <v>520</v>
      </c>
      <c r="E365" t="s">
        <v>21</v>
      </c>
      <c r="F365" t="str">
        <f>_xlfn.XLOOKUP($E365,Sheet1!$E:$E,Sheet1!F:F)</f>
        <v>North Ryde</v>
      </c>
      <c r="G365" t="str">
        <f>_xlfn.XLOOKUP($E365,Sheet1!$E:$E,Sheet1!G:G)</f>
        <v>North Ryde [New South Wales]</v>
      </c>
      <c r="I365" t="str">
        <f>_xlfn.XLOOKUP($E365,Sheet1!$E:$E,Sheet1!I:I)</f>
        <v>Default station</v>
      </c>
      <c r="K365" t="s">
        <v>1415</v>
      </c>
      <c r="L365">
        <v>23440013</v>
      </c>
    </row>
    <row r="366" spans="1:12" x14ac:dyDescent="0.25">
      <c r="A366" t="s">
        <v>20</v>
      </c>
      <c r="B366" t="s">
        <v>24</v>
      </c>
      <c r="C366" t="s">
        <v>521</v>
      </c>
      <c r="E366" t="s">
        <v>21</v>
      </c>
      <c r="F366" t="str">
        <f>_xlfn.XLOOKUP($E366,Sheet1!$E:$E,Sheet1!F:F)</f>
        <v>North Ryde</v>
      </c>
      <c r="G366" t="str">
        <f>_xlfn.XLOOKUP($E366,Sheet1!$E:$E,Sheet1!G:G)</f>
        <v>North Ryde [New South Wales]</v>
      </c>
      <c r="I366" t="str">
        <f>_xlfn.XLOOKUP($E366,Sheet1!$E:$E,Sheet1!I:I)</f>
        <v>Default station</v>
      </c>
      <c r="K366" t="s">
        <v>1416</v>
      </c>
      <c r="L366">
        <v>16011423</v>
      </c>
    </row>
    <row r="367" spans="1:12" x14ac:dyDescent="0.25">
      <c r="A367" t="s">
        <v>20</v>
      </c>
      <c r="B367" t="s">
        <v>24</v>
      </c>
      <c r="C367" t="s">
        <v>522</v>
      </c>
      <c r="E367" t="s">
        <v>21</v>
      </c>
      <c r="F367" t="str">
        <f>_xlfn.XLOOKUP($E367,Sheet1!$E:$E,Sheet1!F:F)</f>
        <v>North Ryde</v>
      </c>
      <c r="G367" t="str">
        <f>_xlfn.XLOOKUP($E367,Sheet1!$E:$E,Sheet1!G:G)</f>
        <v>North Ryde [New South Wales]</v>
      </c>
      <c r="I367" t="str">
        <f>_xlfn.XLOOKUP($E367,Sheet1!$E:$E,Sheet1!I:I)</f>
        <v>Default station</v>
      </c>
      <c r="K367" t="s">
        <v>1417</v>
      </c>
      <c r="L367">
        <v>16011495</v>
      </c>
    </row>
    <row r="368" spans="1:12" x14ac:dyDescent="0.25">
      <c r="A368" t="s">
        <v>20</v>
      </c>
      <c r="B368" t="s">
        <v>24</v>
      </c>
      <c r="C368" t="s">
        <v>523</v>
      </c>
      <c r="E368" t="s">
        <v>21</v>
      </c>
      <c r="F368" t="str">
        <f>_xlfn.XLOOKUP($E368,Sheet1!$E:$E,Sheet1!F:F)</f>
        <v>North Ryde</v>
      </c>
      <c r="G368" t="str">
        <f>_xlfn.XLOOKUP($E368,Sheet1!$E:$E,Sheet1!G:G)</f>
        <v>North Ryde [New South Wales]</v>
      </c>
      <c r="I368" t="str">
        <f>_xlfn.XLOOKUP($E368,Sheet1!$E:$E,Sheet1!I:I)</f>
        <v>Default station</v>
      </c>
      <c r="K368" t="s">
        <v>1418</v>
      </c>
      <c r="L368">
        <v>150501</v>
      </c>
    </row>
    <row r="369" spans="1:12" x14ac:dyDescent="0.25">
      <c r="A369" t="s">
        <v>20</v>
      </c>
      <c r="B369" t="s">
        <v>24</v>
      </c>
      <c r="C369" t="s">
        <v>524</v>
      </c>
      <c r="E369" t="s">
        <v>21</v>
      </c>
      <c r="F369" t="str">
        <f>_xlfn.XLOOKUP($E369,Sheet1!$E:$E,Sheet1!F:F)</f>
        <v>North Ryde</v>
      </c>
      <c r="G369" t="str">
        <f>_xlfn.XLOOKUP($E369,Sheet1!$E:$E,Sheet1!G:G)</f>
        <v>North Ryde [New South Wales]</v>
      </c>
      <c r="I369" t="str">
        <f>_xlfn.XLOOKUP($E369,Sheet1!$E:$E,Sheet1!I:I)</f>
        <v>Default station</v>
      </c>
      <c r="K369" t="s">
        <v>1419</v>
      </c>
      <c r="L369">
        <v>24160004</v>
      </c>
    </row>
    <row r="370" spans="1:12" x14ac:dyDescent="0.25">
      <c r="A370" t="s">
        <v>20</v>
      </c>
      <c r="B370" t="s">
        <v>24</v>
      </c>
      <c r="C370" t="s">
        <v>525</v>
      </c>
      <c r="E370" t="s">
        <v>21</v>
      </c>
      <c r="F370" t="str">
        <f>_xlfn.XLOOKUP($E370,Sheet1!$E:$E,Sheet1!F:F)</f>
        <v>North Ryde</v>
      </c>
      <c r="G370" t="str">
        <f>_xlfn.XLOOKUP($E370,Sheet1!$E:$E,Sheet1!G:G)</f>
        <v>North Ryde [New South Wales]</v>
      </c>
      <c r="I370" t="str">
        <f>_xlfn.XLOOKUP($E370,Sheet1!$E:$E,Sheet1!I:I)</f>
        <v>Default station</v>
      </c>
      <c r="K370" t="s">
        <v>1420</v>
      </c>
      <c r="L370">
        <v>170163</v>
      </c>
    </row>
    <row r="371" spans="1:12" x14ac:dyDescent="0.25">
      <c r="A371" t="s">
        <v>20</v>
      </c>
      <c r="B371" t="s">
        <v>24</v>
      </c>
      <c r="C371" t="s">
        <v>526</v>
      </c>
      <c r="E371" t="s">
        <v>21</v>
      </c>
      <c r="F371" t="str">
        <f>_xlfn.XLOOKUP($E371,Sheet1!$E:$E,Sheet1!F:F)</f>
        <v>North Ryde</v>
      </c>
      <c r="G371" t="str">
        <f>_xlfn.XLOOKUP($E371,Sheet1!$E:$E,Sheet1!G:G)</f>
        <v>North Ryde [New South Wales]</v>
      </c>
      <c r="I371" t="str">
        <f>_xlfn.XLOOKUP($E371,Sheet1!$E:$E,Sheet1!I:I)</f>
        <v>Default station</v>
      </c>
      <c r="K371" t="s">
        <v>1421</v>
      </c>
      <c r="L371">
        <v>16999920</v>
      </c>
    </row>
    <row r="372" spans="1:12" x14ac:dyDescent="0.25">
      <c r="A372" t="s">
        <v>20</v>
      </c>
      <c r="B372" t="s">
        <v>24</v>
      </c>
      <c r="C372" t="s">
        <v>527</v>
      </c>
      <c r="E372" t="s">
        <v>21</v>
      </c>
      <c r="F372" t="str">
        <f>_xlfn.XLOOKUP($E372,Sheet1!$E:$E,Sheet1!F:F)</f>
        <v>North Ryde</v>
      </c>
      <c r="G372" t="str">
        <f>_xlfn.XLOOKUP($E372,Sheet1!$E:$E,Sheet1!G:G)</f>
        <v>North Ryde [New South Wales]</v>
      </c>
      <c r="I372" t="str">
        <f>_xlfn.XLOOKUP($E372,Sheet1!$E:$E,Sheet1!I:I)</f>
        <v>Default station</v>
      </c>
      <c r="K372" t="s">
        <v>1422</v>
      </c>
      <c r="L372">
        <v>241502</v>
      </c>
    </row>
    <row r="373" spans="1:12" x14ac:dyDescent="0.25">
      <c r="A373" t="s">
        <v>20</v>
      </c>
      <c r="B373" t="s">
        <v>24</v>
      </c>
      <c r="C373" t="s">
        <v>528</v>
      </c>
      <c r="E373" t="s">
        <v>21</v>
      </c>
      <c r="F373" t="str">
        <f>_xlfn.XLOOKUP($E373,Sheet1!$E:$E,Sheet1!F:F)</f>
        <v>North Ryde</v>
      </c>
      <c r="G373" t="str">
        <f>_xlfn.XLOOKUP($E373,Sheet1!$E:$E,Sheet1!G:G)</f>
        <v>North Ryde [New South Wales]</v>
      </c>
      <c r="I373" t="str">
        <f>_xlfn.XLOOKUP($E373,Sheet1!$E:$E,Sheet1!I:I)</f>
        <v>Default station</v>
      </c>
      <c r="K373" t="s">
        <v>158</v>
      </c>
      <c r="L373">
        <v>170909</v>
      </c>
    </row>
    <row r="374" spans="1:12" x14ac:dyDescent="0.25">
      <c r="A374" t="s">
        <v>20</v>
      </c>
      <c r="B374" t="s">
        <v>24</v>
      </c>
      <c r="C374" t="s">
        <v>529</v>
      </c>
      <c r="E374" t="s">
        <v>21</v>
      </c>
      <c r="F374" t="str">
        <f>_xlfn.XLOOKUP($E374,Sheet1!$E:$E,Sheet1!F:F)</f>
        <v>North Ryde</v>
      </c>
      <c r="G374" t="str">
        <f>_xlfn.XLOOKUP($E374,Sheet1!$E:$E,Sheet1!G:G)</f>
        <v>North Ryde [New South Wales]</v>
      </c>
      <c r="I374" t="str">
        <f>_xlfn.XLOOKUP($E374,Sheet1!$E:$E,Sheet1!I:I)</f>
        <v>Default station</v>
      </c>
      <c r="K374" t="s">
        <v>1423</v>
      </c>
      <c r="L374">
        <v>241804</v>
      </c>
    </row>
    <row r="375" spans="1:12" x14ac:dyDescent="0.25">
      <c r="A375" t="s">
        <v>20</v>
      </c>
      <c r="B375" t="s">
        <v>24</v>
      </c>
      <c r="C375" t="s">
        <v>530</v>
      </c>
      <c r="E375" t="s">
        <v>21</v>
      </c>
      <c r="F375" t="str">
        <f>_xlfn.XLOOKUP($E375,Sheet1!$E:$E,Sheet1!F:F)</f>
        <v>North Ryde</v>
      </c>
      <c r="G375" t="str">
        <f>_xlfn.XLOOKUP($E375,Sheet1!$E:$E,Sheet1!G:G)</f>
        <v>North Ryde [New South Wales]</v>
      </c>
      <c r="I375" t="str">
        <f>_xlfn.XLOOKUP($E375,Sheet1!$E:$E,Sheet1!I:I)</f>
        <v>Default station</v>
      </c>
      <c r="K375" t="s">
        <v>1424</v>
      </c>
      <c r="L375">
        <v>170310</v>
      </c>
    </row>
    <row r="376" spans="1:12" x14ac:dyDescent="0.25">
      <c r="A376" t="s">
        <v>20</v>
      </c>
      <c r="B376" t="s">
        <v>24</v>
      </c>
      <c r="C376" t="s">
        <v>495</v>
      </c>
      <c r="E376" t="s">
        <v>21</v>
      </c>
      <c r="F376" t="str">
        <f>_xlfn.XLOOKUP($E376,Sheet1!$E:$E,Sheet1!F:F)</f>
        <v>North Ryde</v>
      </c>
      <c r="G376" t="str">
        <f>_xlfn.XLOOKUP($E376,Sheet1!$E:$E,Sheet1!G:G)</f>
        <v>North Ryde [New South Wales]</v>
      </c>
      <c r="I376" t="str">
        <f>_xlfn.XLOOKUP($E376,Sheet1!$E:$E,Sheet1!I:I)</f>
        <v>Default station</v>
      </c>
      <c r="K376" t="s">
        <v>1425</v>
      </c>
      <c r="L376">
        <v>16011164</v>
      </c>
    </row>
    <row r="377" spans="1:12" x14ac:dyDescent="0.25">
      <c r="A377" t="s">
        <v>20</v>
      </c>
      <c r="B377" t="s">
        <v>24</v>
      </c>
      <c r="C377" t="s">
        <v>531</v>
      </c>
      <c r="E377" t="s">
        <v>21</v>
      </c>
      <c r="F377" t="str">
        <f>_xlfn.XLOOKUP($E377,Sheet1!$E:$E,Sheet1!F:F)</f>
        <v>North Ryde</v>
      </c>
      <c r="G377" t="str">
        <f>_xlfn.XLOOKUP($E377,Sheet1!$E:$E,Sheet1!G:G)</f>
        <v>North Ryde [New South Wales]</v>
      </c>
      <c r="I377" t="str">
        <f>_xlfn.XLOOKUP($E377,Sheet1!$E:$E,Sheet1!I:I)</f>
        <v>Default station</v>
      </c>
      <c r="K377" t="s">
        <v>1426</v>
      </c>
      <c r="L377">
        <v>38210120</v>
      </c>
    </row>
    <row r="378" spans="1:12" x14ac:dyDescent="0.25">
      <c r="A378" t="s">
        <v>20</v>
      </c>
      <c r="B378" t="s">
        <v>24</v>
      </c>
      <c r="C378" t="s">
        <v>532</v>
      </c>
      <c r="E378" t="s">
        <v>21</v>
      </c>
      <c r="F378" t="str">
        <f>_xlfn.XLOOKUP($E378,Sheet1!$E:$E,Sheet1!F:F)</f>
        <v>North Ryde</v>
      </c>
      <c r="G378" t="str">
        <f>_xlfn.XLOOKUP($E378,Sheet1!$E:$E,Sheet1!G:G)</f>
        <v>North Ryde [New South Wales]</v>
      </c>
      <c r="I378" t="str">
        <f>_xlfn.XLOOKUP($E378,Sheet1!$E:$E,Sheet1!I:I)</f>
        <v>Default station</v>
      </c>
      <c r="K378" t="s">
        <v>1427</v>
      </c>
      <c r="L378">
        <v>16013415</v>
      </c>
    </row>
    <row r="379" spans="1:12" x14ac:dyDescent="0.25">
      <c r="A379" t="s">
        <v>20</v>
      </c>
      <c r="B379" t="s">
        <v>24</v>
      </c>
      <c r="C379" t="s">
        <v>533</v>
      </c>
      <c r="E379" t="s">
        <v>21</v>
      </c>
      <c r="F379" t="str">
        <f>_xlfn.XLOOKUP($E379,Sheet1!$E:$E,Sheet1!F:F)</f>
        <v>North Ryde</v>
      </c>
      <c r="G379" t="str">
        <f>_xlfn.XLOOKUP($E379,Sheet1!$E:$E,Sheet1!G:G)</f>
        <v>North Ryde [New South Wales]</v>
      </c>
      <c r="I379" t="str">
        <f>_xlfn.XLOOKUP($E379,Sheet1!$E:$E,Sheet1!I:I)</f>
        <v>Default station</v>
      </c>
      <c r="K379" t="s">
        <v>1428</v>
      </c>
      <c r="L379">
        <v>16012475</v>
      </c>
    </row>
    <row r="380" spans="1:12" x14ac:dyDescent="0.25">
      <c r="A380" t="s">
        <v>20</v>
      </c>
      <c r="B380" t="s">
        <v>24</v>
      </c>
      <c r="C380" t="s">
        <v>534</v>
      </c>
      <c r="E380" t="s">
        <v>21</v>
      </c>
      <c r="F380" t="str">
        <f>_xlfn.XLOOKUP($E380,Sheet1!$E:$E,Sheet1!F:F)</f>
        <v>North Ryde</v>
      </c>
      <c r="G380" t="str">
        <f>_xlfn.XLOOKUP($E380,Sheet1!$E:$E,Sheet1!G:G)</f>
        <v>North Ryde [New South Wales]</v>
      </c>
      <c r="I380" t="str">
        <f>_xlfn.XLOOKUP($E380,Sheet1!$E:$E,Sheet1!I:I)</f>
        <v>Default station</v>
      </c>
      <c r="K380" t="s">
        <v>1429</v>
      </c>
      <c r="L380">
        <v>234426</v>
      </c>
    </row>
    <row r="381" spans="1:12" x14ac:dyDescent="0.25">
      <c r="A381" t="s">
        <v>20</v>
      </c>
      <c r="B381" t="s">
        <v>24</v>
      </c>
      <c r="C381" t="s">
        <v>535</v>
      </c>
      <c r="E381" t="s">
        <v>21</v>
      </c>
      <c r="F381" t="str">
        <f>_xlfn.XLOOKUP($E381,Sheet1!$E:$E,Sheet1!F:F)</f>
        <v>North Ryde</v>
      </c>
      <c r="G381" t="str">
        <f>_xlfn.XLOOKUP($E381,Sheet1!$E:$E,Sheet1!G:G)</f>
        <v>North Ryde [New South Wales]</v>
      </c>
      <c r="I381" t="str">
        <f>_xlfn.XLOOKUP($E381,Sheet1!$E:$E,Sheet1!I:I)</f>
        <v>Default station</v>
      </c>
      <c r="K381" t="s">
        <v>1430</v>
      </c>
      <c r="L381">
        <v>8701</v>
      </c>
    </row>
    <row r="382" spans="1:12" x14ac:dyDescent="0.25">
      <c r="A382" t="s">
        <v>20</v>
      </c>
      <c r="B382" t="s">
        <v>24</v>
      </c>
      <c r="C382" t="s">
        <v>536</v>
      </c>
      <c r="E382" t="s">
        <v>21</v>
      </c>
      <c r="F382" t="str">
        <f>_xlfn.XLOOKUP($E382,Sheet1!$E:$E,Sheet1!F:F)</f>
        <v>North Ryde</v>
      </c>
      <c r="G382" t="str">
        <f>_xlfn.XLOOKUP($E382,Sheet1!$E:$E,Sheet1!G:G)</f>
        <v>North Ryde [New South Wales]</v>
      </c>
      <c r="I382" t="str">
        <f>_xlfn.XLOOKUP($E382,Sheet1!$E:$E,Sheet1!I:I)</f>
        <v>Default station</v>
      </c>
      <c r="K382" t="s">
        <v>1431</v>
      </c>
      <c r="L382">
        <v>16012380</v>
      </c>
    </row>
    <row r="383" spans="1:12" x14ac:dyDescent="0.25">
      <c r="A383" t="s">
        <v>20</v>
      </c>
      <c r="B383" t="s">
        <v>24</v>
      </c>
      <c r="C383" t="s">
        <v>537</v>
      </c>
      <c r="E383" t="s">
        <v>21</v>
      </c>
      <c r="F383" t="str">
        <f>_xlfn.XLOOKUP($E383,Sheet1!$E:$E,Sheet1!F:F)</f>
        <v>North Ryde</v>
      </c>
      <c r="G383" t="str">
        <f>_xlfn.XLOOKUP($E383,Sheet1!$E:$E,Sheet1!G:G)</f>
        <v>North Ryde [New South Wales]</v>
      </c>
      <c r="I383" t="str">
        <f>_xlfn.XLOOKUP($E383,Sheet1!$E:$E,Sheet1!I:I)</f>
        <v>Default station</v>
      </c>
      <c r="K383" t="s">
        <v>1432</v>
      </c>
      <c r="L383">
        <v>23420045</v>
      </c>
    </row>
    <row r="384" spans="1:12" x14ac:dyDescent="0.25">
      <c r="A384" t="s">
        <v>20</v>
      </c>
      <c r="B384" t="s">
        <v>24</v>
      </c>
      <c r="C384" t="s">
        <v>538</v>
      </c>
      <c r="E384" t="s">
        <v>21</v>
      </c>
      <c r="F384" t="str">
        <f>_xlfn.XLOOKUP($E384,Sheet1!$E:$E,Sheet1!F:F)</f>
        <v>North Ryde</v>
      </c>
      <c r="G384" t="str">
        <f>_xlfn.XLOOKUP($E384,Sheet1!$E:$E,Sheet1!G:G)</f>
        <v>North Ryde [New South Wales]</v>
      </c>
      <c r="I384" t="str">
        <f>_xlfn.XLOOKUP($E384,Sheet1!$E:$E,Sheet1!I:I)</f>
        <v>Default station</v>
      </c>
      <c r="K384" t="s">
        <v>1433</v>
      </c>
      <c r="L384">
        <v>170124</v>
      </c>
    </row>
    <row r="385" spans="1:12" x14ac:dyDescent="0.25">
      <c r="A385" t="s">
        <v>20</v>
      </c>
      <c r="B385" t="s">
        <v>24</v>
      </c>
      <c r="C385" t="s">
        <v>539</v>
      </c>
      <c r="E385" t="s">
        <v>21</v>
      </c>
      <c r="F385" t="str">
        <f>_xlfn.XLOOKUP($E385,Sheet1!$E:$E,Sheet1!F:F)</f>
        <v>North Ryde</v>
      </c>
      <c r="G385" t="str">
        <f>_xlfn.XLOOKUP($E385,Sheet1!$E:$E,Sheet1!G:G)</f>
        <v>North Ryde [New South Wales]</v>
      </c>
      <c r="I385" t="str">
        <f>_xlfn.XLOOKUP($E385,Sheet1!$E:$E,Sheet1!I:I)</f>
        <v>Default station</v>
      </c>
      <c r="K385" t="s">
        <v>1434</v>
      </c>
      <c r="L385">
        <v>382210</v>
      </c>
    </row>
    <row r="386" spans="1:12" x14ac:dyDescent="0.25">
      <c r="A386" t="s">
        <v>20</v>
      </c>
      <c r="B386" t="s">
        <v>24</v>
      </c>
      <c r="C386" t="s">
        <v>540</v>
      </c>
      <c r="E386" t="s">
        <v>21</v>
      </c>
      <c r="F386" t="str">
        <f>_xlfn.XLOOKUP($E386,Sheet1!$E:$E,Sheet1!F:F)</f>
        <v>North Ryde</v>
      </c>
      <c r="G386" t="str">
        <f>_xlfn.XLOOKUP($E386,Sheet1!$E:$E,Sheet1!G:G)</f>
        <v>North Ryde [New South Wales]</v>
      </c>
      <c r="I386" t="str">
        <f>_xlfn.XLOOKUP($E386,Sheet1!$E:$E,Sheet1!I:I)</f>
        <v>Default station</v>
      </c>
      <c r="K386" t="s">
        <v>1435</v>
      </c>
      <c r="L386">
        <v>16017440</v>
      </c>
    </row>
    <row r="387" spans="1:12" x14ac:dyDescent="0.25">
      <c r="A387" t="s">
        <v>20</v>
      </c>
      <c r="B387" t="s">
        <v>24</v>
      </c>
      <c r="C387" t="s">
        <v>541</v>
      </c>
      <c r="E387" t="s">
        <v>21</v>
      </c>
      <c r="F387" t="str">
        <f>_xlfn.XLOOKUP($E387,Sheet1!$E:$E,Sheet1!F:F)</f>
        <v>North Ryde</v>
      </c>
      <c r="G387" t="str">
        <f>_xlfn.XLOOKUP($E387,Sheet1!$E:$E,Sheet1!G:G)</f>
        <v>North Ryde [New South Wales]</v>
      </c>
      <c r="I387" t="str">
        <f>_xlfn.XLOOKUP($E387,Sheet1!$E:$E,Sheet1!I:I)</f>
        <v>Default station</v>
      </c>
      <c r="K387" t="s">
        <v>1436</v>
      </c>
      <c r="L387">
        <v>20041071</v>
      </c>
    </row>
    <row r="388" spans="1:12" x14ac:dyDescent="0.25">
      <c r="A388" t="s">
        <v>20</v>
      </c>
      <c r="B388" t="s">
        <v>24</v>
      </c>
      <c r="C388" t="s">
        <v>542</v>
      </c>
      <c r="E388" t="s">
        <v>21</v>
      </c>
      <c r="F388" t="str">
        <f>_xlfn.XLOOKUP($E388,Sheet1!$E:$E,Sheet1!F:F)</f>
        <v>North Ryde</v>
      </c>
      <c r="G388" t="str">
        <f>_xlfn.XLOOKUP($E388,Sheet1!$E:$E,Sheet1!G:G)</f>
        <v>North Ryde [New South Wales]</v>
      </c>
      <c r="I388" t="str">
        <f>_xlfn.XLOOKUP($E388,Sheet1!$E:$E,Sheet1!I:I)</f>
        <v>Default station</v>
      </c>
      <c r="K388" t="s">
        <v>1437</v>
      </c>
      <c r="L388">
        <v>16012225</v>
      </c>
    </row>
    <row r="389" spans="1:12" x14ac:dyDescent="0.25">
      <c r="A389" t="s">
        <v>20</v>
      </c>
      <c r="B389" t="s">
        <v>24</v>
      </c>
      <c r="C389" t="s">
        <v>543</v>
      </c>
      <c r="E389" t="s">
        <v>21</v>
      </c>
      <c r="F389" t="str">
        <f>_xlfn.XLOOKUP($E389,Sheet1!$E:$E,Sheet1!F:F)</f>
        <v>North Ryde</v>
      </c>
      <c r="G389" t="str">
        <f>_xlfn.XLOOKUP($E389,Sheet1!$E:$E,Sheet1!G:G)</f>
        <v>North Ryde [New South Wales]</v>
      </c>
      <c r="I389" t="str">
        <f>_xlfn.XLOOKUP($E389,Sheet1!$E:$E,Sheet1!I:I)</f>
        <v>Default station</v>
      </c>
      <c r="K389" t="s">
        <v>1438</v>
      </c>
      <c r="L389">
        <v>170949</v>
      </c>
    </row>
    <row r="390" spans="1:12" x14ac:dyDescent="0.25">
      <c r="A390" t="s">
        <v>20</v>
      </c>
      <c r="B390" t="s">
        <v>24</v>
      </c>
      <c r="C390" t="s">
        <v>544</v>
      </c>
      <c r="E390" t="s">
        <v>21</v>
      </c>
      <c r="F390" t="str">
        <f>_xlfn.XLOOKUP($E390,Sheet1!$E:$E,Sheet1!F:F)</f>
        <v>North Ryde</v>
      </c>
      <c r="G390" t="str">
        <f>_xlfn.XLOOKUP($E390,Sheet1!$E:$E,Sheet1!G:G)</f>
        <v>North Ryde [New South Wales]</v>
      </c>
      <c r="I390" t="str">
        <f>_xlfn.XLOOKUP($E390,Sheet1!$E:$E,Sheet1!I:I)</f>
        <v>Default station</v>
      </c>
      <c r="K390" t="s">
        <v>1439</v>
      </c>
      <c r="L390">
        <v>23440105</v>
      </c>
    </row>
    <row r="391" spans="1:12" x14ac:dyDescent="0.25">
      <c r="A391" t="s">
        <v>20</v>
      </c>
      <c r="B391" t="s">
        <v>24</v>
      </c>
      <c r="C391" t="s">
        <v>545</v>
      </c>
      <c r="E391" t="s">
        <v>21</v>
      </c>
      <c r="F391" t="str">
        <f>_xlfn.XLOOKUP($E391,Sheet1!$E:$E,Sheet1!F:F)</f>
        <v>North Ryde</v>
      </c>
      <c r="G391" t="str">
        <f>_xlfn.XLOOKUP($E391,Sheet1!$E:$E,Sheet1!G:G)</f>
        <v>North Ryde [New South Wales]</v>
      </c>
      <c r="I391" t="str">
        <f>_xlfn.XLOOKUP($E391,Sheet1!$E:$E,Sheet1!I:I)</f>
        <v>Default station</v>
      </c>
      <c r="K391" t="s">
        <v>1440</v>
      </c>
      <c r="L391">
        <v>23440104</v>
      </c>
    </row>
    <row r="392" spans="1:12" x14ac:dyDescent="0.25">
      <c r="A392" t="s">
        <v>20</v>
      </c>
      <c r="B392" t="s">
        <v>24</v>
      </c>
      <c r="C392" t="s">
        <v>546</v>
      </c>
      <c r="E392" t="s">
        <v>21</v>
      </c>
      <c r="F392" t="str">
        <f>_xlfn.XLOOKUP($E392,Sheet1!$E:$E,Sheet1!F:F)</f>
        <v>North Ryde</v>
      </c>
      <c r="G392" t="str">
        <f>_xlfn.XLOOKUP($E392,Sheet1!$E:$E,Sheet1!G:G)</f>
        <v>North Ryde [New South Wales]</v>
      </c>
      <c r="I392" t="str">
        <f>_xlfn.XLOOKUP($E392,Sheet1!$E:$E,Sheet1!I:I)</f>
        <v>Default station</v>
      </c>
      <c r="K392" t="s">
        <v>1441</v>
      </c>
      <c r="L392">
        <v>24120045</v>
      </c>
    </row>
    <row r="393" spans="1:12" x14ac:dyDescent="0.25">
      <c r="A393" t="s">
        <v>20</v>
      </c>
      <c r="B393" t="s">
        <v>24</v>
      </c>
      <c r="C393" t="s">
        <v>547</v>
      </c>
      <c r="E393" t="s">
        <v>21</v>
      </c>
      <c r="F393" t="str">
        <f>_xlfn.XLOOKUP($E393,Sheet1!$E:$E,Sheet1!F:F)</f>
        <v>North Ryde</v>
      </c>
      <c r="G393" t="str">
        <f>_xlfn.XLOOKUP($E393,Sheet1!$E:$E,Sheet1!G:G)</f>
        <v>North Ryde [New South Wales]</v>
      </c>
      <c r="I393" t="str">
        <f>_xlfn.XLOOKUP($E393,Sheet1!$E:$E,Sheet1!I:I)</f>
        <v>Default station</v>
      </c>
      <c r="K393" t="s">
        <v>1442</v>
      </c>
      <c r="L393">
        <v>16017902</v>
      </c>
    </row>
    <row r="394" spans="1:12" x14ac:dyDescent="0.25">
      <c r="A394" t="s">
        <v>20</v>
      </c>
      <c r="B394" t="s">
        <v>24</v>
      </c>
      <c r="C394" t="s">
        <v>548</v>
      </c>
      <c r="E394" t="s">
        <v>21</v>
      </c>
      <c r="F394" t="str">
        <f>_xlfn.XLOOKUP($E394,Sheet1!$E:$E,Sheet1!F:F)</f>
        <v>North Ryde</v>
      </c>
      <c r="G394" t="str">
        <f>_xlfn.XLOOKUP($E394,Sheet1!$E:$E,Sheet1!G:G)</f>
        <v>North Ryde [New South Wales]</v>
      </c>
      <c r="I394" t="str">
        <f>_xlfn.XLOOKUP($E394,Sheet1!$E:$E,Sheet1!I:I)</f>
        <v>Default station</v>
      </c>
      <c r="K394" t="s">
        <v>1443</v>
      </c>
      <c r="L394">
        <v>170234</v>
      </c>
    </row>
    <row r="395" spans="1:12" x14ac:dyDescent="0.25">
      <c r="A395" t="s">
        <v>20</v>
      </c>
      <c r="B395" t="s">
        <v>24</v>
      </c>
      <c r="C395" t="s">
        <v>549</v>
      </c>
      <c r="E395" t="s">
        <v>21</v>
      </c>
      <c r="F395" t="str">
        <f>_xlfn.XLOOKUP($E395,Sheet1!$E:$E,Sheet1!F:F)</f>
        <v>North Ryde</v>
      </c>
      <c r="G395" t="str">
        <f>_xlfn.XLOOKUP($E395,Sheet1!$E:$E,Sheet1!G:G)</f>
        <v>North Ryde [New South Wales]</v>
      </c>
      <c r="I395" t="str">
        <f>_xlfn.XLOOKUP($E395,Sheet1!$E:$E,Sheet1!I:I)</f>
        <v>Default station</v>
      </c>
      <c r="K395" t="s">
        <v>1444</v>
      </c>
      <c r="L395">
        <v>16017774</v>
      </c>
    </row>
    <row r="396" spans="1:12" x14ac:dyDescent="0.25">
      <c r="A396" t="s">
        <v>20</v>
      </c>
      <c r="B396" t="s">
        <v>24</v>
      </c>
      <c r="C396" t="s">
        <v>550</v>
      </c>
      <c r="E396" t="s">
        <v>21</v>
      </c>
      <c r="F396" t="str">
        <f>_xlfn.XLOOKUP($E396,Sheet1!$E:$E,Sheet1!F:F)</f>
        <v>North Ryde</v>
      </c>
      <c r="G396" t="str">
        <f>_xlfn.XLOOKUP($E396,Sheet1!$E:$E,Sheet1!G:G)</f>
        <v>North Ryde [New South Wales]</v>
      </c>
      <c r="I396" t="str">
        <f>_xlfn.XLOOKUP($E396,Sheet1!$E:$E,Sheet1!I:I)</f>
        <v>Default station</v>
      </c>
      <c r="K396" t="s">
        <v>1445</v>
      </c>
      <c r="L396">
        <v>382854</v>
      </c>
    </row>
    <row r="397" spans="1:12" x14ac:dyDescent="0.25">
      <c r="A397" t="s">
        <v>20</v>
      </c>
      <c r="B397" t="s">
        <v>24</v>
      </c>
      <c r="C397" t="s">
        <v>551</v>
      </c>
      <c r="E397" t="s">
        <v>21</v>
      </c>
      <c r="F397" t="str">
        <f>_xlfn.XLOOKUP($E397,Sheet1!$E:$E,Sheet1!F:F)</f>
        <v>North Ryde</v>
      </c>
      <c r="G397" t="str">
        <f>_xlfn.XLOOKUP($E397,Sheet1!$E:$E,Sheet1!G:G)</f>
        <v>North Ryde [New South Wales]</v>
      </c>
      <c r="I397" t="str">
        <f>_xlfn.XLOOKUP($E397,Sheet1!$E:$E,Sheet1!I:I)</f>
        <v>Default station</v>
      </c>
      <c r="K397" t="s">
        <v>1446</v>
      </c>
      <c r="L397">
        <v>241726</v>
      </c>
    </row>
    <row r="398" spans="1:12" x14ac:dyDescent="0.25">
      <c r="A398" t="s">
        <v>20</v>
      </c>
      <c r="B398" t="s">
        <v>24</v>
      </c>
      <c r="C398" t="s">
        <v>552</v>
      </c>
      <c r="E398" t="s">
        <v>21</v>
      </c>
      <c r="F398" t="str">
        <f>_xlfn.XLOOKUP($E398,Sheet1!$E:$E,Sheet1!F:F)</f>
        <v>North Ryde</v>
      </c>
      <c r="G398" t="str">
        <f>_xlfn.XLOOKUP($E398,Sheet1!$E:$E,Sheet1!G:G)</f>
        <v>North Ryde [New South Wales]</v>
      </c>
      <c r="I398" t="str">
        <f>_xlfn.XLOOKUP($E398,Sheet1!$E:$E,Sheet1!I:I)</f>
        <v>Default station</v>
      </c>
      <c r="K398" t="s">
        <v>1447</v>
      </c>
      <c r="L398">
        <v>24130041</v>
      </c>
    </row>
    <row r="399" spans="1:12" x14ac:dyDescent="0.25">
      <c r="A399" t="s">
        <v>20</v>
      </c>
      <c r="B399" t="s">
        <v>24</v>
      </c>
      <c r="C399" t="s">
        <v>553</v>
      </c>
      <c r="E399" t="s">
        <v>21</v>
      </c>
      <c r="F399" t="str">
        <f>_xlfn.XLOOKUP($E399,Sheet1!$E:$E,Sheet1!F:F)</f>
        <v>North Ryde</v>
      </c>
      <c r="G399" t="str">
        <f>_xlfn.XLOOKUP($E399,Sheet1!$E:$E,Sheet1!G:G)</f>
        <v>North Ryde [New South Wales]</v>
      </c>
      <c r="I399" t="str">
        <f>_xlfn.XLOOKUP($E399,Sheet1!$E:$E,Sheet1!I:I)</f>
        <v>Default station</v>
      </c>
      <c r="K399" t="s">
        <v>1448</v>
      </c>
      <c r="L399">
        <v>241992</v>
      </c>
    </row>
    <row r="400" spans="1:12" x14ac:dyDescent="0.25">
      <c r="A400" t="s">
        <v>20</v>
      </c>
      <c r="B400" t="s">
        <v>24</v>
      </c>
      <c r="C400" t="s">
        <v>554</v>
      </c>
      <c r="E400" t="s">
        <v>21</v>
      </c>
      <c r="F400" t="str">
        <f>_xlfn.XLOOKUP($E400,Sheet1!$E:$E,Sheet1!F:F)</f>
        <v>North Ryde</v>
      </c>
      <c r="G400" t="str">
        <f>_xlfn.XLOOKUP($E400,Sheet1!$E:$E,Sheet1!G:G)</f>
        <v>North Ryde [New South Wales]</v>
      </c>
      <c r="I400" t="str">
        <f>_xlfn.XLOOKUP($E400,Sheet1!$E:$E,Sheet1!I:I)</f>
        <v>Default station</v>
      </c>
      <c r="K400" t="s">
        <v>144</v>
      </c>
      <c r="L400">
        <v>13000907</v>
      </c>
    </row>
    <row r="401" spans="1:12" x14ac:dyDescent="0.25">
      <c r="A401" t="s">
        <v>20</v>
      </c>
      <c r="B401" t="s">
        <v>24</v>
      </c>
      <c r="C401" t="s">
        <v>555</v>
      </c>
      <c r="E401" t="s">
        <v>21</v>
      </c>
      <c r="F401" t="str">
        <f>_xlfn.XLOOKUP($E401,Sheet1!$E:$E,Sheet1!F:F)</f>
        <v>North Ryde</v>
      </c>
      <c r="G401" t="str">
        <f>_xlfn.XLOOKUP($E401,Sheet1!$E:$E,Sheet1!G:G)</f>
        <v>North Ryde [New South Wales]</v>
      </c>
      <c r="I401" t="str">
        <f>_xlfn.XLOOKUP($E401,Sheet1!$E:$E,Sheet1!I:I)</f>
        <v>Default station</v>
      </c>
      <c r="K401" t="s">
        <v>1449</v>
      </c>
      <c r="L401">
        <v>16014000</v>
      </c>
    </row>
    <row r="402" spans="1:12" x14ac:dyDescent="0.25">
      <c r="A402" t="s">
        <v>20</v>
      </c>
      <c r="B402" t="s">
        <v>24</v>
      </c>
      <c r="C402" t="s">
        <v>556</v>
      </c>
      <c r="E402" t="s">
        <v>21</v>
      </c>
      <c r="F402" t="str">
        <f>_xlfn.XLOOKUP($E402,Sheet1!$E:$E,Sheet1!F:F)</f>
        <v>North Ryde</v>
      </c>
      <c r="G402" t="str">
        <f>_xlfn.XLOOKUP($E402,Sheet1!$E:$E,Sheet1!G:G)</f>
        <v>North Ryde [New South Wales]</v>
      </c>
      <c r="I402" t="str">
        <f>_xlfn.XLOOKUP($E402,Sheet1!$E:$E,Sheet1!I:I)</f>
        <v>Default station</v>
      </c>
      <c r="K402" t="s">
        <v>83</v>
      </c>
      <c r="L402">
        <v>22910012</v>
      </c>
    </row>
    <row r="403" spans="1:12" x14ac:dyDescent="0.25">
      <c r="A403" t="s">
        <v>20</v>
      </c>
      <c r="B403" t="s">
        <v>24</v>
      </c>
      <c r="C403" t="s">
        <v>557</v>
      </c>
      <c r="E403" t="s">
        <v>21</v>
      </c>
      <c r="F403" t="str">
        <f>_xlfn.XLOOKUP($E403,Sheet1!$E:$E,Sheet1!F:F)</f>
        <v>North Ryde</v>
      </c>
      <c r="G403" t="str">
        <f>_xlfn.XLOOKUP($E403,Sheet1!$E:$E,Sheet1!G:G)</f>
        <v>North Ryde [New South Wales]</v>
      </c>
      <c r="I403" t="str">
        <f>_xlfn.XLOOKUP($E403,Sheet1!$E:$E,Sheet1!I:I)</f>
        <v>Default station</v>
      </c>
      <c r="K403" t="s">
        <v>1450</v>
      </c>
      <c r="L403">
        <v>16011358</v>
      </c>
    </row>
    <row r="404" spans="1:12" x14ac:dyDescent="0.25">
      <c r="A404" t="s">
        <v>20</v>
      </c>
      <c r="B404" t="s">
        <v>24</v>
      </c>
      <c r="C404" t="s">
        <v>558</v>
      </c>
      <c r="E404" t="s">
        <v>21</v>
      </c>
      <c r="F404" t="str">
        <f>_xlfn.XLOOKUP($E404,Sheet1!$E:$E,Sheet1!F:F)</f>
        <v>North Ryde</v>
      </c>
      <c r="G404" t="str">
        <f>_xlfn.XLOOKUP($E404,Sheet1!$E:$E,Sheet1!G:G)</f>
        <v>North Ryde [New South Wales]</v>
      </c>
      <c r="I404" t="str">
        <f>_xlfn.XLOOKUP($E404,Sheet1!$E:$E,Sheet1!I:I)</f>
        <v>Default station</v>
      </c>
      <c r="K404" t="s">
        <v>1451</v>
      </c>
      <c r="L404">
        <v>38210144</v>
      </c>
    </row>
    <row r="405" spans="1:12" x14ac:dyDescent="0.25">
      <c r="A405" t="s">
        <v>20</v>
      </c>
      <c r="B405" t="s">
        <v>24</v>
      </c>
      <c r="C405" t="s">
        <v>559</v>
      </c>
      <c r="E405" t="s">
        <v>21</v>
      </c>
      <c r="F405" t="str">
        <f>_xlfn.XLOOKUP($E405,Sheet1!$E:$E,Sheet1!F:F)</f>
        <v>North Ryde</v>
      </c>
      <c r="G405" t="str">
        <f>_xlfn.XLOOKUP($E405,Sheet1!$E:$E,Sheet1!G:G)</f>
        <v>North Ryde [New South Wales]</v>
      </c>
      <c r="I405" t="str">
        <f>_xlfn.XLOOKUP($E405,Sheet1!$E:$E,Sheet1!I:I)</f>
        <v>Default station</v>
      </c>
      <c r="K405" t="s">
        <v>1452</v>
      </c>
      <c r="L405">
        <v>241707</v>
      </c>
    </row>
    <row r="406" spans="1:12" x14ac:dyDescent="0.25">
      <c r="A406" t="s">
        <v>20</v>
      </c>
      <c r="B406" t="s">
        <v>24</v>
      </c>
      <c r="C406" t="s">
        <v>560</v>
      </c>
      <c r="E406" t="s">
        <v>21</v>
      </c>
      <c r="F406" t="str">
        <f>_xlfn.XLOOKUP($E406,Sheet1!$E:$E,Sheet1!F:F)</f>
        <v>North Ryde</v>
      </c>
      <c r="G406" t="str">
        <f>_xlfn.XLOOKUP($E406,Sheet1!$E:$E,Sheet1!G:G)</f>
        <v>North Ryde [New South Wales]</v>
      </c>
      <c r="I406" t="str">
        <f>_xlfn.XLOOKUP($E406,Sheet1!$E:$E,Sheet1!I:I)</f>
        <v>Default station</v>
      </c>
      <c r="K406" t="s">
        <v>1453</v>
      </c>
      <c r="L406">
        <v>16013987</v>
      </c>
    </row>
    <row r="407" spans="1:12" x14ac:dyDescent="0.25">
      <c r="A407" t="s">
        <v>20</v>
      </c>
      <c r="B407" t="s">
        <v>24</v>
      </c>
      <c r="C407" t="s">
        <v>561</v>
      </c>
      <c r="E407" t="s">
        <v>21</v>
      </c>
      <c r="F407" t="str">
        <f>_xlfn.XLOOKUP($E407,Sheet1!$E:$E,Sheet1!F:F)</f>
        <v>North Ryde</v>
      </c>
      <c r="G407" t="str">
        <f>_xlfn.XLOOKUP($E407,Sheet1!$E:$E,Sheet1!G:G)</f>
        <v>North Ryde [New South Wales]</v>
      </c>
      <c r="I407" t="str">
        <f>_xlfn.XLOOKUP($E407,Sheet1!$E:$E,Sheet1!I:I)</f>
        <v>Default station</v>
      </c>
      <c r="K407" t="s">
        <v>1454</v>
      </c>
      <c r="L407">
        <v>14000580</v>
      </c>
    </row>
    <row r="408" spans="1:12" x14ac:dyDescent="0.25">
      <c r="A408" t="s">
        <v>20</v>
      </c>
      <c r="B408" t="s">
        <v>24</v>
      </c>
      <c r="C408" t="s">
        <v>562</v>
      </c>
      <c r="E408" t="s">
        <v>21</v>
      </c>
      <c r="F408" t="str">
        <f>_xlfn.XLOOKUP($E408,Sheet1!$E:$E,Sheet1!F:F)</f>
        <v>North Ryde</v>
      </c>
      <c r="G408" t="str">
        <f>_xlfn.XLOOKUP($E408,Sheet1!$E:$E,Sheet1!G:G)</f>
        <v>North Ryde [New South Wales]</v>
      </c>
      <c r="I408" t="str">
        <f>_xlfn.XLOOKUP($E408,Sheet1!$E:$E,Sheet1!I:I)</f>
        <v>Default station</v>
      </c>
      <c r="K408" t="s">
        <v>1455</v>
      </c>
      <c r="L408">
        <v>16012445</v>
      </c>
    </row>
    <row r="409" spans="1:12" x14ac:dyDescent="0.25">
      <c r="A409" t="s">
        <v>20</v>
      </c>
      <c r="B409" t="s">
        <v>24</v>
      </c>
      <c r="C409" t="s">
        <v>563</v>
      </c>
      <c r="E409" t="s">
        <v>21</v>
      </c>
      <c r="F409" t="str">
        <f>_xlfn.XLOOKUP($E409,Sheet1!$E:$E,Sheet1!F:F)</f>
        <v>North Ryde</v>
      </c>
      <c r="G409" t="str">
        <f>_xlfn.XLOOKUP($E409,Sheet1!$E:$E,Sheet1!G:G)</f>
        <v>North Ryde [New South Wales]</v>
      </c>
      <c r="I409" t="str">
        <f>_xlfn.XLOOKUP($E409,Sheet1!$E:$E,Sheet1!I:I)</f>
        <v>Default station</v>
      </c>
      <c r="K409" t="s">
        <v>74</v>
      </c>
      <c r="L409">
        <v>170238</v>
      </c>
    </row>
    <row r="410" spans="1:12" x14ac:dyDescent="0.25">
      <c r="A410" t="s">
        <v>20</v>
      </c>
      <c r="B410" t="s">
        <v>24</v>
      </c>
      <c r="C410" t="s">
        <v>564</v>
      </c>
      <c r="E410" t="s">
        <v>21</v>
      </c>
      <c r="F410" t="str">
        <f>_xlfn.XLOOKUP($E410,Sheet1!$E:$E,Sheet1!F:F)</f>
        <v>North Ryde</v>
      </c>
      <c r="G410" t="str">
        <f>_xlfn.XLOOKUP($E410,Sheet1!$E:$E,Sheet1!G:G)</f>
        <v>North Ryde [New South Wales]</v>
      </c>
      <c r="I410" t="str">
        <f>_xlfn.XLOOKUP($E410,Sheet1!$E:$E,Sheet1!I:I)</f>
        <v>Default station</v>
      </c>
      <c r="K410" t="s">
        <v>1456</v>
      </c>
      <c r="L410">
        <v>16012455</v>
      </c>
    </row>
    <row r="411" spans="1:12" x14ac:dyDescent="0.25">
      <c r="A411" t="s">
        <v>20</v>
      </c>
      <c r="B411" t="s">
        <v>24</v>
      </c>
      <c r="C411" t="s">
        <v>565</v>
      </c>
      <c r="E411" t="s">
        <v>21</v>
      </c>
      <c r="F411" t="str">
        <f>_xlfn.XLOOKUP($E411,Sheet1!$E:$E,Sheet1!F:F)</f>
        <v>North Ryde</v>
      </c>
      <c r="G411" t="str">
        <f>_xlfn.XLOOKUP($E411,Sheet1!$E:$E,Sheet1!G:G)</f>
        <v>North Ryde [New South Wales]</v>
      </c>
      <c r="I411" t="str">
        <f>_xlfn.XLOOKUP($E411,Sheet1!$E:$E,Sheet1!I:I)</f>
        <v>Default station</v>
      </c>
      <c r="K411" t="s">
        <v>1457</v>
      </c>
      <c r="L411">
        <v>37740130</v>
      </c>
    </row>
    <row r="412" spans="1:12" x14ac:dyDescent="0.25">
      <c r="A412" t="s">
        <v>20</v>
      </c>
      <c r="B412" t="s">
        <v>24</v>
      </c>
      <c r="C412" t="s">
        <v>267</v>
      </c>
      <c r="E412" t="s">
        <v>21</v>
      </c>
      <c r="F412" t="str">
        <f>_xlfn.XLOOKUP($E412,Sheet1!$E:$E,Sheet1!F:F)</f>
        <v>North Ryde</v>
      </c>
      <c r="G412" t="str">
        <f>_xlfn.XLOOKUP($E412,Sheet1!$E:$E,Sheet1!G:G)</f>
        <v>North Ryde [New South Wales]</v>
      </c>
      <c r="I412" t="str">
        <f>_xlfn.XLOOKUP($E412,Sheet1!$E:$E,Sheet1!I:I)</f>
        <v>Default station</v>
      </c>
      <c r="K412" t="s">
        <v>1458</v>
      </c>
      <c r="L412">
        <v>170404</v>
      </c>
    </row>
    <row r="413" spans="1:12" x14ac:dyDescent="0.25">
      <c r="A413" t="s">
        <v>20</v>
      </c>
      <c r="B413" t="s">
        <v>24</v>
      </c>
      <c r="C413" t="s">
        <v>566</v>
      </c>
      <c r="E413" t="s">
        <v>21</v>
      </c>
      <c r="F413" t="str">
        <f>_xlfn.XLOOKUP($E413,Sheet1!$E:$E,Sheet1!F:F)</f>
        <v>North Ryde</v>
      </c>
      <c r="G413" t="str">
        <f>_xlfn.XLOOKUP($E413,Sheet1!$E:$E,Sheet1!G:G)</f>
        <v>North Ryde [New South Wales]</v>
      </c>
      <c r="I413" t="str">
        <f>_xlfn.XLOOKUP($E413,Sheet1!$E:$E,Sheet1!I:I)</f>
        <v>Default station</v>
      </c>
      <c r="K413" t="s">
        <v>1459</v>
      </c>
      <c r="L413">
        <v>241988</v>
      </c>
    </row>
    <row r="414" spans="1:12" x14ac:dyDescent="0.25">
      <c r="A414" t="s">
        <v>20</v>
      </c>
      <c r="B414" t="s">
        <v>24</v>
      </c>
      <c r="C414" t="s">
        <v>567</v>
      </c>
      <c r="E414" t="s">
        <v>21</v>
      </c>
      <c r="F414" t="str">
        <f>_xlfn.XLOOKUP($E414,Sheet1!$E:$E,Sheet1!F:F)</f>
        <v>North Ryde</v>
      </c>
      <c r="G414" t="str">
        <f>_xlfn.XLOOKUP($E414,Sheet1!$E:$E,Sheet1!G:G)</f>
        <v>North Ryde [New South Wales]</v>
      </c>
      <c r="I414" t="str">
        <f>_xlfn.XLOOKUP($E414,Sheet1!$E:$E,Sheet1!I:I)</f>
        <v>Default station</v>
      </c>
      <c r="K414" t="s">
        <v>1460</v>
      </c>
      <c r="L414">
        <v>241601</v>
      </c>
    </row>
    <row r="415" spans="1:12" x14ac:dyDescent="0.25">
      <c r="A415" t="s">
        <v>20</v>
      </c>
      <c r="B415" t="s">
        <v>24</v>
      </c>
      <c r="C415" t="s">
        <v>568</v>
      </c>
      <c r="E415" t="s">
        <v>21</v>
      </c>
      <c r="F415" t="str">
        <f>_xlfn.XLOOKUP($E415,Sheet1!$E:$E,Sheet1!F:F)</f>
        <v>North Ryde</v>
      </c>
      <c r="G415" t="str">
        <f>_xlfn.XLOOKUP($E415,Sheet1!$E:$E,Sheet1!G:G)</f>
        <v>North Ryde [New South Wales]</v>
      </c>
      <c r="I415" t="str">
        <f>_xlfn.XLOOKUP($E415,Sheet1!$E:$E,Sheet1!I:I)</f>
        <v>Default station</v>
      </c>
      <c r="K415" t="s">
        <v>1461</v>
      </c>
      <c r="L415">
        <v>170331</v>
      </c>
    </row>
    <row r="416" spans="1:12" x14ac:dyDescent="0.25">
      <c r="A416" t="s">
        <v>20</v>
      </c>
      <c r="B416" t="s">
        <v>24</v>
      </c>
      <c r="C416" t="s">
        <v>569</v>
      </c>
      <c r="E416" t="s">
        <v>21</v>
      </c>
      <c r="F416" t="str">
        <f>_xlfn.XLOOKUP($E416,Sheet1!$E:$E,Sheet1!F:F)</f>
        <v>North Ryde</v>
      </c>
      <c r="G416" t="str">
        <f>_xlfn.XLOOKUP($E416,Sheet1!$E:$E,Sheet1!G:G)</f>
        <v>North Ryde [New South Wales]</v>
      </c>
      <c r="I416" t="str">
        <f>_xlfn.XLOOKUP($E416,Sheet1!$E:$E,Sheet1!I:I)</f>
        <v>Default station</v>
      </c>
      <c r="K416" t="s">
        <v>1462</v>
      </c>
      <c r="L416">
        <v>170308</v>
      </c>
    </row>
    <row r="417" spans="1:12" x14ac:dyDescent="0.25">
      <c r="A417" t="s">
        <v>20</v>
      </c>
      <c r="B417" t="s">
        <v>24</v>
      </c>
      <c r="C417" t="s">
        <v>570</v>
      </c>
      <c r="E417" t="s">
        <v>21</v>
      </c>
      <c r="F417" t="str">
        <f>_xlfn.XLOOKUP($E417,Sheet1!$E:$E,Sheet1!F:F)</f>
        <v>North Ryde</v>
      </c>
      <c r="G417" t="str">
        <f>_xlfn.XLOOKUP($E417,Sheet1!$E:$E,Sheet1!G:G)</f>
        <v>North Ryde [New South Wales]</v>
      </c>
      <c r="I417" t="str">
        <f>_xlfn.XLOOKUP($E417,Sheet1!$E:$E,Sheet1!I:I)</f>
        <v>Default station</v>
      </c>
      <c r="K417" t="s">
        <v>1463</v>
      </c>
      <c r="L417">
        <v>16016281</v>
      </c>
    </row>
    <row r="418" spans="1:12" x14ac:dyDescent="0.25">
      <c r="A418" t="s">
        <v>20</v>
      </c>
      <c r="B418" t="s">
        <v>24</v>
      </c>
      <c r="C418" t="s">
        <v>571</v>
      </c>
      <c r="E418" t="s">
        <v>21</v>
      </c>
      <c r="F418" t="str">
        <f>_xlfn.XLOOKUP($E418,Sheet1!$E:$E,Sheet1!F:F)</f>
        <v>North Ryde</v>
      </c>
      <c r="G418" t="str">
        <f>_xlfn.XLOOKUP($E418,Sheet1!$E:$E,Sheet1!G:G)</f>
        <v>North Ryde [New South Wales]</v>
      </c>
      <c r="I418" t="str">
        <f>_xlfn.XLOOKUP($E418,Sheet1!$E:$E,Sheet1!I:I)</f>
        <v>Default station</v>
      </c>
      <c r="K418" t="s">
        <v>1464</v>
      </c>
      <c r="L418">
        <v>234241</v>
      </c>
    </row>
    <row r="419" spans="1:12" x14ac:dyDescent="0.25">
      <c r="A419" t="s">
        <v>20</v>
      </c>
      <c r="B419" t="s">
        <v>24</v>
      </c>
      <c r="C419" t="s">
        <v>572</v>
      </c>
      <c r="E419" t="s">
        <v>21</v>
      </c>
      <c r="F419" t="str">
        <f>_xlfn.XLOOKUP($E419,Sheet1!$E:$E,Sheet1!F:F)</f>
        <v>North Ryde</v>
      </c>
      <c r="G419" t="str">
        <f>_xlfn.XLOOKUP($E419,Sheet1!$E:$E,Sheet1!G:G)</f>
        <v>North Ryde [New South Wales]</v>
      </c>
      <c r="I419" t="str">
        <f>_xlfn.XLOOKUP($E419,Sheet1!$E:$E,Sheet1!I:I)</f>
        <v>Default station</v>
      </c>
      <c r="K419" t="s">
        <v>1465</v>
      </c>
      <c r="L419">
        <v>38210106</v>
      </c>
    </row>
    <row r="420" spans="1:12" x14ac:dyDescent="0.25">
      <c r="A420" t="s">
        <v>20</v>
      </c>
      <c r="B420" t="s">
        <v>24</v>
      </c>
      <c r="C420" t="s">
        <v>573</v>
      </c>
      <c r="E420" t="s">
        <v>21</v>
      </c>
      <c r="F420" t="str">
        <f>_xlfn.XLOOKUP($E420,Sheet1!$E:$E,Sheet1!F:F)</f>
        <v>North Ryde</v>
      </c>
      <c r="G420" t="str">
        <f>_xlfn.XLOOKUP($E420,Sheet1!$E:$E,Sheet1!G:G)</f>
        <v>North Ryde [New South Wales]</v>
      </c>
      <c r="I420" t="str">
        <f>_xlfn.XLOOKUP($E420,Sheet1!$E:$E,Sheet1!I:I)</f>
        <v>Default station</v>
      </c>
      <c r="K420" t="s">
        <v>1466</v>
      </c>
      <c r="L420">
        <v>38600005</v>
      </c>
    </row>
    <row r="421" spans="1:12" x14ac:dyDescent="0.25">
      <c r="A421" t="s">
        <v>20</v>
      </c>
      <c r="B421" t="s">
        <v>24</v>
      </c>
      <c r="C421" t="s">
        <v>574</v>
      </c>
      <c r="E421" t="s">
        <v>21</v>
      </c>
      <c r="F421" t="str">
        <f>_xlfn.XLOOKUP($E421,Sheet1!$E:$E,Sheet1!F:F)</f>
        <v>North Ryde</v>
      </c>
      <c r="G421" t="str">
        <f>_xlfn.XLOOKUP($E421,Sheet1!$E:$E,Sheet1!G:G)</f>
        <v>North Ryde [New South Wales]</v>
      </c>
      <c r="I421" t="str">
        <f>_xlfn.XLOOKUP($E421,Sheet1!$E:$E,Sheet1!I:I)</f>
        <v>Default station</v>
      </c>
      <c r="K421" t="s">
        <v>1467</v>
      </c>
      <c r="L421">
        <v>38210121</v>
      </c>
    </row>
    <row r="422" spans="1:12" x14ac:dyDescent="0.25">
      <c r="A422" t="s">
        <v>20</v>
      </c>
      <c r="B422" t="s">
        <v>24</v>
      </c>
      <c r="C422" t="s">
        <v>575</v>
      </c>
      <c r="E422" t="s">
        <v>21</v>
      </c>
      <c r="F422" t="str">
        <f>_xlfn.XLOOKUP($E422,Sheet1!$E:$E,Sheet1!F:F)</f>
        <v>North Ryde</v>
      </c>
      <c r="G422" t="str">
        <f>_xlfn.XLOOKUP($E422,Sheet1!$E:$E,Sheet1!G:G)</f>
        <v>North Ryde [New South Wales]</v>
      </c>
      <c r="I422" t="str">
        <f>_xlfn.XLOOKUP($E422,Sheet1!$E:$E,Sheet1!I:I)</f>
        <v>Default station</v>
      </c>
      <c r="K422" t="s">
        <v>1468</v>
      </c>
      <c r="L422">
        <v>24190252</v>
      </c>
    </row>
    <row r="423" spans="1:12" x14ac:dyDescent="0.25">
      <c r="A423" t="s">
        <v>20</v>
      </c>
      <c r="B423" t="s">
        <v>24</v>
      </c>
      <c r="C423" t="s">
        <v>576</v>
      </c>
      <c r="E423" t="s">
        <v>21</v>
      </c>
      <c r="F423" t="str">
        <f>_xlfn.XLOOKUP($E423,Sheet1!$E:$E,Sheet1!F:F)</f>
        <v>North Ryde</v>
      </c>
      <c r="G423" t="str">
        <f>_xlfn.XLOOKUP($E423,Sheet1!$E:$E,Sheet1!G:G)</f>
        <v>North Ryde [New South Wales]</v>
      </c>
      <c r="I423" t="str">
        <f>_xlfn.XLOOKUP($E423,Sheet1!$E:$E,Sheet1!I:I)</f>
        <v>Default station</v>
      </c>
      <c r="K423" t="s">
        <v>1469</v>
      </c>
      <c r="L423">
        <v>170338</v>
      </c>
    </row>
    <row r="424" spans="1:12" x14ac:dyDescent="0.25">
      <c r="A424" t="s">
        <v>20</v>
      </c>
      <c r="B424" t="s">
        <v>24</v>
      </c>
      <c r="C424" t="s">
        <v>577</v>
      </c>
      <c r="E424" t="s">
        <v>21</v>
      </c>
      <c r="F424" t="str">
        <f>_xlfn.XLOOKUP($E424,Sheet1!$E:$E,Sheet1!F:F)</f>
        <v>North Ryde</v>
      </c>
      <c r="G424" t="str">
        <f>_xlfn.XLOOKUP($E424,Sheet1!$E:$E,Sheet1!G:G)</f>
        <v>North Ryde [New South Wales]</v>
      </c>
      <c r="I424" t="str">
        <f>_xlfn.XLOOKUP($E424,Sheet1!$E:$E,Sheet1!I:I)</f>
        <v>Default station</v>
      </c>
      <c r="K424" t="s">
        <v>1470</v>
      </c>
      <c r="L424">
        <v>170417</v>
      </c>
    </row>
    <row r="425" spans="1:12" x14ac:dyDescent="0.25">
      <c r="A425" t="s">
        <v>20</v>
      </c>
      <c r="B425" t="s">
        <v>24</v>
      </c>
      <c r="C425" t="s">
        <v>578</v>
      </c>
      <c r="E425" t="s">
        <v>21</v>
      </c>
      <c r="F425" t="str">
        <f>_xlfn.XLOOKUP($E425,Sheet1!$E:$E,Sheet1!F:F)</f>
        <v>North Ryde</v>
      </c>
      <c r="G425" t="str">
        <f>_xlfn.XLOOKUP($E425,Sheet1!$E:$E,Sheet1!G:G)</f>
        <v>North Ryde [New South Wales]</v>
      </c>
      <c r="I425" t="str">
        <f>_xlfn.XLOOKUP($E425,Sheet1!$E:$E,Sheet1!I:I)</f>
        <v>Default station</v>
      </c>
      <c r="K425" t="s">
        <v>1471</v>
      </c>
      <c r="L425">
        <v>16013484</v>
      </c>
    </row>
    <row r="426" spans="1:12" x14ac:dyDescent="0.25">
      <c r="A426" t="s">
        <v>20</v>
      </c>
      <c r="B426" t="s">
        <v>24</v>
      </c>
      <c r="C426" t="s">
        <v>579</v>
      </c>
      <c r="E426" t="s">
        <v>21</v>
      </c>
      <c r="F426" t="str">
        <f>_xlfn.XLOOKUP($E426,Sheet1!$E:$E,Sheet1!F:F)</f>
        <v>North Ryde</v>
      </c>
      <c r="G426" t="str">
        <f>_xlfn.XLOOKUP($E426,Sheet1!$E:$E,Sheet1!G:G)</f>
        <v>North Ryde [New South Wales]</v>
      </c>
      <c r="I426" t="str">
        <f>_xlfn.XLOOKUP($E426,Sheet1!$E:$E,Sheet1!I:I)</f>
        <v>Default station</v>
      </c>
      <c r="K426" t="s">
        <v>1472</v>
      </c>
      <c r="L426">
        <v>16011509</v>
      </c>
    </row>
    <row r="427" spans="1:12" x14ac:dyDescent="0.25">
      <c r="A427" t="s">
        <v>20</v>
      </c>
      <c r="B427" t="s">
        <v>24</v>
      </c>
      <c r="C427" t="s">
        <v>580</v>
      </c>
      <c r="E427" t="s">
        <v>21</v>
      </c>
      <c r="F427" t="str">
        <f>_xlfn.XLOOKUP($E427,Sheet1!$E:$E,Sheet1!F:F)</f>
        <v>North Ryde</v>
      </c>
      <c r="G427" t="str">
        <f>_xlfn.XLOOKUP($E427,Sheet1!$E:$E,Sheet1!G:G)</f>
        <v>North Ryde [New South Wales]</v>
      </c>
      <c r="I427" t="str">
        <f>_xlfn.XLOOKUP($E427,Sheet1!$E:$E,Sheet1!I:I)</f>
        <v>Default station</v>
      </c>
      <c r="K427" t="s">
        <v>1473</v>
      </c>
      <c r="L427">
        <v>16017906</v>
      </c>
    </row>
    <row r="428" spans="1:12" x14ac:dyDescent="0.25">
      <c r="A428" t="s">
        <v>20</v>
      </c>
      <c r="B428" t="s">
        <v>24</v>
      </c>
      <c r="C428" t="s">
        <v>581</v>
      </c>
      <c r="E428" t="s">
        <v>21</v>
      </c>
      <c r="F428" t="str">
        <f>_xlfn.XLOOKUP($E428,Sheet1!$E:$E,Sheet1!F:F)</f>
        <v>North Ryde</v>
      </c>
      <c r="G428" t="str">
        <f>_xlfn.XLOOKUP($E428,Sheet1!$E:$E,Sheet1!G:G)</f>
        <v>North Ryde [New South Wales]</v>
      </c>
      <c r="I428" t="str">
        <f>_xlfn.XLOOKUP($E428,Sheet1!$E:$E,Sheet1!I:I)</f>
        <v>Default station</v>
      </c>
      <c r="K428" t="s">
        <v>1474</v>
      </c>
      <c r="L428">
        <v>241723</v>
      </c>
    </row>
    <row r="429" spans="1:12" x14ac:dyDescent="0.25">
      <c r="A429" t="s">
        <v>20</v>
      </c>
      <c r="B429" t="s">
        <v>24</v>
      </c>
      <c r="C429" t="s">
        <v>582</v>
      </c>
      <c r="E429" t="s">
        <v>21</v>
      </c>
      <c r="F429" t="str">
        <f>_xlfn.XLOOKUP($E429,Sheet1!$E:$E,Sheet1!F:F)</f>
        <v>North Ryde</v>
      </c>
      <c r="G429" t="str">
        <f>_xlfn.XLOOKUP($E429,Sheet1!$E:$E,Sheet1!G:G)</f>
        <v>North Ryde [New South Wales]</v>
      </c>
      <c r="I429" t="str">
        <f>_xlfn.XLOOKUP($E429,Sheet1!$E:$E,Sheet1!I:I)</f>
        <v>Default station</v>
      </c>
      <c r="K429" t="s">
        <v>1475</v>
      </c>
      <c r="L429">
        <v>16013532</v>
      </c>
    </row>
    <row r="430" spans="1:12" x14ac:dyDescent="0.25">
      <c r="A430" t="s">
        <v>20</v>
      </c>
      <c r="B430" t="s">
        <v>24</v>
      </c>
      <c r="C430" t="s">
        <v>583</v>
      </c>
      <c r="E430" t="s">
        <v>21</v>
      </c>
      <c r="F430" t="str">
        <f>_xlfn.XLOOKUP($E430,Sheet1!$E:$E,Sheet1!F:F)</f>
        <v>North Ryde</v>
      </c>
      <c r="G430" t="str">
        <f>_xlfn.XLOOKUP($E430,Sheet1!$E:$E,Sheet1!G:G)</f>
        <v>North Ryde [New South Wales]</v>
      </c>
      <c r="I430" t="str">
        <f>_xlfn.XLOOKUP($E430,Sheet1!$E:$E,Sheet1!I:I)</f>
        <v>Default station</v>
      </c>
      <c r="K430" t="s">
        <v>1476</v>
      </c>
      <c r="L430">
        <v>38210110</v>
      </c>
    </row>
    <row r="431" spans="1:12" x14ac:dyDescent="0.25">
      <c r="A431" t="s">
        <v>20</v>
      </c>
      <c r="B431" t="s">
        <v>24</v>
      </c>
      <c r="C431" t="s">
        <v>584</v>
      </c>
      <c r="E431" t="s">
        <v>21</v>
      </c>
      <c r="F431" t="str">
        <f>_xlfn.XLOOKUP($E431,Sheet1!$E:$E,Sheet1!F:F)</f>
        <v>North Ryde</v>
      </c>
      <c r="G431" t="str">
        <f>_xlfn.XLOOKUP($E431,Sheet1!$E:$E,Sheet1!G:G)</f>
        <v>North Ryde [New South Wales]</v>
      </c>
      <c r="I431" t="str">
        <f>_xlfn.XLOOKUP($E431,Sheet1!$E:$E,Sheet1!I:I)</f>
        <v>Default station</v>
      </c>
      <c r="K431" t="s">
        <v>1477</v>
      </c>
      <c r="L431">
        <v>16011467</v>
      </c>
    </row>
    <row r="432" spans="1:12" x14ac:dyDescent="0.25">
      <c r="A432" t="s">
        <v>20</v>
      </c>
      <c r="B432" t="s">
        <v>24</v>
      </c>
      <c r="C432" t="s">
        <v>585</v>
      </c>
      <c r="E432" t="s">
        <v>21</v>
      </c>
      <c r="F432" t="str">
        <f>_xlfn.XLOOKUP($E432,Sheet1!$E:$E,Sheet1!F:F)</f>
        <v>North Ryde</v>
      </c>
      <c r="G432" t="str">
        <f>_xlfn.XLOOKUP($E432,Sheet1!$E:$E,Sheet1!G:G)</f>
        <v>North Ryde [New South Wales]</v>
      </c>
      <c r="I432" t="str">
        <f>_xlfn.XLOOKUP($E432,Sheet1!$E:$E,Sheet1!I:I)</f>
        <v>Default station</v>
      </c>
      <c r="K432" t="s">
        <v>1478</v>
      </c>
      <c r="L432">
        <v>17020676</v>
      </c>
    </row>
    <row r="433" spans="1:12" x14ac:dyDescent="0.25">
      <c r="A433" t="s">
        <v>20</v>
      </c>
      <c r="B433" t="s">
        <v>24</v>
      </c>
      <c r="C433" t="s">
        <v>586</v>
      </c>
      <c r="E433" t="s">
        <v>21</v>
      </c>
      <c r="F433" t="str">
        <f>_xlfn.XLOOKUP($E433,Sheet1!$E:$E,Sheet1!F:F)</f>
        <v>North Ryde</v>
      </c>
      <c r="G433" t="str">
        <f>_xlfn.XLOOKUP($E433,Sheet1!$E:$E,Sheet1!G:G)</f>
        <v>North Ryde [New South Wales]</v>
      </c>
      <c r="I433" t="str">
        <f>_xlfn.XLOOKUP($E433,Sheet1!$E:$E,Sheet1!I:I)</f>
        <v>Default station</v>
      </c>
      <c r="K433" t="s">
        <v>1479</v>
      </c>
      <c r="L433">
        <v>16011363</v>
      </c>
    </row>
    <row r="434" spans="1:12" x14ac:dyDescent="0.25">
      <c r="A434" t="s">
        <v>20</v>
      </c>
      <c r="B434" t="s">
        <v>24</v>
      </c>
      <c r="C434" t="s">
        <v>587</v>
      </c>
      <c r="E434" t="s">
        <v>21</v>
      </c>
      <c r="F434" t="str">
        <f>_xlfn.XLOOKUP($E434,Sheet1!$E:$E,Sheet1!F:F)</f>
        <v>North Ryde</v>
      </c>
      <c r="G434" t="str">
        <f>_xlfn.XLOOKUP($E434,Sheet1!$E:$E,Sheet1!G:G)</f>
        <v>North Ryde [New South Wales]</v>
      </c>
      <c r="I434" t="str">
        <f>_xlfn.XLOOKUP($E434,Sheet1!$E:$E,Sheet1!I:I)</f>
        <v>Default station</v>
      </c>
      <c r="K434" t="s">
        <v>1480</v>
      </c>
      <c r="L434">
        <v>37740077</v>
      </c>
    </row>
    <row r="435" spans="1:12" x14ac:dyDescent="0.25">
      <c r="A435" t="s">
        <v>20</v>
      </c>
      <c r="B435" t="s">
        <v>24</v>
      </c>
      <c r="C435" t="s">
        <v>588</v>
      </c>
      <c r="E435" t="s">
        <v>21</v>
      </c>
      <c r="F435" t="str">
        <f>_xlfn.XLOOKUP($E435,Sheet1!$E:$E,Sheet1!F:F)</f>
        <v>North Ryde</v>
      </c>
      <c r="G435" t="str">
        <f>_xlfn.XLOOKUP($E435,Sheet1!$E:$E,Sheet1!G:G)</f>
        <v>North Ryde [New South Wales]</v>
      </c>
      <c r="I435" t="str">
        <f>_xlfn.XLOOKUP($E435,Sheet1!$E:$E,Sheet1!I:I)</f>
        <v>Default station</v>
      </c>
      <c r="K435" t="s">
        <v>1481</v>
      </c>
      <c r="L435">
        <v>37740101</v>
      </c>
    </row>
    <row r="436" spans="1:12" x14ac:dyDescent="0.25">
      <c r="A436" t="s">
        <v>20</v>
      </c>
      <c r="B436" t="s">
        <v>24</v>
      </c>
      <c r="C436" t="s">
        <v>589</v>
      </c>
      <c r="E436" t="s">
        <v>21</v>
      </c>
      <c r="F436" t="str">
        <f>_xlfn.XLOOKUP($E436,Sheet1!$E:$E,Sheet1!F:F)</f>
        <v>North Ryde</v>
      </c>
      <c r="G436" t="str">
        <f>_xlfn.XLOOKUP($E436,Sheet1!$E:$E,Sheet1!G:G)</f>
        <v>North Ryde [New South Wales]</v>
      </c>
      <c r="I436" t="str">
        <f>_xlfn.XLOOKUP($E436,Sheet1!$E:$E,Sheet1!I:I)</f>
        <v>Default station</v>
      </c>
      <c r="K436" t="s">
        <v>1482</v>
      </c>
      <c r="L436">
        <v>254603</v>
      </c>
    </row>
    <row r="437" spans="1:12" x14ac:dyDescent="0.25">
      <c r="A437" t="s">
        <v>20</v>
      </c>
      <c r="B437" t="s">
        <v>24</v>
      </c>
      <c r="C437" t="s">
        <v>590</v>
      </c>
      <c r="E437" t="s">
        <v>21</v>
      </c>
      <c r="F437" t="str">
        <f>_xlfn.XLOOKUP($E437,Sheet1!$E:$E,Sheet1!F:F)</f>
        <v>North Ryde</v>
      </c>
      <c r="G437" t="str">
        <f>_xlfn.XLOOKUP($E437,Sheet1!$E:$E,Sheet1!G:G)</f>
        <v>North Ryde [New South Wales]</v>
      </c>
      <c r="I437" t="str">
        <f>_xlfn.XLOOKUP($E437,Sheet1!$E:$E,Sheet1!I:I)</f>
        <v>Default station</v>
      </c>
      <c r="K437" t="s">
        <v>1483</v>
      </c>
      <c r="L437">
        <v>16011394</v>
      </c>
    </row>
    <row r="438" spans="1:12" x14ac:dyDescent="0.25">
      <c r="A438" t="s">
        <v>20</v>
      </c>
      <c r="B438" t="s">
        <v>24</v>
      </c>
      <c r="C438" t="s">
        <v>591</v>
      </c>
      <c r="E438" t="s">
        <v>21</v>
      </c>
      <c r="F438" t="str">
        <f>_xlfn.XLOOKUP($E438,Sheet1!$E:$E,Sheet1!F:F)</f>
        <v>North Ryde</v>
      </c>
      <c r="G438" t="str">
        <f>_xlfn.XLOOKUP($E438,Sheet1!$E:$E,Sheet1!G:G)</f>
        <v>North Ryde [New South Wales]</v>
      </c>
      <c r="I438" t="str">
        <f>_xlfn.XLOOKUP($E438,Sheet1!$E:$E,Sheet1!I:I)</f>
        <v>Default station</v>
      </c>
      <c r="K438" t="s">
        <v>1484</v>
      </c>
      <c r="L438">
        <v>16012401</v>
      </c>
    </row>
    <row r="439" spans="1:12" x14ac:dyDescent="0.25">
      <c r="A439" t="s">
        <v>20</v>
      </c>
      <c r="B439" t="s">
        <v>24</v>
      </c>
      <c r="C439" t="s">
        <v>592</v>
      </c>
      <c r="E439" t="s">
        <v>21</v>
      </c>
      <c r="F439" t="str">
        <f>_xlfn.XLOOKUP($E439,Sheet1!$E:$E,Sheet1!F:F)</f>
        <v>North Ryde</v>
      </c>
      <c r="G439" t="str">
        <f>_xlfn.XLOOKUP($E439,Sheet1!$E:$E,Sheet1!G:G)</f>
        <v>North Ryde [New South Wales]</v>
      </c>
      <c r="I439" t="str">
        <f>_xlfn.XLOOKUP($E439,Sheet1!$E:$E,Sheet1!I:I)</f>
        <v>Default station</v>
      </c>
      <c r="K439" t="s">
        <v>43</v>
      </c>
      <c r="L439">
        <v>17030214</v>
      </c>
    </row>
    <row r="440" spans="1:12" x14ac:dyDescent="0.25">
      <c r="A440" t="s">
        <v>20</v>
      </c>
      <c r="B440" t="s">
        <v>24</v>
      </c>
      <c r="C440" t="s">
        <v>593</v>
      </c>
      <c r="E440" t="s">
        <v>21</v>
      </c>
      <c r="F440" t="str">
        <f>_xlfn.XLOOKUP($E440,Sheet1!$E:$E,Sheet1!F:F)</f>
        <v>North Ryde</v>
      </c>
      <c r="G440" t="str">
        <f>_xlfn.XLOOKUP($E440,Sheet1!$E:$E,Sheet1!G:G)</f>
        <v>North Ryde [New South Wales]</v>
      </c>
      <c r="I440" t="str">
        <f>_xlfn.XLOOKUP($E440,Sheet1!$E:$E,Sheet1!I:I)</f>
        <v>Default station</v>
      </c>
      <c r="K440" t="s">
        <v>1485</v>
      </c>
      <c r="L440">
        <v>23440009</v>
      </c>
    </row>
    <row r="441" spans="1:12" x14ac:dyDescent="0.25">
      <c r="A441" t="s">
        <v>20</v>
      </c>
      <c r="B441" t="s">
        <v>24</v>
      </c>
      <c r="C441" t="s">
        <v>594</v>
      </c>
      <c r="E441" t="s">
        <v>21</v>
      </c>
      <c r="F441" t="str">
        <f>_xlfn.XLOOKUP($E441,Sheet1!$E:$E,Sheet1!F:F)</f>
        <v>North Ryde</v>
      </c>
      <c r="G441" t="str">
        <f>_xlfn.XLOOKUP($E441,Sheet1!$E:$E,Sheet1!G:G)</f>
        <v>North Ryde [New South Wales]</v>
      </c>
      <c r="I441" t="str">
        <f>_xlfn.XLOOKUP($E441,Sheet1!$E:$E,Sheet1!I:I)</f>
        <v>Default station</v>
      </c>
      <c r="K441" t="s">
        <v>1486</v>
      </c>
      <c r="L441">
        <v>16002980</v>
      </c>
    </row>
    <row r="442" spans="1:12" x14ac:dyDescent="0.25">
      <c r="A442" t="s">
        <v>20</v>
      </c>
      <c r="B442" t="s">
        <v>24</v>
      </c>
      <c r="C442" t="s">
        <v>595</v>
      </c>
      <c r="E442" t="s">
        <v>21</v>
      </c>
      <c r="F442" t="str">
        <f>_xlfn.XLOOKUP($E442,Sheet1!$E:$E,Sheet1!F:F)</f>
        <v>North Ryde</v>
      </c>
      <c r="G442" t="str">
        <f>_xlfn.XLOOKUP($E442,Sheet1!$E:$E,Sheet1!G:G)</f>
        <v>North Ryde [New South Wales]</v>
      </c>
      <c r="I442" t="str">
        <f>_xlfn.XLOOKUP($E442,Sheet1!$E:$E,Sheet1!I:I)</f>
        <v>Default station</v>
      </c>
      <c r="K442" t="s">
        <v>1487</v>
      </c>
      <c r="L442">
        <v>14001350</v>
      </c>
    </row>
    <row r="443" spans="1:12" x14ac:dyDescent="0.25">
      <c r="A443" t="s">
        <v>20</v>
      </c>
      <c r="B443" t="s">
        <v>24</v>
      </c>
      <c r="C443" t="s">
        <v>596</v>
      </c>
      <c r="E443" t="s">
        <v>21</v>
      </c>
      <c r="F443" t="str">
        <f>_xlfn.XLOOKUP($E443,Sheet1!$E:$E,Sheet1!F:F)</f>
        <v>North Ryde</v>
      </c>
      <c r="G443" t="str">
        <f>_xlfn.XLOOKUP($E443,Sheet1!$E:$E,Sheet1!G:G)</f>
        <v>North Ryde [New South Wales]</v>
      </c>
      <c r="I443" t="str">
        <f>_xlfn.XLOOKUP($E443,Sheet1!$E:$E,Sheet1!I:I)</f>
        <v>Default station</v>
      </c>
      <c r="K443" t="s">
        <v>1488</v>
      </c>
      <c r="L443">
        <v>16011353</v>
      </c>
    </row>
    <row r="444" spans="1:12" x14ac:dyDescent="0.25">
      <c r="A444" t="s">
        <v>20</v>
      </c>
      <c r="B444" t="s">
        <v>24</v>
      </c>
      <c r="C444" t="s">
        <v>597</v>
      </c>
      <c r="E444" t="s">
        <v>21</v>
      </c>
      <c r="F444" t="str">
        <f>_xlfn.XLOOKUP($E444,Sheet1!$E:$E,Sheet1!F:F)</f>
        <v>North Ryde</v>
      </c>
      <c r="G444" t="str">
        <f>_xlfn.XLOOKUP($E444,Sheet1!$E:$E,Sheet1!G:G)</f>
        <v>North Ryde [New South Wales]</v>
      </c>
      <c r="I444" t="str">
        <f>_xlfn.XLOOKUP($E444,Sheet1!$E:$E,Sheet1!I:I)</f>
        <v>Default station</v>
      </c>
      <c r="K444" t="s">
        <v>49</v>
      </c>
      <c r="L444">
        <v>37740100</v>
      </c>
    </row>
    <row r="445" spans="1:12" x14ac:dyDescent="0.25">
      <c r="A445" t="s">
        <v>20</v>
      </c>
      <c r="B445" t="s">
        <v>24</v>
      </c>
      <c r="C445" t="s">
        <v>598</v>
      </c>
      <c r="E445" t="s">
        <v>21</v>
      </c>
      <c r="F445" t="str">
        <f>_xlfn.XLOOKUP($E445,Sheet1!$E:$E,Sheet1!F:F)</f>
        <v>North Ryde</v>
      </c>
      <c r="G445" t="str">
        <f>_xlfn.XLOOKUP($E445,Sheet1!$E:$E,Sheet1!G:G)</f>
        <v>North Ryde [New South Wales]</v>
      </c>
      <c r="I445" t="str">
        <f>_xlfn.XLOOKUP($E445,Sheet1!$E:$E,Sheet1!I:I)</f>
        <v>Default station</v>
      </c>
      <c r="K445" t="s">
        <v>1489</v>
      </c>
      <c r="L445">
        <v>170842</v>
      </c>
    </row>
    <row r="446" spans="1:12" x14ac:dyDescent="0.25">
      <c r="A446" t="s">
        <v>20</v>
      </c>
      <c r="B446" t="s">
        <v>24</v>
      </c>
      <c r="C446" t="s">
        <v>599</v>
      </c>
      <c r="E446" t="s">
        <v>21</v>
      </c>
      <c r="F446" t="str">
        <f>_xlfn.XLOOKUP($E446,Sheet1!$E:$E,Sheet1!F:F)</f>
        <v>North Ryde</v>
      </c>
      <c r="G446" t="str">
        <f>_xlfn.XLOOKUP($E446,Sheet1!$E:$E,Sheet1!G:G)</f>
        <v>North Ryde [New South Wales]</v>
      </c>
      <c r="I446" t="str">
        <f>_xlfn.XLOOKUP($E446,Sheet1!$E:$E,Sheet1!I:I)</f>
        <v>Default station</v>
      </c>
      <c r="K446" t="s">
        <v>1490</v>
      </c>
      <c r="L446">
        <v>38220064</v>
      </c>
    </row>
    <row r="447" spans="1:12" x14ac:dyDescent="0.25">
      <c r="A447" t="s">
        <v>20</v>
      </c>
      <c r="B447" t="s">
        <v>24</v>
      </c>
      <c r="C447" t="s">
        <v>600</v>
      </c>
      <c r="E447" t="s">
        <v>21</v>
      </c>
      <c r="F447" t="str">
        <f>_xlfn.XLOOKUP($E447,Sheet1!$E:$E,Sheet1!F:F)</f>
        <v>North Ryde</v>
      </c>
      <c r="G447" t="str">
        <f>_xlfn.XLOOKUP($E447,Sheet1!$E:$E,Sheet1!G:G)</f>
        <v>North Ryde [New South Wales]</v>
      </c>
      <c r="I447" t="str">
        <f>_xlfn.XLOOKUP($E447,Sheet1!$E:$E,Sheet1!I:I)</f>
        <v>Default station</v>
      </c>
      <c r="K447" t="s">
        <v>1491</v>
      </c>
      <c r="L447">
        <v>16010979</v>
      </c>
    </row>
    <row r="448" spans="1:12" x14ac:dyDescent="0.25">
      <c r="A448" t="s">
        <v>20</v>
      </c>
      <c r="B448" t="s">
        <v>24</v>
      </c>
      <c r="C448" t="s">
        <v>601</v>
      </c>
      <c r="E448" t="s">
        <v>21</v>
      </c>
      <c r="F448" t="str">
        <f>_xlfn.XLOOKUP($E448,Sheet1!$E:$E,Sheet1!F:F)</f>
        <v>North Ryde</v>
      </c>
      <c r="G448" t="str">
        <f>_xlfn.XLOOKUP($E448,Sheet1!$E:$E,Sheet1!G:G)</f>
        <v>North Ryde [New South Wales]</v>
      </c>
      <c r="I448" t="str">
        <f>_xlfn.XLOOKUP($E448,Sheet1!$E:$E,Sheet1!I:I)</f>
        <v>Default station</v>
      </c>
      <c r="K448" t="s">
        <v>1492</v>
      </c>
      <c r="L448">
        <v>16016869</v>
      </c>
    </row>
    <row r="449" spans="1:12" x14ac:dyDescent="0.25">
      <c r="A449" t="s">
        <v>20</v>
      </c>
      <c r="B449" t="s">
        <v>24</v>
      </c>
      <c r="C449" t="s">
        <v>602</v>
      </c>
      <c r="E449" t="s">
        <v>21</v>
      </c>
      <c r="F449" t="str">
        <f>_xlfn.XLOOKUP($E449,Sheet1!$E:$E,Sheet1!F:F)</f>
        <v>North Ryde</v>
      </c>
      <c r="G449" t="str">
        <f>_xlfn.XLOOKUP($E449,Sheet1!$E:$E,Sheet1!G:G)</f>
        <v>North Ryde [New South Wales]</v>
      </c>
      <c r="I449" t="str">
        <f>_xlfn.XLOOKUP($E449,Sheet1!$E:$E,Sheet1!I:I)</f>
        <v>Default station</v>
      </c>
      <c r="K449" t="s">
        <v>1493</v>
      </c>
      <c r="L449">
        <v>38270058</v>
      </c>
    </row>
    <row r="450" spans="1:12" x14ac:dyDescent="0.25">
      <c r="A450" t="s">
        <v>20</v>
      </c>
      <c r="B450" t="s">
        <v>24</v>
      </c>
      <c r="C450" t="s">
        <v>603</v>
      </c>
      <c r="E450" t="s">
        <v>21</v>
      </c>
      <c r="F450" t="str">
        <f>_xlfn.XLOOKUP($E450,Sheet1!$E:$E,Sheet1!F:F)</f>
        <v>North Ryde</v>
      </c>
      <c r="G450" t="str">
        <f>_xlfn.XLOOKUP($E450,Sheet1!$E:$E,Sheet1!G:G)</f>
        <v>North Ryde [New South Wales]</v>
      </c>
      <c r="I450" t="str">
        <f>_xlfn.XLOOKUP($E450,Sheet1!$E:$E,Sheet1!I:I)</f>
        <v>Default station</v>
      </c>
      <c r="K450" t="s">
        <v>1494</v>
      </c>
      <c r="L450">
        <v>16009650</v>
      </c>
    </row>
    <row r="451" spans="1:12" x14ac:dyDescent="0.25">
      <c r="A451" t="s">
        <v>20</v>
      </c>
      <c r="B451" t="s">
        <v>24</v>
      </c>
      <c r="C451" t="s">
        <v>604</v>
      </c>
      <c r="E451" t="s">
        <v>21</v>
      </c>
      <c r="F451" t="str">
        <f>_xlfn.XLOOKUP($E451,Sheet1!$E:$E,Sheet1!F:F)</f>
        <v>North Ryde</v>
      </c>
      <c r="G451" t="str">
        <f>_xlfn.XLOOKUP($E451,Sheet1!$E:$E,Sheet1!G:G)</f>
        <v>North Ryde [New South Wales]</v>
      </c>
      <c r="I451" t="str">
        <f>_xlfn.XLOOKUP($E451,Sheet1!$E:$E,Sheet1!I:I)</f>
        <v>Default station</v>
      </c>
      <c r="K451" t="s">
        <v>1495</v>
      </c>
      <c r="L451">
        <v>16016442</v>
      </c>
    </row>
    <row r="452" spans="1:12" x14ac:dyDescent="0.25">
      <c r="A452" t="s">
        <v>20</v>
      </c>
      <c r="B452" t="s">
        <v>24</v>
      </c>
      <c r="C452" t="s">
        <v>605</v>
      </c>
      <c r="E452" t="s">
        <v>21</v>
      </c>
      <c r="F452" t="str">
        <f>_xlfn.XLOOKUP($E452,Sheet1!$E:$E,Sheet1!F:F)</f>
        <v>North Ryde</v>
      </c>
      <c r="G452" t="str">
        <f>_xlfn.XLOOKUP($E452,Sheet1!$E:$E,Sheet1!G:G)</f>
        <v>North Ryde [New South Wales]</v>
      </c>
      <c r="I452" t="str">
        <f>_xlfn.XLOOKUP($E452,Sheet1!$E:$E,Sheet1!I:I)</f>
        <v>Default station</v>
      </c>
      <c r="K452" t="s">
        <v>1496</v>
      </c>
      <c r="L452">
        <v>16014078</v>
      </c>
    </row>
    <row r="453" spans="1:12" x14ac:dyDescent="0.25">
      <c r="A453" t="s">
        <v>20</v>
      </c>
      <c r="B453" t="s">
        <v>24</v>
      </c>
      <c r="C453" t="s">
        <v>606</v>
      </c>
      <c r="E453" t="s">
        <v>21</v>
      </c>
      <c r="F453" t="str">
        <f>_xlfn.XLOOKUP($E453,Sheet1!$E:$E,Sheet1!F:F)</f>
        <v>North Ryde</v>
      </c>
      <c r="G453" t="str">
        <f>_xlfn.XLOOKUP($E453,Sheet1!$E:$E,Sheet1!G:G)</f>
        <v>North Ryde [New South Wales]</v>
      </c>
      <c r="I453" t="str">
        <f>_xlfn.XLOOKUP($E453,Sheet1!$E:$E,Sheet1!I:I)</f>
        <v>Default station</v>
      </c>
      <c r="K453" t="s">
        <v>1497</v>
      </c>
      <c r="L453">
        <v>16011380</v>
      </c>
    </row>
    <row r="454" spans="1:12" x14ac:dyDescent="0.25">
      <c r="A454" t="s">
        <v>20</v>
      </c>
      <c r="B454" t="s">
        <v>24</v>
      </c>
      <c r="C454" t="s">
        <v>607</v>
      </c>
      <c r="E454" t="s">
        <v>21</v>
      </c>
      <c r="F454" t="str">
        <f>_xlfn.XLOOKUP($E454,Sheet1!$E:$E,Sheet1!F:F)</f>
        <v>North Ryde</v>
      </c>
      <c r="G454" t="str">
        <f>_xlfn.XLOOKUP($E454,Sheet1!$E:$E,Sheet1!G:G)</f>
        <v>North Ryde [New South Wales]</v>
      </c>
      <c r="I454" t="str">
        <f>_xlfn.XLOOKUP($E454,Sheet1!$E:$E,Sheet1!I:I)</f>
        <v>Default station</v>
      </c>
      <c r="K454" t="s">
        <v>1498</v>
      </c>
      <c r="L454">
        <v>16017956</v>
      </c>
    </row>
    <row r="455" spans="1:12" x14ac:dyDescent="0.25">
      <c r="A455" t="s">
        <v>20</v>
      </c>
      <c r="B455" t="s">
        <v>24</v>
      </c>
      <c r="C455" t="s">
        <v>608</v>
      </c>
      <c r="E455" t="s">
        <v>21</v>
      </c>
      <c r="F455" t="str">
        <f>_xlfn.XLOOKUP($E455,Sheet1!$E:$E,Sheet1!F:F)</f>
        <v>North Ryde</v>
      </c>
      <c r="G455" t="str">
        <f>_xlfn.XLOOKUP($E455,Sheet1!$E:$E,Sheet1!G:G)</f>
        <v>North Ryde [New South Wales]</v>
      </c>
      <c r="I455" t="str">
        <f>_xlfn.XLOOKUP($E455,Sheet1!$E:$E,Sheet1!I:I)</f>
        <v>Default station</v>
      </c>
      <c r="K455" t="s">
        <v>1499</v>
      </c>
      <c r="L455">
        <v>38225093</v>
      </c>
    </row>
    <row r="456" spans="1:12" x14ac:dyDescent="0.25">
      <c r="A456" t="s">
        <v>20</v>
      </c>
      <c r="B456" t="s">
        <v>24</v>
      </c>
      <c r="C456" t="s">
        <v>609</v>
      </c>
      <c r="E456" t="s">
        <v>21</v>
      </c>
      <c r="F456" t="str">
        <f>_xlfn.XLOOKUP($E456,Sheet1!$E:$E,Sheet1!F:F)</f>
        <v>North Ryde</v>
      </c>
      <c r="G456" t="str">
        <f>_xlfn.XLOOKUP($E456,Sheet1!$E:$E,Sheet1!G:G)</f>
        <v>North Ryde [New South Wales]</v>
      </c>
      <c r="I456" t="str">
        <f>_xlfn.XLOOKUP($E456,Sheet1!$E:$E,Sheet1!I:I)</f>
        <v>Default station</v>
      </c>
      <c r="K456" t="s">
        <v>1500</v>
      </c>
      <c r="L456">
        <v>16016454</v>
      </c>
    </row>
    <row r="457" spans="1:12" x14ac:dyDescent="0.25">
      <c r="A457" t="s">
        <v>20</v>
      </c>
      <c r="B457" t="s">
        <v>24</v>
      </c>
      <c r="C457" t="s">
        <v>610</v>
      </c>
      <c r="E457" t="s">
        <v>21</v>
      </c>
      <c r="F457" t="str">
        <f>_xlfn.XLOOKUP($E457,Sheet1!$E:$E,Sheet1!F:F)</f>
        <v>North Ryde</v>
      </c>
      <c r="G457" t="str">
        <f>_xlfn.XLOOKUP($E457,Sheet1!$E:$E,Sheet1!G:G)</f>
        <v>North Ryde [New South Wales]</v>
      </c>
      <c r="I457" t="str">
        <f>_xlfn.XLOOKUP($E457,Sheet1!$E:$E,Sheet1!I:I)</f>
        <v>Default station</v>
      </c>
      <c r="K457" t="s">
        <v>1501</v>
      </c>
      <c r="L457">
        <v>14001344</v>
      </c>
    </row>
    <row r="458" spans="1:12" x14ac:dyDescent="0.25">
      <c r="A458" t="s">
        <v>20</v>
      </c>
      <c r="B458" t="s">
        <v>24</v>
      </c>
      <c r="C458" t="s">
        <v>611</v>
      </c>
      <c r="E458" t="s">
        <v>21</v>
      </c>
      <c r="F458" t="str">
        <f>_xlfn.XLOOKUP($E458,Sheet1!$E:$E,Sheet1!F:F)</f>
        <v>North Ryde</v>
      </c>
      <c r="G458" t="str">
        <f>_xlfn.XLOOKUP($E458,Sheet1!$E:$E,Sheet1!G:G)</f>
        <v>North Ryde [New South Wales]</v>
      </c>
      <c r="I458" t="str">
        <f>_xlfn.XLOOKUP($E458,Sheet1!$E:$E,Sheet1!I:I)</f>
        <v>Default station</v>
      </c>
      <c r="K458" t="s">
        <v>1502</v>
      </c>
      <c r="L458">
        <v>230103</v>
      </c>
    </row>
    <row r="459" spans="1:12" x14ac:dyDescent="0.25">
      <c r="A459" t="s">
        <v>20</v>
      </c>
      <c r="B459" t="s">
        <v>24</v>
      </c>
      <c r="C459" t="s">
        <v>612</v>
      </c>
      <c r="E459" t="s">
        <v>21</v>
      </c>
      <c r="F459" t="str">
        <f>_xlfn.XLOOKUP($E459,Sheet1!$E:$E,Sheet1!F:F)</f>
        <v>North Ryde</v>
      </c>
      <c r="G459" t="str">
        <f>_xlfn.XLOOKUP($E459,Sheet1!$E:$E,Sheet1!G:G)</f>
        <v>North Ryde [New South Wales]</v>
      </c>
      <c r="I459" t="str">
        <f>_xlfn.XLOOKUP($E459,Sheet1!$E:$E,Sheet1!I:I)</f>
        <v>Default station</v>
      </c>
      <c r="K459" t="s">
        <v>1503</v>
      </c>
      <c r="L459">
        <v>170531</v>
      </c>
    </row>
    <row r="460" spans="1:12" x14ac:dyDescent="0.25">
      <c r="A460" t="s">
        <v>20</v>
      </c>
      <c r="B460" t="s">
        <v>24</v>
      </c>
      <c r="C460" t="s">
        <v>613</v>
      </c>
      <c r="E460" t="s">
        <v>21</v>
      </c>
      <c r="F460" t="str">
        <f>_xlfn.XLOOKUP($E460,Sheet1!$E:$E,Sheet1!F:F)</f>
        <v>North Ryde</v>
      </c>
      <c r="G460" t="str">
        <f>_xlfn.XLOOKUP($E460,Sheet1!$E:$E,Sheet1!G:G)</f>
        <v>North Ryde [New South Wales]</v>
      </c>
      <c r="I460" t="str">
        <f>_xlfn.XLOOKUP($E460,Sheet1!$E:$E,Sheet1!I:I)</f>
        <v>Default station</v>
      </c>
      <c r="K460" t="s">
        <v>1504</v>
      </c>
      <c r="L460">
        <v>14000312</v>
      </c>
    </row>
    <row r="461" spans="1:12" x14ac:dyDescent="0.25">
      <c r="A461" t="s">
        <v>20</v>
      </c>
      <c r="B461" t="s">
        <v>24</v>
      </c>
      <c r="C461" t="s">
        <v>614</v>
      </c>
      <c r="E461" t="s">
        <v>21</v>
      </c>
      <c r="F461" t="str">
        <f>_xlfn.XLOOKUP($E461,Sheet1!$E:$E,Sheet1!F:F)</f>
        <v>North Ryde</v>
      </c>
      <c r="G461" t="str">
        <f>_xlfn.XLOOKUP($E461,Sheet1!$E:$E,Sheet1!G:G)</f>
        <v>North Ryde [New South Wales]</v>
      </c>
      <c r="I461" t="str">
        <f>_xlfn.XLOOKUP($E461,Sheet1!$E:$E,Sheet1!I:I)</f>
        <v>Default station</v>
      </c>
      <c r="K461" t="s">
        <v>1505</v>
      </c>
      <c r="L461">
        <v>14001923</v>
      </c>
    </row>
    <row r="462" spans="1:12" x14ac:dyDescent="0.25">
      <c r="A462" t="s">
        <v>20</v>
      </c>
      <c r="B462" t="s">
        <v>24</v>
      </c>
      <c r="C462" t="s">
        <v>615</v>
      </c>
      <c r="E462" t="s">
        <v>21</v>
      </c>
      <c r="F462" t="str">
        <f>_xlfn.XLOOKUP($E462,Sheet1!$E:$E,Sheet1!F:F)</f>
        <v>North Ryde</v>
      </c>
      <c r="G462" t="str">
        <f>_xlfn.XLOOKUP($E462,Sheet1!$E:$E,Sheet1!G:G)</f>
        <v>North Ryde [New South Wales]</v>
      </c>
      <c r="I462" t="str">
        <f>_xlfn.XLOOKUP($E462,Sheet1!$E:$E,Sheet1!I:I)</f>
        <v>Default station</v>
      </c>
      <c r="K462" t="s">
        <v>1506</v>
      </c>
      <c r="L462">
        <v>170327</v>
      </c>
    </row>
    <row r="463" spans="1:12" x14ac:dyDescent="0.25">
      <c r="A463" t="s">
        <v>20</v>
      </c>
      <c r="B463" t="s">
        <v>24</v>
      </c>
      <c r="C463" t="s">
        <v>616</v>
      </c>
      <c r="E463" t="s">
        <v>21</v>
      </c>
      <c r="F463" t="str">
        <f>_xlfn.XLOOKUP($E463,Sheet1!$E:$E,Sheet1!F:F)</f>
        <v>North Ryde</v>
      </c>
      <c r="G463" t="str">
        <f>_xlfn.XLOOKUP($E463,Sheet1!$E:$E,Sheet1!G:G)</f>
        <v>North Ryde [New South Wales]</v>
      </c>
      <c r="I463" t="str">
        <f>_xlfn.XLOOKUP($E463,Sheet1!$E:$E,Sheet1!I:I)</f>
        <v>Default station</v>
      </c>
      <c r="K463" t="s">
        <v>1507</v>
      </c>
      <c r="L463">
        <v>16014692</v>
      </c>
    </row>
    <row r="464" spans="1:12" x14ac:dyDescent="0.25">
      <c r="A464" t="s">
        <v>20</v>
      </c>
      <c r="B464" t="s">
        <v>24</v>
      </c>
      <c r="C464" t="s">
        <v>617</v>
      </c>
      <c r="E464" t="s">
        <v>21</v>
      </c>
      <c r="F464" t="str">
        <f>_xlfn.XLOOKUP($E464,Sheet1!$E:$E,Sheet1!F:F)</f>
        <v>North Ryde</v>
      </c>
      <c r="G464" t="str">
        <f>_xlfn.XLOOKUP($E464,Sheet1!$E:$E,Sheet1!G:G)</f>
        <v>North Ryde [New South Wales]</v>
      </c>
      <c r="I464" t="str">
        <f>_xlfn.XLOOKUP($E464,Sheet1!$E:$E,Sheet1!I:I)</f>
        <v>Default station</v>
      </c>
      <c r="K464" t="s">
        <v>1508</v>
      </c>
      <c r="L464">
        <v>38220094</v>
      </c>
    </row>
    <row r="465" spans="1:12" x14ac:dyDescent="0.25">
      <c r="A465" t="s">
        <v>20</v>
      </c>
      <c r="B465" t="s">
        <v>24</v>
      </c>
      <c r="C465" t="s">
        <v>618</v>
      </c>
      <c r="E465" t="s">
        <v>21</v>
      </c>
      <c r="F465" t="str">
        <f>_xlfn.XLOOKUP($E465,Sheet1!$E:$E,Sheet1!F:F)</f>
        <v>North Ryde</v>
      </c>
      <c r="G465" t="str">
        <f>_xlfn.XLOOKUP($E465,Sheet1!$E:$E,Sheet1!G:G)</f>
        <v>North Ryde [New South Wales]</v>
      </c>
      <c r="I465" t="str">
        <f>_xlfn.XLOOKUP($E465,Sheet1!$E:$E,Sheet1!I:I)</f>
        <v>Default station</v>
      </c>
      <c r="K465" t="s">
        <v>114</v>
      </c>
      <c r="L465">
        <v>170137</v>
      </c>
    </row>
    <row r="466" spans="1:12" x14ac:dyDescent="0.25">
      <c r="A466" t="s">
        <v>20</v>
      </c>
      <c r="B466" t="s">
        <v>24</v>
      </c>
      <c r="C466" t="s">
        <v>619</v>
      </c>
      <c r="E466" t="s">
        <v>21</v>
      </c>
      <c r="F466" t="str">
        <f>_xlfn.XLOOKUP($E466,Sheet1!$E:$E,Sheet1!F:F)</f>
        <v>North Ryde</v>
      </c>
      <c r="G466" t="str">
        <f>_xlfn.XLOOKUP($E466,Sheet1!$E:$E,Sheet1!G:G)</f>
        <v>North Ryde [New South Wales]</v>
      </c>
      <c r="I466" t="str">
        <f>_xlfn.XLOOKUP($E466,Sheet1!$E:$E,Sheet1!I:I)</f>
        <v>Default station</v>
      </c>
      <c r="K466" t="s">
        <v>1509</v>
      </c>
      <c r="L466">
        <v>16012446</v>
      </c>
    </row>
    <row r="467" spans="1:12" x14ac:dyDescent="0.25">
      <c r="A467" t="s">
        <v>20</v>
      </c>
      <c r="B467" t="s">
        <v>24</v>
      </c>
      <c r="C467" t="s">
        <v>620</v>
      </c>
      <c r="E467" t="s">
        <v>21</v>
      </c>
      <c r="F467" t="str">
        <f>_xlfn.XLOOKUP($E467,Sheet1!$E:$E,Sheet1!F:F)</f>
        <v>North Ryde</v>
      </c>
      <c r="G467" t="str">
        <f>_xlfn.XLOOKUP($E467,Sheet1!$E:$E,Sheet1!G:G)</f>
        <v>North Ryde [New South Wales]</v>
      </c>
      <c r="I467" t="str">
        <f>_xlfn.XLOOKUP($E467,Sheet1!$E:$E,Sheet1!I:I)</f>
        <v>Default station</v>
      </c>
      <c r="K467" t="s">
        <v>1510</v>
      </c>
      <c r="L467">
        <v>382757</v>
      </c>
    </row>
    <row r="468" spans="1:12" x14ac:dyDescent="0.25">
      <c r="A468" t="s">
        <v>20</v>
      </c>
      <c r="B468" t="s">
        <v>24</v>
      </c>
      <c r="C468" t="s">
        <v>621</v>
      </c>
      <c r="E468" t="s">
        <v>21</v>
      </c>
      <c r="F468" t="str">
        <f>_xlfn.XLOOKUP($E468,Sheet1!$E:$E,Sheet1!F:F)</f>
        <v>North Ryde</v>
      </c>
      <c r="G468" t="str">
        <f>_xlfn.XLOOKUP($E468,Sheet1!$E:$E,Sheet1!G:G)</f>
        <v>North Ryde [New South Wales]</v>
      </c>
      <c r="I468" t="str">
        <f>_xlfn.XLOOKUP($E468,Sheet1!$E:$E,Sheet1!I:I)</f>
        <v>Default station</v>
      </c>
      <c r="K468" t="s">
        <v>1511</v>
      </c>
      <c r="L468">
        <v>16013369</v>
      </c>
    </row>
    <row r="469" spans="1:12" x14ac:dyDescent="0.25">
      <c r="A469" t="s">
        <v>20</v>
      </c>
      <c r="B469" t="s">
        <v>24</v>
      </c>
      <c r="C469" t="s">
        <v>622</v>
      </c>
      <c r="E469" t="s">
        <v>21</v>
      </c>
      <c r="F469" t="str">
        <f>_xlfn.XLOOKUP($E469,Sheet1!$E:$E,Sheet1!F:F)</f>
        <v>North Ryde</v>
      </c>
      <c r="G469" t="str">
        <f>_xlfn.XLOOKUP($E469,Sheet1!$E:$E,Sheet1!G:G)</f>
        <v>North Ryde [New South Wales]</v>
      </c>
      <c r="I469" t="str">
        <f>_xlfn.XLOOKUP($E469,Sheet1!$E:$E,Sheet1!I:I)</f>
        <v>Default station</v>
      </c>
      <c r="K469" t="s">
        <v>1512</v>
      </c>
      <c r="L469">
        <v>14001333</v>
      </c>
    </row>
    <row r="470" spans="1:12" x14ac:dyDescent="0.25">
      <c r="A470" t="s">
        <v>20</v>
      </c>
      <c r="B470" t="s">
        <v>24</v>
      </c>
      <c r="C470" t="s">
        <v>623</v>
      </c>
      <c r="E470" t="s">
        <v>21</v>
      </c>
      <c r="F470" t="str">
        <f>_xlfn.XLOOKUP($E470,Sheet1!$E:$E,Sheet1!F:F)</f>
        <v>North Ryde</v>
      </c>
      <c r="G470" t="str">
        <f>_xlfn.XLOOKUP($E470,Sheet1!$E:$E,Sheet1!G:G)</f>
        <v>North Ryde [New South Wales]</v>
      </c>
      <c r="I470" t="str">
        <f>_xlfn.XLOOKUP($E470,Sheet1!$E:$E,Sheet1!I:I)</f>
        <v>Default station</v>
      </c>
      <c r="K470" t="s">
        <v>79</v>
      </c>
      <c r="L470">
        <v>170621</v>
      </c>
    </row>
    <row r="471" spans="1:12" x14ac:dyDescent="0.25">
      <c r="A471" t="s">
        <v>20</v>
      </c>
      <c r="B471" t="s">
        <v>24</v>
      </c>
      <c r="C471" t="s">
        <v>624</v>
      </c>
      <c r="E471" t="s">
        <v>21</v>
      </c>
      <c r="F471" t="str">
        <f>_xlfn.XLOOKUP($E471,Sheet1!$E:$E,Sheet1!F:F)</f>
        <v>North Ryde</v>
      </c>
      <c r="G471" t="str">
        <f>_xlfn.XLOOKUP($E471,Sheet1!$E:$E,Sheet1!G:G)</f>
        <v>North Ryde [New South Wales]</v>
      </c>
      <c r="I471" t="str">
        <f>_xlfn.XLOOKUP($E471,Sheet1!$E:$E,Sheet1!I:I)</f>
        <v>Default station</v>
      </c>
      <c r="K471" t="s">
        <v>1513</v>
      </c>
      <c r="L471">
        <v>38270104</v>
      </c>
    </row>
    <row r="472" spans="1:12" x14ac:dyDescent="0.25">
      <c r="A472" t="s">
        <v>20</v>
      </c>
      <c r="B472" t="s">
        <v>24</v>
      </c>
      <c r="C472" t="s">
        <v>625</v>
      </c>
      <c r="E472" t="s">
        <v>21</v>
      </c>
      <c r="F472" t="str">
        <f>_xlfn.XLOOKUP($E472,Sheet1!$E:$E,Sheet1!F:F)</f>
        <v>North Ryde</v>
      </c>
      <c r="G472" t="str">
        <f>_xlfn.XLOOKUP($E472,Sheet1!$E:$E,Sheet1!G:G)</f>
        <v>North Ryde [New South Wales]</v>
      </c>
      <c r="I472" t="str">
        <f>_xlfn.XLOOKUP($E472,Sheet1!$E:$E,Sheet1!I:I)</f>
        <v>Default station</v>
      </c>
      <c r="K472" t="s">
        <v>1514</v>
      </c>
      <c r="L472">
        <v>241834</v>
      </c>
    </row>
    <row r="473" spans="1:12" x14ac:dyDescent="0.25">
      <c r="A473" t="s">
        <v>20</v>
      </c>
      <c r="B473" t="s">
        <v>24</v>
      </c>
      <c r="C473" t="s">
        <v>626</v>
      </c>
      <c r="E473" t="s">
        <v>21</v>
      </c>
      <c r="F473" t="str">
        <f>_xlfn.XLOOKUP($E473,Sheet1!$E:$E,Sheet1!F:F)</f>
        <v>North Ryde</v>
      </c>
      <c r="G473" t="str">
        <f>_xlfn.XLOOKUP($E473,Sheet1!$E:$E,Sheet1!G:G)</f>
        <v>North Ryde [New South Wales]</v>
      </c>
      <c r="I473" t="str">
        <f>_xlfn.XLOOKUP($E473,Sheet1!$E:$E,Sheet1!I:I)</f>
        <v>Default station</v>
      </c>
      <c r="K473" t="s">
        <v>1515</v>
      </c>
      <c r="L473">
        <v>239001</v>
      </c>
    </row>
    <row r="474" spans="1:12" x14ac:dyDescent="0.25">
      <c r="A474" t="s">
        <v>20</v>
      </c>
      <c r="B474" t="s">
        <v>24</v>
      </c>
      <c r="C474" t="s">
        <v>627</v>
      </c>
      <c r="E474" t="s">
        <v>21</v>
      </c>
      <c r="F474" t="str">
        <f>_xlfn.XLOOKUP($E474,Sheet1!$E:$E,Sheet1!F:F)</f>
        <v>North Ryde</v>
      </c>
      <c r="G474" t="str">
        <f>_xlfn.XLOOKUP($E474,Sheet1!$E:$E,Sheet1!G:G)</f>
        <v>North Ryde [New South Wales]</v>
      </c>
      <c r="I474" t="str">
        <f>_xlfn.XLOOKUP($E474,Sheet1!$E:$E,Sheet1!I:I)</f>
        <v>Default station</v>
      </c>
      <c r="K474" t="s">
        <v>1516</v>
      </c>
      <c r="L474">
        <v>377401</v>
      </c>
    </row>
    <row r="475" spans="1:12" x14ac:dyDescent="0.25">
      <c r="A475" t="s">
        <v>20</v>
      </c>
      <c r="B475" t="s">
        <v>24</v>
      </c>
      <c r="C475" t="s">
        <v>628</v>
      </c>
      <c r="E475" t="s">
        <v>21</v>
      </c>
      <c r="F475" t="str">
        <f>_xlfn.XLOOKUP($E475,Sheet1!$E:$E,Sheet1!F:F)</f>
        <v>North Ryde</v>
      </c>
      <c r="G475" t="str">
        <f>_xlfn.XLOOKUP($E475,Sheet1!$E:$E,Sheet1!G:G)</f>
        <v>North Ryde [New South Wales]</v>
      </c>
      <c r="I475" t="str">
        <f>_xlfn.XLOOKUP($E475,Sheet1!$E:$E,Sheet1!I:I)</f>
        <v>Default station</v>
      </c>
      <c r="K475" t="s">
        <v>1517</v>
      </c>
      <c r="L475">
        <v>170270</v>
      </c>
    </row>
    <row r="476" spans="1:12" x14ac:dyDescent="0.25">
      <c r="A476" t="s">
        <v>20</v>
      </c>
      <c r="B476" t="s">
        <v>24</v>
      </c>
      <c r="C476" t="s">
        <v>629</v>
      </c>
      <c r="E476" t="s">
        <v>21</v>
      </c>
      <c r="F476" t="str">
        <f>_xlfn.XLOOKUP($E476,Sheet1!$E:$E,Sheet1!F:F)</f>
        <v>North Ryde</v>
      </c>
      <c r="G476" t="str">
        <f>_xlfn.XLOOKUP($E476,Sheet1!$E:$E,Sheet1!G:G)</f>
        <v>North Ryde [New South Wales]</v>
      </c>
      <c r="I476" t="str">
        <f>_xlfn.XLOOKUP($E476,Sheet1!$E:$E,Sheet1!I:I)</f>
        <v>Default station</v>
      </c>
      <c r="K476" t="s">
        <v>1518</v>
      </c>
      <c r="L476">
        <v>170132</v>
      </c>
    </row>
    <row r="477" spans="1:12" x14ac:dyDescent="0.25">
      <c r="A477" t="s">
        <v>20</v>
      </c>
      <c r="B477" t="s">
        <v>24</v>
      </c>
      <c r="C477" t="s">
        <v>630</v>
      </c>
      <c r="E477" t="s">
        <v>21</v>
      </c>
      <c r="F477" t="str">
        <f>_xlfn.XLOOKUP($E477,Sheet1!$E:$E,Sheet1!F:F)</f>
        <v>North Ryde</v>
      </c>
      <c r="G477" t="str">
        <f>_xlfn.XLOOKUP($E477,Sheet1!$E:$E,Sheet1!G:G)</f>
        <v>North Ryde [New South Wales]</v>
      </c>
      <c r="I477" t="str">
        <f>_xlfn.XLOOKUP($E477,Sheet1!$E:$E,Sheet1!I:I)</f>
        <v>Default station</v>
      </c>
      <c r="K477" t="s">
        <v>1519</v>
      </c>
      <c r="L477">
        <v>16014523</v>
      </c>
    </row>
    <row r="478" spans="1:12" x14ac:dyDescent="0.25">
      <c r="A478" t="s">
        <v>20</v>
      </c>
      <c r="B478" t="s">
        <v>24</v>
      </c>
      <c r="C478" t="s">
        <v>631</v>
      </c>
      <c r="E478" t="s">
        <v>21</v>
      </c>
      <c r="F478" t="str">
        <f>_xlfn.XLOOKUP($E478,Sheet1!$E:$E,Sheet1!F:F)</f>
        <v>North Ryde</v>
      </c>
      <c r="G478" t="str">
        <f>_xlfn.XLOOKUP($E478,Sheet1!$E:$E,Sheet1!G:G)</f>
        <v>North Ryde [New South Wales]</v>
      </c>
      <c r="I478" t="str">
        <f>_xlfn.XLOOKUP($E478,Sheet1!$E:$E,Sheet1!I:I)</f>
        <v>Default station</v>
      </c>
      <c r="K478" t="s">
        <v>1520</v>
      </c>
      <c r="L478">
        <v>16017763</v>
      </c>
    </row>
    <row r="479" spans="1:12" x14ac:dyDescent="0.25">
      <c r="A479" t="s">
        <v>20</v>
      </c>
      <c r="B479" t="s">
        <v>24</v>
      </c>
      <c r="C479" t="s">
        <v>632</v>
      </c>
      <c r="E479" t="s">
        <v>21</v>
      </c>
      <c r="F479" t="str">
        <f>_xlfn.XLOOKUP($E479,Sheet1!$E:$E,Sheet1!F:F)</f>
        <v>North Ryde</v>
      </c>
      <c r="G479" t="str">
        <f>_xlfn.XLOOKUP($E479,Sheet1!$E:$E,Sheet1!G:G)</f>
        <v>North Ryde [New South Wales]</v>
      </c>
      <c r="I479" t="str">
        <f>_xlfn.XLOOKUP($E479,Sheet1!$E:$E,Sheet1!I:I)</f>
        <v>Default station</v>
      </c>
      <c r="K479" t="s">
        <v>1521</v>
      </c>
      <c r="L479">
        <v>381702</v>
      </c>
    </row>
    <row r="480" spans="1:12" x14ac:dyDescent="0.25">
      <c r="A480" t="s">
        <v>20</v>
      </c>
      <c r="B480" t="s">
        <v>24</v>
      </c>
      <c r="C480" t="s">
        <v>633</v>
      </c>
      <c r="E480" t="s">
        <v>21</v>
      </c>
      <c r="F480" t="str">
        <f>_xlfn.XLOOKUP($E480,Sheet1!$E:$E,Sheet1!F:F)</f>
        <v>North Ryde</v>
      </c>
      <c r="G480" t="str">
        <f>_xlfn.XLOOKUP($E480,Sheet1!$E:$E,Sheet1!G:G)</f>
        <v>North Ryde [New South Wales]</v>
      </c>
      <c r="I480" t="str">
        <f>_xlfn.XLOOKUP($E480,Sheet1!$E:$E,Sheet1!I:I)</f>
        <v>Default station</v>
      </c>
      <c r="K480" t="s">
        <v>106</v>
      </c>
      <c r="L480">
        <v>13001519</v>
      </c>
    </row>
    <row r="481" spans="1:12" x14ac:dyDescent="0.25">
      <c r="A481" t="s">
        <v>20</v>
      </c>
      <c r="B481" t="s">
        <v>24</v>
      </c>
      <c r="C481" t="s">
        <v>634</v>
      </c>
      <c r="E481" t="s">
        <v>21</v>
      </c>
      <c r="F481" t="str">
        <f>_xlfn.XLOOKUP($E481,Sheet1!$E:$E,Sheet1!F:F)</f>
        <v>North Ryde</v>
      </c>
      <c r="G481" t="str">
        <f>_xlfn.XLOOKUP($E481,Sheet1!$E:$E,Sheet1!G:G)</f>
        <v>North Ryde [New South Wales]</v>
      </c>
      <c r="I481" t="str">
        <f>_xlfn.XLOOKUP($E481,Sheet1!$E:$E,Sheet1!I:I)</f>
        <v>Default station</v>
      </c>
      <c r="K481" t="s">
        <v>1522</v>
      </c>
      <c r="L481">
        <v>37210013</v>
      </c>
    </row>
    <row r="482" spans="1:12" x14ac:dyDescent="0.25">
      <c r="A482" t="s">
        <v>20</v>
      </c>
      <c r="B482" t="s">
        <v>24</v>
      </c>
      <c r="C482" t="s">
        <v>635</v>
      </c>
      <c r="E482" t="s">
        <v>21</v>
      </c>
      <c r="F482" t="str">
        <f>_xlfn.XLOOKUP($E482,Sheet1!$E:$E,Sheet1!F:F)</f>
        <v>North Ryde</v>
      </c>
      <c r="G482" t="str">
        <f>_xlfn.XLOOKUP($E482,Sheet1!$E:$E,Sheet1!G:G)</f>
        <v>North Ryde [New South Wales]</v>
      </c>
      <c r="I482" t="str">
        <f>_xlfn.XLOOKUP($E482,Sheet1!$E:$E,Sheet1!I:I)</f>
        <v>Default station</v>
      </c>
      <c r="K482" t="s">
        <v>1523</v>
      </c>
      <c r="L482">
        <v>241749</v>
      </c>
    </row>
    <row r="483" spans="1:12" x14ac:dyDescent="0.25">
      <c r="A483" t="s">
        <v>20</v>
      </c>
      <c r="B483" t="s">
        <v>24</v>
      </c>
      <c r="C483" t="s">
        <v>636</v>
      </c>
      <c r="E483" t="s">
        <v>21</v>
      </c>
      <c r="F483" t="str">
        <f>_xlfn.XLOOKUP($E483,Sheet1!$E:$E,Sheet1!F:F)</f>
        <v>North Ryde</v>
      </c>
      <c r="G483" t="str">
        <f>_xlfn.XLOOKUP($E483,Sheet1!$E:$E,Sheet1!G:G)</f>
        <v>North Ryde [New South Wales]</v>
      </c>
      <c r="I483" t="str">
        <f>_xlfn.XLOOKUP($E483,Sheet1!$E:$E,Sheet1!I:I)</f>
        <v>Default station</v>
      </c>
      <c r="K483" t="s">
        <v>1524</v>
      </c>
      <c r="L483">
        <v>16017795</v>
      </c>
    </row>
    <row r="484" spans="1:12" x14ac:dyDescent="0.25">
      <c r="A484" t="s">
        <v>20</v>
      </c>
      <c r="B484" t="s">
        <v>24</v>
      </c>
      <c r="C484" t="s">
        <v>637</v>
      </c>
      <c r="E484" t="s">
        <v>21</v>
      </c>
      <c r="F484" t="str">
        <f>_xlfn.XLOOKUP($E484,Sheet1!$E:$E,Sheet1!F:F)</f>
        <v>North Ryde</v>
      </c>
      <c r="G484" t="str">
        <f>_xlfn.XLOOKUP($E484,Sheet1!$E:$E,Sheet1!G:G)</f>
        <v>North Ryde [New South Wales]</v>
      </c>
      <c r="I484" t="str">
        <f>_xlfn.XLOOKUP($E484,Sheet1!$E:$E,Sheet1!I:I)</f>
        <v>Default station</v>
      </c>
      <c r="K484" t="s">
        <v>1525</v>
      </c>
      <c r="L484">
        <v>170620</v>
      </c>
    </row>
    <row r="485" spans="1:12" x14ac:dyDescent="0.25">
      <c r="A485" t="s">
        <v>20</v>
      </c>
      <c r="B485" t="s">
        <v>24</v>
      </c>
      <c r="C485" t="s">
        <v>638</v>
      </c>
      <c r="E485" t="s">
        <v>21</v>
      </c>
      <c r="F485" t="str">
        <f>_xlfn.XLOOKUP($E485,Sheet1!$E:$E,Sheet1!F:F)</f>
        <v>North Ryde</v>
      </c>
      <c r="G485" t="str">
        <f>_xlfn.XLOOKUP($E485,Sheet1!$E:$E,Sheet1!G:G)</f>
        <v>North Ryde [New South Wales]</v>
      </c>
      <c r="I485" t="str">
        <f>_xlfn.XLOOKUP($E485,Sheet1!$E:$E,Sheet1!I:I)</f>
        <v>Default station</v>
      </c>
      <c r="K485" t="s">
        <v>1526</v>
      </c>
      <c r="L485">
        <v>16011383</v>
      </c>
    </row>
    <row r="486" spans="1:12" x14ac:dyDescent="0.25">
      <c r="A486" t="s">
        <v>20</v>
      </c>
      <c r="B486" t="s">
        <v>24</v>
      </c>
      <c r="C486" t="s">
        <v>639</v>
      </c>
      <c r="E486" t="s">
        <v>21</v>
      </c>
      <c r="F486" t="str">
        <f>_xlfn.XLOOKUP($E486,Sheet1!$E:$E,Sheet1!F:F)</f>
        <v>North Ryde</v>
      </c>
      <c r="G486" t="str">
        <f>_xlfn.XLOOKUP($E486,Sheet1!$E:$E,Sheet1!G:G)</f>
        <v>North Ryde [New South Wales]</v>
      </c>
      <c r="I486" t="str">
        <f>_xlfn.XLOOKUP($E486,Sheet1!$E:$E,Sheet1!I:I)</f>
        <v>Default station</v>
      </c>
      <c r="K486" t="s">
        <v>147</v>
      </c>
      <c r="L486">
        <v>24150013</v>
      </c>
    </row>
    <row r="487" spans="1:12" x14ac:dyDescent="0.25">
      <c r="A487" t="s">
        <v>20</v>
      </c>
      <c r="B487" t="s">
        <v>24</v>
      </c>
      <c r="C487" t="s">
        <v>640</v>
      </c>
      <c r="E487" t="s">
        <v>21</v>
      </c>
      <c r="F487" t="str">
        <f>_xlfn.XLOOKUP($E487,Sheet1!$E:$E,Sheet1!F:F)</f>
        <v>North Ryde</v>
      </c>
      <c r="G487" t="str">
        <f>_xlfn.XLOOKUP($E487,Sheet1!$E:$E,Sheet1!G:G)</f>
        <v>North Ryde [New South Wales]</v>
      </c>
      <c r="I487" t="str">
        <f>_xlfn.XLOOKUP($E487,Sheet1!$E:$E,Sheet1!I:I)</f>
        <v>Default station</v>
      </c>
      <c r="K487" t="s">
        <v>1527</v>
      </c>
      <c r="L487">
        <v>16011424</v>
      </c>
    </row>
    <row r="488" spans="1:12" x14ac:dyDescent="0.25">
      <c r="A488" t="s">
        <v>20</v>
      </c>
      <c r="B488" t="s">
        <v>24</v>
      </c>
      <c r="C488" t="s">
        <v>641</v>
      </c>
      <c r="E488" t="s">
        <v>21</v>
      </c>
      <c r="F488" t="str">
        <f>_xlfn.XLOOKUP($E488,Sheet1!$E:$E,Sheet1!F:F)</f>
        <v>North Ryde</v>
      </c>
      <c r="G488" t="str">
        <f>_xlfn.XLOOKUP($E488,Sheet1!$E:$E,Sheet1!G:G)</f>
        <v>North Ryde [New South Wales]</v>
      </c>
      <c r="I488" t="str">
        <f>_xlfn.XLOOKUP($E488,Sheet1!$E:$E,Sheet1!I:I)</f>
        <v>Default station</v>
      </c>
      <c r="K488" t="s">
        <v>1528</v>
      </c>
      <c r="L488">
        <v>241814</v>
      </c>
    </row>
    <row r="489" spans="1:12" x14ac:dyDescent="0.25">
      <c r="A489" t="s">
        <v>20</v>
      </c>
      <c r="B489" t="s">
        <v>24</v>
      </c>
      <c r="C489" t="s">
        <v>642</v>
      </c>
      <c r="E489" t="s">
        <v>21</v>
      </c>
      <c r="F489" t="str">
        <f>_xlfn.XLOOKUP($E489,Sheet1!$E:$E,Sheet1!F:F)</f>
        <v>North Ryde</v>
      </c>
      <c r="G489" t="str">
        <f>_xlfn.XLOOKUP($E489,Sheet1!$E:$E,Sheet1!G:G)</f>
        <v>North Ryde [New South Wales]</v>
      </c>
      <c r="I489" t="str">
        <f>_xlfn.XLOOKUP($E489,Sheet1!$E:$E,Sheet1!I:I)</f>
        <v>Default station</v>
      </c>
      <c r="K489" t="s">
        <v>1529</v>
      </c>
      <c r="L489">
        <v>382101</v>
      </c>
    </row>
    <row r="490" spans="1:12" x14ac:dyDescent="0.25">
      <c r="A490" t="s">
        <v>20</v>
      </c>
      <c r="B490" t="s">
        <v>24</v>
      </c>
      <c r="C490" t="s">
        <v>643</v>
      </c>
      <c r="E490" t="s">
        <v>21</v>
      </c>
      <c r="F490" t="str">
        <f>_xlfn.XLOOKUP($E490,Sheet1!$E:$E,Sheet1!F:F)</f>
        <v>North Ryde</v>
      </c>
      <c r="G490" t="str">
        <f>_xlfn.XLOOKUP($E490,Sheet1!$E:$E,Sheet1!G:G)</f>
        <v>North Ryde [New South Wales]</v>
      </c>
      <c r="I490" t="str">
        <f>_xlfn.XLOOKUP($E490,Sheet1!$E:$E,Sheet1!I:I)</f>
        <v>Default station</v>
      </c>
      <c r="K490" t="s">
        <v>58</v>
      </c>
      <c r="L490">
        <v>39210066</v>
      </c>
    </row>
    <row r="491" spans="1:12" x14ac:dyDescent="0.25">
      <c r="A491" t="s">
        <v>20</v>
      </c>
      <c r="B491" t="s">
        <v>24</v>
      </c>
      <c r="C491" t="s">
        <v>644</v>
      </c>
      <c r="E491" t="s">
        <v>21</v>
      </c>
      <c r="F491" t="str">
        <f>_xlfn.XLOOKUP($E491,Sheet1!$E:$E,Sheet1!F:F)</f>
        <v>North Ryde</v>
      </c>
      <c r="G491" t="str">
        <f>_xlfn.XLOOKUP($E491,Sheet1!$E:$E,Sheet1!G:G)</f>
        <v>North Ryde [New South Wales]</v>
      </c>
      <c r="I491" t="str">
        <f>_xlfn.XLOOKUP($E491,Sheet1!$E:$E,Sheet1!I:I)</f>
        <v>Default station</v>
      </c>
      <c r="K491" t="s">
        <v>1530</v>
      </c>
      <c r="L491">
        <v>16017785</v>
      </c>
    </row>
    <row r="492" spans="1:12" x14ac:dyDescent="0.25">
      <c r="A492" t="s">
        <v>20</v>
      </c>
      <c r="B492" t="s">
        <v>24</v>
      </c>
      <c r="C492" t="s">
        <v>645</v>
      </c>
      <c r="E492" t="s">
        <v>21</v>
      </c>
      <c r="F492" t="str">
        <f>_xlfn.XLOOKUP($E492,Sheet1!$E:$E,Sheet1!F:F)</f>
        <v>North Ryde</v>
      </c>
      <c r="G492" t="str">
        <f>_xlfn.XLOOKUP($E492,Sheet1!$E:$E,Sheet1!G:G)</f>
        <v>North Ryde [New South Wales]</v>
      </c>
      <c r="I492" t="str">
        <f>_xlfn.XLOOKUP($E492,Sheet1!$E:$E,Sheet1!I:I)</f>
        <v>Default station</v>
      </c>
      <c r="K492" t="s">
        <v>1531</v>
      </c>
      <c r="L492">
        <v>16017810</v>
      </c>
    </row>
    <row r="493" spans="1:12" x14ac:dyDescent="0.25">
      <c r="A493" t="s">
        <v>20</v>
      </c>
      <c r="B493" t="s">
        <v>24</v>
      </c>
      <c r="C493" t="s">
        <v>646</v>
      </c>
      <c r="E493" t="s">
        <v>21</v>
      </c>
      <c r="F493" t="str">
        <f>_xlfn.XLOOKUP($E493,Sheet1!$E:$E,Sheet1!F:F)</f>
        <v>North Ryde</v>
      </c>
      <c r="G493" t="str">
        <f>_xlfn.XLOOKUP($E493,Sheet1!$E:$E,Sheet1!G:G)</f>
        <v>North Ryde [New South Wales]</v>
      </c>
      <c r="I493" t="str">
        <f>_xlfn.XLOOKUP($E493,Sheet1!$E:$E,Sheet1!I:I)</f>
        <v>Default station</v>
      </c>
      <c r="K493" t="s">
        <v>1532</v>
      </c>
      <c r="L493">
        <v>170134</v>
      </c>
    </row>
    <row r="494" spans="1:12" x14ac:dyDescent="0.25">
      <c r="A494" t="s">
        <v>20</v>
      </c>
      <c r="B494" t="s">
        <v>24</v>
      </c>
      <c r="C494" t="s">
        <v>647</v>
      </c>
      <c r="E494" t="s">
        <v>21</v>
      </c>
      <c r="F494" t="str">
        <f>_xlfn.XLOOKUP($E494,Sheet1!$E:$E,Sheet1!F:F)</f>
        <v>North Ryde</v>
      </c>
      <c r="G494" t="str">
        <f>_xlfn.XLOOKUP($E494,Sheet1!$E:$E,Sheet1!G:G)</f>
        <v>North Ryde [New South Wales]</v>
      </c>
      <c r="I494" t="str">
        <f>_xlfn.XLOOKUP($E494,Sheet1!$E:$E,Sheet1!I:I)</f>
        <v>Default station</v>
      </c>
      <c r="K494" t="s">
        <v>1533</v>
      </c>
      <c r="L494">
        <v>241729</v>
      </c>
    </row>
    <row r="495" spans="1:12" x14ac:dyDescent="0.25">
      <c r="A495" t="s">
        <v>20</v>
      </c>
      <c r="B495" t="s">
        <v>24</v>
      </c>
      <c r="C495" t="s">
        <v>648</v>
      </c>
      <c r="E495" t="s">
        <v>21</v>
      </c>
      <c r="F495" t="str">
        <f>_xlfn.XLOOKUP($E495,Sheet1!$E:$E,Sheet1!F:F)</f>
        <v>North Ryde</v>
      </c>
      <c r="G495" t="str">
        <f>_xlfn.XLOOKUP($E495,Sheet1!$E:$E,Sheet1!G:G)</f>
        <v>North Ryde [New South Wales]</v>
      </c>
      <c r="I495" t="str">
        <f>_xlfn.XLOOKUP($E495,Sheet1!$E:$E,Sheet1!I:I)</f>
        <v>Default station</v>
      </c>
      <c r="K495" t="s">
        <v>1534</v>
      </c>
      <c r="L495">
        <v>16013861</v>
      </c>
    </row>
    <row r="496" spans="1:12" x14ac:dyDescent="0.25">
      <c r="A496" t="s">
        <v>20</v>
      </c>
      <c r="B496" t="s">
        <v>24</v>
      </c>
      <c r="C496" t="s">
        <v>649</v>
      </c>
      <c r="E496" t="s">
        <v>21</v>
      </c>
      <c r="F496" t="str">
        <f>_xlfn.XLOOKUP($E496,Sheet1!$E:$E,Sheet1!F:F)</f>
        <v>North Ryde</v>
      </c>
      <c r="G496" t="str">
        <f>_xlfn.XLOOKUP($E496,Sheet1!$E:$E,Sheet1!G:G)</f>
        <v>North Ryde [New South Wales]</v>
      </c>
      <c r="I496" t="str">
        <f>_xlfn.XLOOKUP($E496,Sheet1!$E:$E,Sheet1!I:I)</f>
        <v>Default station</v>
      </c>
      <c r="K496" t="s">
        <v>64</v>
      </c>
      <c r="L496">
        <v>37740013</v>
      </c>
    </row>
    <row r="497" spans="1:12" x14ac:dyDescent="0.25">
      <c r="A497" t="s">
        <v>20</v>
      </c>
      <c r="B497" t="s">
        <v>24</v>
      </c>
      <c r="C497" t="s">
        <v>650</v>
      </c>
      <c r="E497" t="s">
        <v>21</v>
      </c>
      <c r="F497" t="str">
        <f>_xlfn.XLOOKUP($E497,Sheet1!$E:$E,Sheet1!F:F)</f>
        <v>North Ryde</v>
      </c>
      <c r="G497" t="str">
        <f>_xlfn.XLOOKUP($E497,Sheet1!$E:$E,Sheet1!G:G)</f>
        <v>North Ryde [New South Wales]</v>
      </c>
      <c r="I497" t="str">
        <f>_xlfn.XLOOKUP($E497,Sheet1!$E:$E,Sheet1!I:I)</f>
        <v>Default station</v>
      </c>
      <c r="K497" t="s">
        <v>1535</v>
      </c>
      <c r="L497">
        <v>16013996</v>
      </c>
    </row>
    <row r="498" spans="1:12" x14ac:dyDescent="0.25">
      <c r="A498" t="s">
        <v>20</v>
      </c>
      <c r="B498" t="s">
        <v>24</v>
      </c>
      <c r="C498" t="s">
        <v>651</v>
      </c>
      <c r="E498" t="s">
        <v>21</v>
      </c>
      <c r="F498" t="str">
        <f>_xlfn.XLOOKUP($E498,Sheet1!$E:$E,Sheet1!F:F)</f>
        <v>North Ryde</v>
      </c>
      <c r="G498" t="str">
        <f>_xlfn.XLOOKUP($E498,Sheet1!$E:$E,Sheet1!G:G)</f>
        <v>North Ryde [New South Wales]</v>
      </c>
      <c r="I498" t="str">
        <f>_xlfn.XLOOKUP($E498,Sheet1!$E:$E,Sheet1!I:I)</f>
        <v>Default station</v>
      </c>
      <c r="K498" t="s">
        <v>1536</v>
      </c>
      <c r="L498">
        <v>38210109</v>
      </c>
    </row>
    <row r="499" spans="1:12" x14ac:dyDescent="0.25">
      <c r="A499" t="s">
        <v>20</v>
      </c>
      <c r="B499" t="s">
        <v>24</v>
      </c>
      <c r="C499" t="s">
        <v>652</v>
      </c>
      <c r="E499" t="s">
        <v>21</v>
      </c>
      <c r="F499" t="str">
        <f>_xlfn.XLOOKUP($E499,Sheet1!$E:$E,Sheet1!F:F)</f>
        <v>North Ryde</v>
      </c>
      <c r="G499" t="str">
        <f>_xlfn.XLOOKUP($E499,Sheet1!$E:$E,Sheet1!G:G)</f>
        <v>North Ryde [New South Wales]</v>
      </c>
      <c r="I499" t="str">
        <f>_xlfn.XLOOKUP($E499,Sheet1!$E:$E,Sheet1!I:I)</f>
        <v>Default station</v>
      </c>
      <c r="K499" t="s">
        <v>1537</v>
      </c>
      <c r="L499">
        <v>16017858</v>
      </c>
    </row>
    <row r="500" spans="1:12" x14ac:dyDescent="0.25">
      <c r="A500" t="s">
        <v>20</v>
      </c>
      <c r="B500" t="s">
        <v>24</v>
      </c>
      <c r="C500" t="s">
        <v>653</v>
      </c>
      <c r="E500" t="s">
        <v>21</v>
      </c>
      <c r="F500" t="str">
        <f>_xlfn.XLOOKUP($E500,Sheet1!$E:$E,Sheet1!F:F)</f>
        <v>North Ryde</v>
      </c>
      <c r="G500" t="str">
        <f>_xlfn.XLOOKUP($E500,Sheet1!$E:$E,Sheet1!G:G)</f>
        <v>North Ryde [New South Wales]</v>
      </c>
      <c r="I500" t="str">
        <f>_xlfn.XLOOKUP($E500,Sheet1!$E:$E,Sheet1!I:I)</f>
        <v>Default station</v>
      </c>
      <c r="K500" t="s">
        <v>23</v>
      </c>
      <c r="L500">
        <v>170751</v>
      </c>
    </row>
    <row r="501" spans="1:12" x14ac:dyDescent="0.25">
      <c r="A501" t="s">
        <v>20</v>
      </c>
      <c r="B501" t="s">
        <v>24</v>
      </c>
      <c r="C501" t="s">
        <v>654</v>
      </c>
      <c r="E501" t="s">
        <v>21</v>
      </c>
      <c r="F501" t="str">
        <f>_xlfn.XLOOKUP($E501,Sheet1!$E:$E,Sheet1!F:F)</f>
        <v>North Ryde</v>
      </c>
      <c r="G501" t="str">
        <f>_xlfn.XLOOKUP($E501,Sheet1!$E:$E,Sheet1!G:G)</f>
        <v>North Ryde [New South Wales]</v>
      </c>
      <c r="I501" t="str">
        <f>_xlfn.XLOOKUP($E501,Sheet1!$E:$E,Sheet1!I:I)</f>
        <v>Default station</v>
      </c>
      <c r="K501" t="s">
        <v>1538</v>
      </c>
      <c r="L501">
        <v>16016404</v>
      </c>
    </row>
    <row r="502" spans="1:12" x14ac:dyDescent="0.25">
      <c r="A502" t="s">
        <v>20</v>
      </c>
      <c r="B502" t="s">
        <v>24</v>
      </c>
      <c r="C502" t="s">
        <v>655</v>
      </c>
      <c r="E502" t="s">
        <v>21</v>
      </c>
      <c r="F502" t="str">
        <f>_xlfn.XLOOKUP($E502,Sheet1!$E:$E,Sheet1!F:F)</f>
        <v>North Ryde</v>
      </c>
      <c r="G502" t="str">
        <f>_xlfn.XLOOKUP($E502,Sheet1!$E:$E,Sheet1!G:G)</f>
        <v>North Ryde [New South Wales]</v>
      </c>
      <c r="I502" t="str">
        <f>_xlfn.XLOOKUP($E502,Sheet1!$E:$E,Sheet1!I:I)</f>
        <v>Default station</v>
      </c>
      <c r="K502" t="s">
        <v>87</v>
      </c>
      <c r="L502">
        <v>170926</v>
      </c>
    </row>
    <row r="503" spans="1:12" x14ac:dyDescent="0.25">
      <c r="A503" t="s">
        <v>20</v>
      </c>
      <c r="B503" t="s">
        <v>24</v>
      </c>
      <c r="C503" t="s">
        <v>656</v>
      </c>
      <c r="E503" t="s">
        <v>21</v>
      </c>
      <c r="F503" t="str">
        <f>_xlfn.XLOOKUP($E503,Sheet1!$E:$E,Sheet1!F:F)</f>
        <v>North Ryde</v>
      </c>
      <c r="G503" t="str">
        <f>_xlfn.XLOOKUP($E503,Sheet1!$E:$E,Sheet1!G:G)</f>
        <v>North Ryde [New South Wales]</v>
      </c>
      <c r="I503" t="str">
        <f>_xlfn.XLOOKUP($E503,Sheet1!$E:$E,Sheet1!I:I)</f>
        <v>Default station</v>
      </c>
      <c r="K503" t="s">
        <v>69</v>
      </c>
      <c r="L503">
        <v>239004</v>
      </c>
    </row>
    <row r="504" spans="1:12" x14ac:dyDescent="0.25">
      <c r="A504" t="s">
        <v>20</v>
      </c>
      <c r="B504" t="s">
        <v>24</v>
      </c>
      <c r="C504" t="s">
        <v>657</v>
      </c>
      <c r="E504" t="s">
        <v>21</v>
      </c>
      <c r="F504" t="str">
        <f>_xlfn.XLOOKUP($E504,Sheet1!$E:$E,Sheet1!F:F)</f>
        <v>North Ryde</v>
      </c>
      <c r="G504" t="str">
        <f>_xlfn.XLOOKUP($E504,Sheet1!$E:$E,Sheet1!G:G)</f>
        <v>North Ryde [New South Wales]</v>
      </c>
      <c r="I504" t="str">
        <f>_xlfn.XLOOKUP($E504,Sheet1!$E:$E,Sheet1!I:I)</f>
        <v>Default station</v>
      </c>
      <c r="K504" t="s">
        <v>40</v>
      </c>
      <c r="L504">
        <v>200421</v>
      </c>
    </row>
    <row r="505" spans="1:12" x14ac:dyDescent="0.25">
      <c r="A505" t="s">
        <v>20</v>
      </c>
      <c r="B505" t="s">
        <v>24</v>
      </c>
      <c r="C505" t="s">
        <v>658</v>
      </c>
      <c r="E505" t="s">
        <v>21</v>
      </c>
      <c r="F505" t="str">
        <f>_xlfn.XLOOKUP($E505,Sheet1!$E:$E,Sheet1!F:F)</f>
        <v>North Ryde</v>
      </c>
      <c r="G505" t="str">
        <f>_xlfn.XLOOKUP($E505,Sheet1!$E:$E,Sheet1!G:G)</f>
        <v>North Ryde [New South Wales]</v>
      </c>
      <c r="I505" t="str">
        <f>_xlfn.XLOOKUP($E505,Sheet1!$E:$E,Sheet1!I:I)</f>
        <v>Default station</v>
      </c>
      <c r="K505" t="s">
        <v>76</v>
      </c>
      <c r="L505">
        <v>170156</v>
      </c>
    </row>
    <row r="506" spans="1:12" x14ac:dyDescent="0.25">
      <c r="A506" t="s">
        <v>20</v>
      </c>
      <c r="B506" t="s">
        <v>24</v>
      </c>
      <c r="C506" t="s">
        <v>659</v>
      </c>
      <c r="E506" t="s">
        <v>21</v>
      </c>
      <c r="F506" t="str">
        <f>_xlfn.XLOOKUP($E506,Sheet1!$E:$E,Sheet1!F:F)</f>
        <v>North Ryde</v>
      </c>
      <c r="G506" t="str">
        <f>_xlfn.XLOOKUP($E506,Sheet1!$E:$E,Sheet1!G:G)</f>
        <v>North Ryde [New South Wales]</v>
      </c>
      <c r="I506" t="str">
        <f>_xlfn.XLOOKUP($E506,Sheet1!$E:$E,Sheet1!I:I)</f>
        <v>Default station</v>
      </c>
      <c r="K506" t="s">
        <v>1539</v>
      </c>
      <c r="L506">
        <v>16015527</v>
      </c>
    </row>
    <row r="507" spans="1:12" x14ac:dyDescent="0.25">
      <c r="A507" t="s">
        <v>20</v>
      </c>
      <c r="B507" t="s">
        <v>24</v>
      </c>
      <c r="C507" t="s">
        <v>660</v>
      </c>
      <c r="E507" t="s">
        <v>21</v>
      </c>
      <c r="F507" t="str">
        <f>_xlfn.XLOOKUP($E507,Sheet1!$E:$E,Sheet1!F:F)</f>
        <v>North Ryde</v>
      </c>
      <c r="G507" t="str">
        <f>_xlfn.XLOOKUP($E507,Sheet1!$E:$E,Sheet1!G:G)</f>
        <v>North Ryde [New South Wales]</v>
      </c>
      <c r="I507" t="str">
        <f>_xlfn.XLOOKUP($E507,Sheet1!$E:$E,Sheet1!I:I)</f>
        <v>Default station</v>
      </c>
      <c r="K507" t="s">
        <v>1540</v>
      </c>
      <c r="L507">
        <v>16007910</v>
      </c>
    </row>
    <row r="508" spans="1:12" x14ac:dyDescent="0.25">
      <c r="A508" t="s">
        <v>20</v>
      </c>
      <c r="B508" t="s">
        <v>24</v>
      </c>
      <c r="C508" t="s">
        <v>661</v>
      </c>
      <c r="E508" t="s">
        <v>21</v>
      </c>
      <c r="F508" t="str">
        <f>_xlfn.XLOOKUP($E508,Sheet1!$E:$E,Sheet1!F:F)</f>
        <v>North Ryde</v>
      </c>
      <c r="G508" t="str">
        <f>_xlfn.XLOOKUP($E508,Sheet1!$E:$E,Sheet1!G:G)</f>
        <v>North Ryde [New South Wales]</v>
      </c>
      <c r="I508" t="str">
        <f>_xlfn.XLOOKUP($E508,Sheet1!$E:$E,Sheet1!I:I)</f>
        <v>Default station</v>
      </c>
      <c r="K508" t="s">
        <v>1541</v>
      </c>
      <c r="L508">
        <v>13000926</v>
      </c>
    </row>
    <row r="509" spans="1:12" x14ac:dyDescent="0.25">
      <c r="A509" t="s">
        <v>20</v>
      </c>
      <c r="B509" t="s">
        <v>24</v>
      </c>
      <c r="C509" t="s">
        <v>662</v>
      </c>
      <c r="E509" t="s">
        <v>21</v>
      </c>
      <c r="F509" t="str">
        <f>_xlfn.XLOOKUP($E509,Sheet1!$E:$E,Sheet1!F:F)</f>
        <v>North Ryde</v>
      </c>
      <c r="G509" t="str">
        <f>_xlfn.XLOOKUP($E509,Sheet1!$E:$E,Sheet1!G:G)</f>
        <v>North Ryde [New South Wales]</v>
      </c>
      <c r="I509" t="str">
        <f>_xlfn.XLOOKUP($E509,Sheet1!$E:$E,Sheet1!I:I)</f>
        <v>Default station</v>
      </c>
      <c r="K509" t="s">
        <v>1542</v>
      </c>
      <c r="L509">
        <v>16016426</v>
      </c>
    </row>
    <row r="510" spans="1:12" x14ac:dyDescent="0.25">
      <c r="A510" t="s">
        <v>20</v>
      </c>
      <c r="B510" t="s">
        <v>24</v>
      </c>
      <c r="C510" t="s">
        <v>663</v>
      </c>
      <c r="E510" t="s">
        <v>21</v>
      </c>
      <c r="F510" t="str">
        <f>_xlfn.XLOOKUP($E510,Sheet1!$E:$E,Sheet1!F:F)</f>
        <v>North Ryde</v>
      </c>
      <c r="G510" t="str">
        <f>_xlfn.XLOOKUP($E510,Sheet1!$E:$E,Sheet1!G:G)</f>
        <v>North Ryde [New South Wales]</v>
      </c>
      <c r="I510" t="str">
        <f>_xlfn.XLOOKUP($E510,Sheet1!$E:$E,Sheet1!I:I)</f>
        <v>Default station</v>
      </c>
      <c r="K510" t="s">
        <v>1543</v>
      </c>
      <c r="L510">
        <v>16017960</v>
      </c>
    </row>
    <row r="511" spans="1:12" x14ac:dyDescent="0.25">
      <c r="A511" t="s">
        <v>20</v>
      </c>
      <c r="B511" t="s">
        <v>24</v>
      </c>
      <c r="C511" t="s">
        <v>664</v>
      </c>
      <c r="E511" t="s">
        <v>21</v>
      </c>
      <c r="F511" t="str">
        <f>_xlfn.XLOOKUP($E511,Sheet1!$E:$E,Sheet1!F:F)</f>
        <v>North Ryde</v>
      </c>
      <c r="G511" t="str">
        <f>_xlfn.XLOOKUP($E511,Sheet1!$E:$E,Sheet1!G:G)</f>
        <v>North Ryde [New South Wales]</v>
      </c>
      <c r="I511" t="str">
        <f>_xlfn.XLOOKUP($E511,Sheet1!$E:$E,Sheet1!I:I)</f>
        <v>Default station</v>
      </c>
      <c r="K511" t="s">
        <v>1544</v>
      </c>
      <c r="L511">
        <v>16017784</v>
      </c>
    </row>
    <row r="512" spans="1:12" x14ac:dyDescent="0.25">
      <c r="A512" t="s">
        <v>20</v>
      </c>
      <c r="B512" t="s">
        <v>24</v>
      </c>
      <c r="C512" t="s">
        <v>665</v>
      </c>
      <c r="E512" t="s">
        <v>21</v>
      </c>
      <c r="F512" t="str">
        <f>_xlfn.XLOOKUP($E512,Sheet1!$E:$E,Sheet1!F:F)</f>
        <v>North Ryde</v>
      </c>
      <c r="G512" t="str">
        <f>_xlfn.XLOOKUP($E512,Sheet1!$E:$E,Sheet1!G:G)</f>
        <v>North Ryde [New South Wales]</v>
      </c>
      <c r="I512" t="str">
        <f>_xlfn.XLOOKUP($E512,Sheet1!$E:$E,Sheet1!I:I)</f>
        <v>Default station</v>
      </c>
      <c r="K512" t="s">
        <v>1545</v>
      </c>
      <c r="L512">
        <v>14000513</v>
      </c>
    </row>
    <row r="513" spans="1:12" x14ac:dyDescent="0.25">
      <c r="A513" t="s">
        <v>20</v>
      </c>
      <c r="B513" t="s">
        <v>24</v>
      </c>
      <c r="C513" t="s">
        <v>666</v>
      </c>
      <c r="E513" t="s">
        <v>21</v>
      </c>
      <c r="F513" t="str">
        <f>_xlfn.XLOOKUP($E513,Sheet1!$E:$E,Sheet1!F:F)</f>
        <v>North Ryde</v>
      </c>
      <c r="G513" t="str">
        <f>_xlfn.XLOOKUP($E513,Sheet1!$E:$E,Sheet1!G:G)</f>
        <v>North Ryde [New South Wales]</v>
      </c>
      <c r="I513" t="str">
        <f>_xlfn.XLOOKUP($E513,Sheet1!$E:$E,Sheet1!I:I)</f>
        <v>Default station</v>
      </c>
      <c r="K513" t="s">
        <v>1546</v>
      </c>
      <c r="L513">
        <v>16011434</v>
      </c>
    </row>
    <row r="514" spans="1:12" x14ac:dyDescent="0.25">
      <c r="A514" t="s">
        <v>20</v>
      </c>
      <c r="B514" t="s">
        <v>24</v>
      </c>
      <c r="C514" t="s">
        <v>667</v>
      </c>
      <c r="E514" t="s">
        <v>21</v>
      </c>
      <c r="F514" t="str">
        <f>_xlfn.XLOOKUP($E514,Sheet1!$E:$E,Sheet1!F:F)</f>
        <v>North Ryde</v>
      </c>
      <c r="G514" t="str">
        <f>_xlfn.XLOOKUP($E514,Sheet1!$E:$E,Sheet1!G:G)</f>
        <v>North Ryde [New South Wales]</v>
      </c>
      <c r="I514" t="str">
        <f>_xlfn.XLOOKUP($E514,Sheet1!$E:$E,Sheet1!I:I)</f>
        <v>Default station</v>
      </c>
      <c r="K514" t="s">
        <v>1547</v>
      </c>
      <c r="L514">
        <v>16017789</v>
      </c>
    </row>
    <row r="515" spans="1:12" x14ac:dyDescent="0.25">
      <c r="A515" t="s">
        <v>20</v>
      </c>
      <c r="B515" t="s">
        <v>24</v>
      </c>
      <c r="C515" t="s">
        <v>668</v>
      </c>
      <c r="E515" t="s">
        <v>21</v>
      </c>
      <c r="F515" t="str">
        <f>_xlfn.XLOOKUP($E515,Sheet1!$E:$E,Sheet1!F:F)</f>
        <v>North Ryde</v>
      </c>
      <c r="G515" t="str">
        <f>_xlfn.XLOOKUP($E515,Sheet1!$E:$E,Sheet1!G:G)</f>
        <v>North Ryde [New South Wales]</v>
      </c>
      <c r="I515" t="str">
        <f>_xlfn.XLOOKUP($E515,Sheet1!$E:$E,Sheet1!I:I)</f>
        <v>Default station</v>
      </c>
      <c r="K515" t="s">
        <v>1548</v>
      </c>
      <c r="L515">
        <v>38210070</v>
      </c>
    </row>
    <row r="516" spans="1:12" x14ac:dyDescent="0.25">
      <c r="A516" t="s">
        <v>20</v>
      </c>
      <c r="B516" t="s">
        <v>24</v>
      </c>
      <c r="C516" t="s">
        <v>669</v>
      </c>
      <c r="E516" t="s">
        <v>21</v>
      </c>
      <c r="F516" t="str">
        <f>_xlfn.XLOOKUP($E516,Sheet1!$E:$E,Sheet1!F:F)</f>
        <v>North Ryde</v>
      </c>
      <c r="G516" t="str">
        <f>_xlfn.XLOOKUP($E516,Sheet1!$E:$E,Sheet1!G:G)</f>
        <v>North Ryde [New South Wales]</v>
      </c>
      <c r="I516" t="str">
        <f>_xlfn.XLOOKUP($E516,Sheet1!$E:$E,Sheet1!I:I)</f>
        <v>Default station</v>
      </c>
      <c r="K516" t="s">
        <v>1549</v>
      </c>
      <c r="L516">
        <v>24180009</v>
      </c>
    </row>
    <row r="517" spans="1:12" x14ac:dyDescent="0.25">
      <c r="A517" t="s">
        <v>20</v>
      </c>
      <c r="B517" t="s">
        <v>24</v>
      </c>
      <c r="C517" t="s">
        <v>670</v>
      </c>
      <c r="E517" t="s">
        <v>21</v>
      </c>
      <c r="F517" t="str">
        <f>_xlfn.XLOOKUP($E517,Sheet1!$E:$E,Sheet1!F:F)</f>
        <v>North Ryde</v>
      </c>
      <c r="G517" t="str">
        <f>_xlfn.XLOOKUP($E517,Sheet1!$E:$E,Sheet1!G:G)</f>
        <v>North Ryde [New South Wales]</v>
      </c>
      <c r="I517" t="str">
        <f>_xlfn.XLOOKUP($E517,Sheet1!$E:$E,Sheet1!I:I)</f>
        <v>Default station</v>
      </c>
      <c r="K517" t="s">
        <v>1550</v>
      </c>
      <c r="L517">
        <v>14000502</v>
      </c>
    </row>
    <row r="518" spans="1:12" x14ac:dyDescent="0.25">
      <c r="A518" t="s">
        <v>20</v>
      </c>
      <c r="B518" t="s">
        <v>24</v>
      </c>
      <c r="C518" t="s">
        <v>671</v>
      </c>
      <c r="E518" t="s">
        <v>21</v>
      </c>
      <c r="F518" t="str">
        <f>_xlfn.XLOOKUP($E518,Sheet1!$E:$E,Sheet1!F:F)</f>
        <v>North Ryde</v>
      </c>
      <c r="G518" t="str">
        <f>_xlfn.XLOOKUP($E518,Sheet1!$E:$E,Sheet1!G:G)</f>
        <v>North Ryde [New South Wales]</v>
      </c>
      <c r="I518" t="str">
        <f>_xlfn.XLOOKUP($E518,Sheet1!$E:$E,Sheet1!I:I)</f>
        <v>Default station</v>
      </c>
      <c r="K518" t="s">
        <v>1551</v>
      </c>
      <c r="L518">
        <v>16017829</v>
      </c>
    </row>
    <row r="519" spans="1:12" x14ac:dyDescent="0.25">
      <c r="A519" t="s">
        <v>20</v>
      </c>
      <c r="B519" t="s">
        <v>24</v>
      </c>
      <c r="C519" t="s">
        <v>672</v>
      </c>
      <c r="E519" t="s">
        <v>21</v>
      </c>
      <c r="F519" t="str">
        <f>_xlfn.XLOOKUP($E519,Sheet1!$E:$E,Sheet1!F:F)</f>
        <v>North Ryde</v>
      </c>
      <c r="G519" t="str">
        <f>_xlfn.XLOOKUP($E519,Sheet1!$E:$E,Sheet1!G:G)</f>
        <v>North Ryde [New South Wales]</v>
      </c>
      <c r="I519" t="str">
        <f>_xlfn.XLOOKUP($E519,Sheet1!$E:$E,Sheet1!I:I)</f>
        <v>Default station</v>
      </c>
      <c r="K519" t="s">
        <v>1552</v>
      </c>
      <c r="L519">
        <v>241104</v>
      </c>
    </row>
    <row r="520" spans="1:12" x14ac:dyDescent="0.25">
      <c r="A520" t="s">
        <v>20</v>
      </c>
      <c r="B520" t="s">
        <v>24</v>
      </c>
      <c r="C520" t="s">
        <v>673</v>
      </c>
      <c r="E520" t="s">
        <v>21</v>
      </c>
      <c r="F520" t="str">
        <f>_xlfn.XLOOKUP($E520,Sheet1!$E:$E,Sheet1!F:F)</f>
        <v>North Ryde</v>
      </c>
      <c r="G520" t="str">
        <f>_xlfn.XLOOKUP($E520,Sheet1!$E:$E,Sheet1!G:G)</f>
        <v>North Ryde [New South Wales]</v>
      </c>
      <c r="I520" t="str">
        <f>_xlfn.XLOOKUP($E520,Sheet1!$E:$E,Sheet1!I:I)</f>
        <v>Default station</v>
      </c>
      <c r="K520" t="s">
        <v>85</v>
      </c>
      <c r="L520">
        <v>170927</v>
      </c>
    </row>
    <row r="521" spans="1:12" x14ac:dyDescent="0.25">
      <c r="A521" t="s">
        <v>20</v>
      </c>
      <c r="B521" t="s">
        <v>24</v>
      </c>
      <c r="C521" t="s">
        <v>674</v>
      </c>
      <c r="E521" t="s">
        <v>21</v>
      </c>
      <c r="F521" t="str">
        <f>_xlfn.XLOOKUP($E521,Sheet1!$E:$E,Sheet1!F:F)</f>
        <v>North Ryde</v>
      </c>
      <c r="G521" t="str">
        <f>_xlfn.XLOOKUP($E521,Sheet1!$E:$E,Sheet1!G:G)</f>
        <v>North Ryde [New South Wales]</v>
      </c>
      <c r="I521" t="str">
        <f>_xlfn.XLOOKUP($E521,Sheet1!$E:$E,Sheet1!I:I)</f>
        <v>Default station</v>
      </c>
      <c r="K521" t="s">
        <v>1553</v>
      </c>
      <c r="L521">
        <v>38220067</v>
      </c>
    </row>
    <row r="522" spans="1:12" x14ac:dyDescent="0.25">
      <c r="A522" t="s">
        <v>20</v>
      </c>
      <c r="B522" t="s">
        <v>24</v>
      </c>
      <c r="C522" t="s">
        <v>675</v>
      </c>
      <c r="E522" t="s">
        <v>21</v>
      </c>
      <c r="F522" t="str">
        <f>_xlfn.XLOOKUP($E522,Sheet1!$E:$E,Sheet1!F:F)</f>
        <v>North Ryde</v>
      </c>
      <c r="G522" t="str">
        <f>_xlfn.XLOOKUP($E522,Sheet1!$E:$E,Sheet1!G:G)</f>
        <v>North Ryde [New South Wales]</v>
      </c>
      <c r="I522" t="str">
        <f>_xlfn.XLOOKUP($E522,Sheet1!$E:$E,Sheet1!I:I)</f>
        <v>Default station</v>
      </c>
      <c r="K522" t="s">
        <v>1554</v>
      </c>
      <c r="L522">
        <v>38600004</v>
      </c>
    </row>
    <row r="523" spans="1:12" x14ac:dyDescent="0.25">
      <c r="A523" t="s">
        <v>20</v>
      </c>
      <c r="B523" t="s">
        <v>24</v>
      </c>
      <c r="C523" t="s">
        <v>676</v>
      </c>
      <c r="E523" t="s">
        <v>21</v>
      </c>
      <c r="F523" t="str">
        <f>_xlfn.XLOOKUP($E523,Sheet1!$E:$E,Sheet1!F:F)</f>
        <v>North Ryde</v>
      </c>
      <c r="G523" t="str">
        <f>_xlfn.XLOOKUP($E523,Sheet1!$E:$E,Sheet1!G:G)</f>
        <v>North Ryde [New South Wales]</v>
      </c>
      <c r="I523" t="str">
        <f>_xlfn.XLOOKUP($E523,Sheet1!$E:$E,Sheet1!I:I)</f>
        <v>Default station</v>
      </c>
      <c r="K523" t="s">
        <v>1555</v>
      </c>
      <c r="L523">
        <v>241809</v>
      </c>
    </row>
    <row r="524" spans="1:12" x14ac:dyDescent="0.25">
      <c r="A524" t="s">
        <v>20</v>
      </c>
      <c r="B524" t="s">
        <v>24</v>
      </c>
      <c r="C524" t="s">
        <v>677</v>
      </c>
      <c r="E524" t="s">
        <v>21</v>
      </c>
      <c r="F524" t="str">
        <f>_xlfn.XLOOKUP($E524,Sheet1!$E:$E,Sheet1!F:F)</f>
        <v>North Ryde</v>
      </c>
      <c r="G524" t="str">
        <f>_xlfn.XLOOKUP($E524,Sheet1!$E:$E,Sheet1!G:G)</f>
        <v>North Ryde [New South Wales]</v>
      </c>
      <c r="I524" t="str">
        <f>_xlfn.XLOOKUP($E524,Sheet1!$E:$E,Sheet1!I:I)</f>
        <v>Default station</v>
      </c>
      <c r="K524" t="s">
        <v>1556</v>
      </c>
      <c r="L524">
        <v>241728</v>
      </c>
    </row>
    <row r="525" spans="1:12" x14ac:dyDescent="0.25">
      <c r="A525" t="s">
        <v>20</v>
      </c>
      <c r="B525" t="s">
        <v>24</v>
      </c>
      <c r="C525" t="s">
        <v>678</v>
      </c>
      <c r="E525" t="s">
        <v>21</v>
      </c>
      <c r="F525" t="str">
        <f>_xlfn.XLOOKUP($E525,Sheet1!$E:$E,Sheet1!F:F)</f>
        <v>North Ryde</v>
      </c>
      <c r="G525" t="str">
        <f>_xlfn.XLOOKUP($E525,Sheet1!$E:$E,Sheet1!G:G)</f>
        <v>North Ryde [New South Wales]</v>
      </c>
      <c r="I525" t="str">
        <f>_xlfn.XLOOKUP($E525,Sheet1!$E:$E,Sheet1!I:I)</f>
        <v>Default station</v>
      </c>
      <c r="K525" t="s">
        <v>1557</v>
      </c>
      <c r="L525">
        <v>24130053</v>
      </c>
    </row>
    <row r="526" spans="1:12" x14ac:dyDescent="0.25">
      <c r="A526" t="s">
        <v>20</v>
      </c>
      <c r="B526" t="s">
        <v>24</v>
      </c>
      <c r="C526" t="s">
        <v>679</v>
      </c>
      <c r="E526" t="s">
        <v>21</v>
      </c>
      <c r="F526" t="str">
        <f>_xlfn.XLOOKUP($E526,Sheet1!$E:$E,Sheet1!F:F)</f>
        <v>North Ryde</v>
      </c>
      <c r="G526" t="str">
        <f>_xlfn.XLOOKUP($E526,Sheet1!$E:$E,Sheet1!G:G)</f>
        <v>North Ryde [New South Wales]</v>
      </c>
      <c r="I526" t="str">
        <f>_xlfn.XLOOKUP($E526,Sheet1!$E:$E,Sheet1!I:I)</f>
        <v>Default station</v>
      </c>
      <c r="K526" t="s">
        <v>1558</v>
      </c>
      <c r="L526">
        <v>16016666</v>
      </c>
    </row>
    <row r="527" spans="1:12" x14ac:dyDescent="0.25">
      <c r="A527" t="s">
        <v>20</v>
      </c>
      <c r="B527" t="s">
        <v>24</v>
      </c>
      <c r="C527" t="s">
        <v>680</v>
      </c>
      <c r="E527" t="s">
        <v>21</v>
      </c>
      <c r="F527" t="str">
        <f>_xlfn.XLOOKUP($E527,Sheet1!$E:$E,Sheet1!F:F)</f>
        <v>North Ryde</v>
      </c>
      <c r="G527" t="str">
        <f>_xlfn.XLOOKUP($E527,Sheet1!$E:$E,Sheet1!G:G)</f>
        <v>North Ryde [New South Wales]</v>
      </c>
      <c r="I527" t="str">
        <f>_xlfn.XLOOKUP($E527,Sheet1!$E:$E,Sheet1!I:I)</f>
        <v>Default station</v>
      </c>
      <c r="K527" t="s">
        <v>1559</v>
      </c>
      <c r="L527">
        <v>8150500</v>
      </c>
    </row>
    <row r="528" spans="1:12" x14ac:dyDescent="0.25">
      <c r="A528" t="s">
        <v>20</v>
      </c>
      <c r="B528" t="s">
        <v>24</v>
      </c>
      <c r="C528" t="s">
        <v>681</v>
      </c>
      <c r="E528" t="s">
        <v>21</v>
      </c>
      <c r="F528" t="str">
        <f>_xlfn.XLOOKUP($E528,Sheet1!$E:$E,Sheet1!F:F)</f>
        <v>North Ryde</v>
      </c>
      <c r="G528" t="str">
        <f>_xlfn.XLOOKUP($E528,Sheet1!$E:$E,Sheet1!G:G)</f>
        <v>North Ryde [New South Wales]</v>
      </c>
      <c r="I528" t="str">
        <f>_xlfn.XLOOKUP($E528,Sheet1!$E:$E,Sheet1!I:I)</f>
        <v>Default station</v>
      </c>
      <c r="K528" t="s">
        <v>1560</v>
      </c>
      <c r="L528">
        <v>16016256</v>
      </c>
    </row>
    <row r="529" spans="1:12" x14ac:dyDescent="0.25">
      <c r="A529" t="s">
        <v>20</v>
      </c>
      <c r="B529" t="s">
        <v>24</v>
      </c>
      <c r="C529" t="s">
        <v>682</v>
      </c>
      <c r="E529" t="s">
        <v>21</v>
      </c>
      <c r="F529" t="str">
        <f>_xlfn.XLOOKUP($E529,Sheet1!$E:$E,Sheet1!F:F)</f>
        <v>North Ryde</v>
      </c>
      <c r="G529" t="str">
        <f>_xlfn.XLOOKUP($E529,Sheet1!$E:$E,Sheet1!G:G)</f>
        <v>North Ryde [New South Wales]</v>
      </c>
      <c r="I529" t="str">
        <f>_xlfn.XLOOKUP($E529,Sheet1!$E:$E,Sheet1!I:I)</f>
        <v>Default station</v>
      </c>
      <c r="K529" t="s">
        <v>1561</v>
      </c>
      <c r="L529">
        <v>16012368</v>
      </c>
    </row>
    <row r="530" spans="1:12" x14ac:dyDescent="0.25">
      <c r="A530" t="s">
        <v>20</v>
      </c>
      <c r="B530" t="s">
        <v>24</v>
      </c>
      <c r="C530" t="s">
        <v>683</v>
      </c>
      <c r="E530" t="s">
        <v>21</v>
      </c>
      <c r="F530" t="str">
        <f>_xlfn.XLOOKUP($E530,Sheet1!$E:$E,Sheet1!F:F)</f>
        <v>North Ryde</v>
      </c>
      <c r="G530" t="str">
        <f>_xlfn.XLOOKUP($E530,Sheet1!$E:$E,Sheet1!G:G)</f>
        <v>North Ryde [New South Wales]</v>
      </c>
      <c r="I530" t="str">
        <f>_xlfn.XLOOKUP($E530,Sheet1!$E:$E,Sheet1!I:I)</f>
        <v>Default station</v>
      </c>
      <c r="K530" t="s">
        <v>1562</v>
      </c>
      <c r="L530">
        <v>16002974</v>
      </c>
    </row>
    <row r="531" spans="1:12" x14ac:dyDescent="0.25">
      <c r="A531" t="s">
        <v>20</v>
      </c>
      <c r="B531" t="s">
        <v>24</v>
      </c>
      <c r="C531" t="s">
        <v>684</v>
      </c>
      <c r="E531" t="s">
        <v>21</v>
      </c>
      <c r="F531" t="str">
        <f>_xlfn.XLOOKUP($E531,Sheet1!$E:$E,Sheet1!F:F)</f>
        <v>North Ryde</v>
      </c>
      <c r="G531" t="str">
        <f>_xlfn.XLOOKUP($E531,Sheet1!$E:$E,Sheet1!G:G)</f>
        <v>North Ryde [New South Wales]</v>
      </c>
      <c r="I531" t="str">
        <f>_xlfn.XLOOKUP($E531,Sheet1!$E:$E,Sheet1!I:I)</f>
        <v>Default station</v>
      </c>
      <c r="K531" t="s">
        <v>1563</v>
      </c>
      <c r="L531">
        <v>37740080</v>
      </c>
    </row>
    <row r="532" spans="1:12" x14ac:dyDescent="0.25">
      <c r="A532" t="s">
        <v>20</v>
      </c>
      <c r="B532" t="s">
        <v>24</v>
      </c>
      <c r="C532" t="s">
        <v>685</v>
      </c>
      <c r="E532" t="s">
        <v>21</v>
      </c>
      <c r="F532" t="str">
        <f>_xlfn.XLOOKUP($E532,Sheet1!$E:$E,Sheet1!F:F)</f>
        <v>North Ryde</v>
      </c>
      <c r="G532" t="str">
        <f>_xlfn.XLOOKUP($E532,Sheet1!$E:$E,Sheet1!G:G)</f>
        <v>North Ryde [New South Wales]</v>
      </c>
      <c r="I532" t="str">
        <f>_xlfn.XLOOKUP($E532,Sheet1!$E:$E,Sheet1!I:I)</f>
        <v>Default station</v>
      </c>
      <c r="K532" t="s">
        <v>1564</v>
      </c>
      <c r="L532">
        <v>170284</v>
      </c>
    </row>
    <row r="533" spans="1:12" x14ac:dyDescent="0.25">
      <c r="A533" t="s">
        <v>20</v>
      </c>
      <c r="B533" t="s">
        <v>24</v>
      </c>
      <c r="C533" t="s">
        <v>686</v>
      </c>
      <c r="E533" t="s">
        <v>21</v>
      </c>
      <c r="F533" t="str">
        <f>_xlfn.XLOOKUP($E533,Sheet1!$E:$E,Sheet1!F:F)</f>
        <v>North Ryde</v>
      </c>
      <c r="G533" t="str">
        <f>_xlfn.XLOOKUP($E533,Sheet1!$E:$E,Sheet1!G:G)</f>
        <v>North Ryde [New South Wales]</v>
      </c>
      <c r="I533" t="str">
        <f>_xlfn.XLOOKUP($E533,Sheet1!$E:$E,Sheet1!I:I)</f>
        <v>Default station</v>
      </c>
      <c r="K533" t="s">
        <v>1565</v>
      </c>
      <c r="L533">
        <v>16017816</v>
      </c>
    </row>
    <row r="534" spans="1:12" x14ac:dyDescent="0.25">
      <c r="A534" t="s">
        <v>20</v>
      </c>
      <c r="B534" t="s">
        <v>24</v>
      </c>
      <c r="C534" t="s">
        <v>687</v>
      </c>
      <c r="E534" t="s">
        <v>21</v>
      </c>
      <c r="F534" t="str">
        <f>_xlfn.XLOOKUP($E534,Sheet1!$E:$E,Sheet1!F:F)</f>
        <v>North Ryde</v>
      </c>
      <c r="G534" t="str">
        <f>_xlfn.XLOOKUP($E534,Sheet1!$E:$E,Sheet1!G:G)</f>
        <v>North Ryde [New South Wales]</v>
      </c>
      <c r="I534" t="str">
        <f>_xlfn.XLOOKUP($E534,Sheet1!$E:$E,Sheet1!I:I)</f>
        <v>Default station</v>
      </c>
      <c r="K534" t="s">
        <v>1566</v>
      </c>
      <c r="L534">
        <v>170813</v>
      </c>
    </row>
    <row r="535" spans="1:12" x14ac:dyDescent="0.25">
      <c r="A535" t="s">
        <v>20</v>
      </c>
      <c r="B535" t="s">
        <v>24</v>
      </c>
      <c r="C535" t="s">
        <v>688</v>
      </c>
      <c r="E535" t="s">
        <v>21</v>
      </c>
      <c r="F535" t="str">
        <f>_xlfn.XLOOKUP($E535,Sheet1!$E:$E,Sheet1!F:F)</f>
        <v>North Ryde</v>
      </c>
      <c r="G535" t="str">
        <f>_xlfn.XLOOKUP($E535,Sheet1!$E:$E,Sheet1!G:G)</f>
        <v>North Ryde [New South Wales]</v>
      </c>
      <c r="I535" t="str">
        <f>_xlfn.XLOOKUP($E535,Sheet1!$E:$E,Sheet1!I:I)</f>
        <v>Default station</v>
      </c>
      <c r="K535" t="s">
        <v>1567</v>
      </c>
      <c r="L535">
        <v>16013032</v>
      </c>
    </row>
    <row r="536" spans="1:12" x14ac:dyDescent="0.25">
      <c r="A536" t="s">
        <v>20</v>
      </c>
      <c r="B536" t="s">
        <v>24</v>
      </c>
      <c r="C536" t="s">
        <v>689</v>
      </c>
      <c r="E536" t="s">
        <v>21</v>
      </c>
      <c r="F536" t="str">
        <f>_xlfn.XLOOKUP($E536,Sheet1!$E:$E,Sheet1!F:F)</f>
        <v>North Ryde</v>
      </c>
      <c r="G536" t="str">
        <f>_xlfn.XLOOKUP($E536,Sheet1!$E:$E,Sheet1!G:G)</f>
        <v>North Ryde [New South Wales]</v>
      </c>
      <c r="I536" t="str">
        <f>_xlfn.XLOOKUP($E536,Sheet1!$E:$E,Sheet1!I:I)</f>
        <v>Default station</v>
      </c>
      <c r="K536" t="s">
        <v>38</v>
      </c>
      <c r="L536">
        <v>37750008</v>
      </c>
    </row>
    <row r="537" spans="1:12" x14ac:dyDescent="0.25">
      <c r="A537" t="s">
        <v>20</v>
      </c>
      <c r="B537" t="s">
        <v>24</v>
      </c>
      <c r="C537" t="s">
        <v>690</v>
      </c>
      <c r="E537" t="s">
        <v>21</v>
      </c>
      <c r="F537" t="str">
        <f>_xlfn.XLOOKUP($E537,Sheet1!$E:$E,Sheet1!F:F)</f>
        <v>North Ryde</v>
      </c>
      <c r="G537" t="str">
        <f>_xlfn.XLOOKUP($E537,Sheet1!$E:$E,Sheet1!G:G)</f>
        <v>North Ryde [New South Wales]</v>
      </c>
      <c r="I537" t="str">
        <f>_xlfn.XLOOKUP($E537,Sheet1!$E:$E,Sheet1!I:I)</f>
        <v>Default station</v>
      </c>
      <c r="K537" t="s">
        <v>1568</v>
      </c>
      <c r="L537">
        <v>16011869</v>
      </c>
    </row>
    <row r="538" spans="1:12" x14ac:dyDescent="0.25">
      <c r="A538" t="s">
        <v>20</v>
      </c>
      <c r="B538" t="s">
        <v>24</v>
      </c>
      <c r="C538" t="s">
        <v>691</v>
      </c>
      <c r="E538" t="s">
        <v>21</v>
      </c>
      <c r="F538" t="str">
        <f>_xlfn.XLOOKUP($E538,Sheet1!$E:$E,Sheet1!F:F)</f>
        <v>North Ryde</v>
      </c>
      <c r="G538" t="str">
        <f>_xlfn.XLOOKUP($E538,Sheet1!$E:$E,Sheet1!G:G)</f>
        <v>North Ryde [New South Wales]</v>
      </c>
      <c r="I538" t="str">
        <f>_xlfn.XLOOKUP($E538,Sheet1!$E:$E,Sheet1!I:I)</f>
        <v>Default station</v>
      </c>
      <c r="K538" t="s">
        <v>1569</v>
      </c>
      <c r="L538">
        <v>14000461</v>
      </c>
    </row>
    <row r="539" spans="1:12" x14ac:dyDescent="0.25">
      <c r="A539" t="s">
        <v>20</v>
      </c>
      <c r="B539" t="s">
        <v>24</v>
      </c>
      <c r="C539" t="s">
        <v>692</v>
      </c>
      <c r="E539" t="s">
        <v>21</v>
      </c>
      <c r="F539" t="str">
        <f>_xlfn.XLOOKUP($E539,Sheet1!$E:$E,Sheet1!F:F)</f>
        <v>North Ryde</v>
      </c>
      <c r="G539" t="str">
        <f>_xlfn.XLOOKUP($E539,Sheet1!$E:$E,Sheet1!G:G)</f>
        <v>North Ryde [New South Wales]</v>
      </c>
      <c r="I539" t="str">
        <f>_xlfn.XLOOKUP($E539,Sheet1!$E:$E,Sheet1!I:I)</f>
        <v>Default station</v>
      </c>
      <c r="K539" t="s">
        <v>1570</v>
      </c>
      <c r="L539">
        <v>170209</v>
      </c>
    </row>
    <row r="540" spans="1:12" x14ac:dyDescent="0.25">
      <c r="A540" t="s">
        <v>20</v>
      </c>
      <c r="B540" t="s">
        <v>24</v>
      </c>
      <c r="C540" t="s">
        <v>693</v>
      </c>
      <c r="E540" t="s">
        <v>21</v>
      </c>
      <c r="F540" t="str">
        <f>_xlfn.XLOOKUP($E540,Sheet1!$E:$E,Sheet1!F:F)</f>
        <v>North Ryde</v>
      </c>
      <c r="G540" t="str">
        <f>_xlfn.XLOOKUP($E540,Sheet1!$E:$E,Sheet1!G:G)</f>
        <v>North Ryde [New South Wales]</v>
      </c>
      <c r="I540" t="str">
        <f>_xlfn.XLOOKUP($E540,Sheet1!$E:$E,Sheet1!I:I)</f>
        <v>Default station</v>
      </c>
      <c r="K540" t="s">
        <v>1571</v>
      </c>
      <c r="L540">
        <v>16011496</v>
      </c>
    </row>
    <row r="541" spans="1:12" x14ac:dyDescent="0.25">
      <c r="A541" t="s">
        <v>20</v>
      </c>
      <c r="B541" t="s">
        <v>24</v>
      </c>
      <c r="C541" t="s">
        <v>694</v>
      </c>
      <c r="E541" t="s">
        <v>21</v>
      </c>
      <c r="F541" t="str">
        <f>_xlfn.XLOOKUP($E541,Sheet1!$E:$E,Sheet1!F:F)</f>
        <v>North Ryde</v>
      </c>
      <c r="G541" t="str">
        <f>_xlfn.XLOOKUP($E541,Sheet1!$E:$E,Sheet1!G:G)</f>
        <v>North Ryde [New South Wales]</v>
      </c>
      <c r="I541" t="str">
        <f>_xlfn.XLOOKUP($E541,Sheet1!$E:$E,Sheet1!I:I)</f>
        <v>Default station</v>
      </c>
      <c r="K541" t="s">
        <v>1572</v>
      </c>
      <c r="L541">
        <v>170320</v>
      </c>
    </row>
    <row r="542" spans="1:12" x14ac:dyDescent="0.25">
      <c r="A542" t="s">
        <v>20</v>
      </c>
      <c r="B542" t="s">
        <v>24</v>
      </c>
      <c r="C542" t="s">
        <v>695</v>
      </c>
      <c r="E542" t="s">
        <v>21</v>
      </c>
      <c r="F542" t="str">
        <f>_xlfn.XLOOKUP($E542,Sheet1!$E:$E,Sheet1!F:F)</f>
        <v>North Ryde</v>
      </c>
      <c r="G542" t="str">
        <f>_xlfn.XLOOKUP($E542,Sheet1!$E:$E,Sheet1!G:G)</f>
        <v>North Ryde [New South Wales]</v>
      </c>
      <c r="I542" t="str">
        <f>_xlfn.XLOOKUP($E542,Sheet1!$E:$E,Sheet1!I:I)</f>
        <v>Default station</v>
      </c>
      <c r="K542" t="s">
        <v>1573</v>
      </c>
      <c r="L542">
        <v>23440260</v>
      </c>
    </row>
    <row r="543" spans="1:12" x14ac:dyDescent="0.25">
      <c r="A543" t="s">
        <v>20</v>
      </c>
      <c r="B543" t="s">
        <v>24</v>
      </c>
      <c r="C543" t="s">
        <v>696</v>
      </c>
      <c r="E543" t="s">
        <v>21</v>
      </c>
      <c r="F543" t="str">
        <f>_xlfn.XLOOKUP($E543,Sheet1!$E:$E,Sheet1!F:F)</f>
        <v>North Ryde</v>
      </c>
      <c r="G543" t="str">
        <f>_xlfn.XLOOKUP($E543,Sheet1!$E:$E,Sheet1!G:G)</f>
        <v>North Ryde [New South Wales]</v>
      </c>
      <c r="I543" t="str">
        <f>_xlfn.XLOOKUP($E543,Sheet1!$E:$E,Sheet1!I:I)</f>
        <v>Default station</v>
      </c>
      <c r="K543" t="s">
        <v>1574</v>
      </c>
      <c r="L543">
        <v>241939</v>
      </c>
    </row>
    <row r="544" spans="1:12" x14ac:dyDescent="0.25">
      <c r="A544" t="s">
        <v>20</v>
      </c>
      <c r="B544" t="s">
        <v>24</v>
      </c>
      <c r="C544" t="s">
        <v>697</v>
      </c>
      <c r="E544" t="s">
        <v>21</v>
      </c>
      <c r="F544" t="str">
        <f>_xlfn.XLOOKUP($E544,Sheet1!$E:$E,Sheet1!F:F)</f>
        <v>North Ryde</v>
      </c>
      <c r="G544" t="str">
        <f>_xlfn.XLOOKUP($E544,Sheet1!$E:$E,Sheet1!G:G)</f>
        <v>North Ryde [New South Wales]</v>
      </c>
      <c r="I544" t="str">
        <f>_xlfn.XLOOKUP($E544,Sheet1!$E:$E,Sheet1!I:I)</f>
        <v>Default station</v>
      </c>
      <c r="K544" t="s">
        <v>1575</v>
      </c>
      <c r="L544">
        <v>170307</v>
      </c>
    </row>
    <row r="545" spans="1:12" x14ac:dyDescent="0.25">
      <c r="A545" t="s">
        <v>20</v>
      </c>
      <c r="B545" t="s">
        <v>24</v>
      </c>
      <c r="C545" t="s">
        <v>698</v>
      </c>
      <c r="E545" t="s">
        <v>21</v>
      </c>
      <c r="F545" t="str">
        <f>_xlfn.XLOOKUP($E545,Sheet1!$E:$E,Sheet1!F:F)</f>
        <v>North Ryde</v>
      </c>
      <c r="G545" t="str">
        <f>_xlfn.XLOOKUP($E545,Sheet1!$E:$E,Sheet1!G:G)</f>
        <v>North Ryde [New South Wales]</v>
      </c>
      <c r="I545" t="str">
        <f>_xlfn.XLOOKUP($E545,Sheet1!$E:$E,Sheet1!I:I)</f>
        <v>Default station</v>
      </c>
      <c r="K545" t="s">
        <v>1576</v>
      </c>
      <c r="L545">
        <v>24160169</v>
      </c>
    </row>
    <row r="546" spans="1:12" x14ac:dyDescent="0.25">
      <c r="A546" t="s">
        <v>20</v>
      </c>
      <c r="B546" t="s">
        <v>24</v>
      </c>
      <c r="C546" t="s">
        <v>699</v>
      </c>
      <c r="E546" t="s">
        <v>21</v>
      </c>
      <c r="F546" t="str">
        <f>_xlfn.XLOOKUP($E546,Sheet1!$E:$E,Sheet1!F:F)</f>
        <v>North Ryde</v>
      </c>
      <c r="G546" t="str">
        <f>_xlfn.XLOOKUP($E546,Sheet1!$E:$E,Sheet1!G:G)</f>
        <v>North Ryde [New South Wales]</v>
      </c>
      <c r="I546" t="str">
        <f>_xlfn.XLOOKUP($E546,Sheet1!$E:$E,Sheet1!I:I)</f>
        <v>Default station</v>
      </c>
      <c r="K546" t="s">
        <v>71</v>
      </c>
      <c r="L546">
        <v>24120086</v>
      </c>
    </row>
    <row r="547" spans="1:12" x14ac:dyDescent="0.25">
      <c r="A547" t="s">
        <v>20</v>
      </c>
      <c r="B547" t="s">
        <v>24</v>
      </c>
      <c r="C547" t="s">
        <v>700</v>
      </c>
      <c r="E547" t="s">
        <v>21</v>
      </c>
      <c r="F547" t="str">
        <f>_xlfn.XLOOKUP($E547,Sheet1!$E:$E,Sheet1!F:F)</f>
        <v>North Ryde</v>
      </c>
      <c r="G547" t="str">
        <f>_xlfn.XLOOKUP($E547,Sheet1!$E:$E,Sheet1!G:G)</f>
        <v>North Ryde [New South Wales]</v>
      </c>
      <c r="I547" t="str">
        <f>_xlfn.XLOOKUP($E547,Sheet1!$E:$E,Sheet1!I:I)</f>
        <v>Default station</v>
      </c>
      <c r="K547" t="s">
        <v>1577</v>
      </c>
      <c r="L547">
        <v>38225103</v>
      </c>
    </row>
    <row r="548" spans="1:12" x14ac:dyDescent="0.25">
      <c r="A548" t="s">
        <v>20</v>
      </c>
      <c r="B548" t="s">
        <v>24</v>
      </c>
      <c r="C548" t="s">
        <v>701</v>
      </c>
      <c r="E548" t="s">
        <v>21</v>
      </c>
      <c r="F548" t="str">
        <f>_xlfn.XLOOKUP($E548,Sheet1!$E:$E,Sheet1!F:F)</f>
        <v>North Ryde</v>
      </c>
      <c r="G548" t="str">
        <f>_xlfn.XLOOKUP($E548,Sheet1!$E:$E,Sheet1!G:G)</f>
        <v>North Ryde [New South Wales]</v>
      </c>
      <c r="I548" t="str">
        <f>_xlfn.XLOOKUP($E548,Sheet1!$E:$E,Sheet1!I:I)</f>
        <v>Default station</v>
      </c>
      <c r="K548" t="s">
        <v>1578</v>
      </c>
      <c r="L548">
        <v>241727</v>
      </c>
    </row>
    <row r="549" spans="1:12" x14ac:dyDescent="0.25">
      <c r="A549" t="s">
        <v>20</v>
      </c>
      <c r="B549" t="s">
        <v>24</v>
      </c>
      <c r="C549" t="s">
        <v>702</v>
      </c>
      <c r="E549" t="s">
        <v>21</v>
      </c>
      <c r="F549" t="str">
        <f>_xlfn.XLOOKUP($E549,Sheet1!$E:$E,Sheet1!F:F)</f>
        <v>North Ryde</v>
      </c>
      <c r="G549" t="str">
        <f>_xlfn.XLOOKUP($E549,Sheet1!$E:$E,Sheet1!G:G)</f>
        <v>North Ryde [New South Wales]</v>
      </c>
      <c r="I549" t="str">
        <f>_xlfn.XLOOKUP($E549,Sheet1!$E:$E,Sheet1!I:I)</f>
        <v>Default station</v>
      </c>
      <c r="K549" t="s">
        <v>1579</v>
      </c>
      <c r="L549">
        <v>24130061</v>
      </c>
    </row>
    <row r="550" spans="1:12" x14ac:dyDescent="0.25">
      <c r="A550" t="s">
        <v>20</v>
      </c>
      <c r="B550" t="s">
        <v>24</v>
      </c>
      <c r="C550" t="s">
        <v>703</v>
      </c>
      <c r="E550" t="s">
        <v>21</v>
      </c>
      <c r="F550" t="str">
        <f>_xlfn.XLOOKUP($E550,Sheet1!$E:$E,Sheet1!F:F)</f>
        <v>North Ryde</v>
      </c>
      <c r="G550" t="str">
        <f>_xlfn.XLOOKUP($E550,Sheet1!$E:$E,Sheet1!G:G)</f>
        <v>North Ryde [New South Wales]</v>
      </c>
      <c r="I550" t="str">
        <f>_xlfn.XLOOKUP($E550,Sheet1!$E:$E,Sheet1!I:I)</f>
        <v>Default station</v>
      </c>
      <c r="K550" t="s">
        <v>1580</v>
      </c>
      <c r="L550">
        <v>395103</v>
      </c>
    </row>
    <row r="551" spans="1:12" x14ac:dyDescent="0.25">
      <c r="A551" t="s">
        <v>20</v>
      </c>
      <c r="B551" t="s">
        <v>24</v>
      </c>
      <c r="C551" t="s">
        <v>491</v>
      </c>
      <c r="E551" t="s">
        <v>21</v>
      </c>
      <c r="F551" t="str">
        <f>_xlfn.XLOOKUP($E551,Sheet1!$E:$E,Sheet1!F:F)</f>
        <v>North Ryde</v>
      </c>
      <c r="G551" t="str">
        <f>_xlfn.XLOOKUP($E551,Sheet1!$E:$E,Sheet1!G:G)</f>
        <v>North Ryde [New South Wales]</v>
      </c>
      <c r="I551" t="str">
        <f>_xlfn.XLOOKUP($E551,Sheet1!$E:$E,Sheet1!I:I)</f>
        <v>Default station</v>
      </c>
      <c r="K551" t="s">
        <v>1581</v>
      </c>
      <c r="L551">
        <v>170416</v>
      </c>
    </row>
    <row r="552" spans="1:12" x14ac:dyDescent="0.25">
      <c r="A552" t="s">
        <v>20</v>
      </c>
      <c r="B552" t="s">
        <v>24</v>
      </c>
      <c r="C552" t="s">
        <v>704</v>
      </c>
      <c r="E552" t="s">
        <v>21</v>
      </c>
      <c r="F552" t="str">
        <f>_xlfn.XLOOKUP($E552,Sheet1!$E:$E,Sheet1!F:F)</f>
        <v>North Ryde</v>
      </c>
      <c r="G552" t="str">
        <f>_xlfn.XLOOKUP($E552,Sheet1!$E:$E,Sheet1!G:G)</f>
        <v>North Ryde [New South Wales]</v>
      </c>
      <c r="I552" t="str">
        <f>_xlfn.XLOOKUP($E552,Sheet1!$E:$E,Sheet1!I:I)</f>
        <v>Default station</v>
      </c>
      <c r="K552" t="s">
        <v>121</v>
      </c>
      <c r="L552">
        <v>23440326</v>
      </c>
    </row>
    <row r="553" spans="1:12" x14ac:dyDescent="0.25">
      <c r="A553" t="s">
        <v>20</v>
      </c>
      <c r="B553" t="s">
        <v>24</v>
      </c>
      <c r="C553" t="s">
        <v>705</v>
      </c>
      <c r="E553" t="s">
        <v>21</v>
      </c>
      <c r="F553" t="str">
        <f>_xlfn.XLOOKUP($E553,Sheet1!$E:$E,Sheet1!F:F)</f>
        <v>North Ryde</v>
      </c>
      <c r="G553" t="str">
        <f>_xlfn.XLOOKUP($E553,Sheet1!$E:$E,Sheet1!G:G)</f>
        <v>North Ryde [New South Wales]</v>
      </c>
      <c r="I553" t="str">
        <f>_xlfn.XLOOKUP($E553,Sheet1!$E:$E,Sheet1!I:I)</f>
        <v>Default station</v>
      </c>
      <c r="K553" t="s">
        <v>102</v>
      </c>
      <c r="L553">
        <v>23440001</v>
      </c>
    </row>
    <row r="554" spans="1:12" x14ac:dyDescent="0.25">
      <c r="A554" t="s">
        <v>20</v>
      </c>
      <c r="B554" t="s">
        <v>24</v>
      </c>
      <c r="C554" t="s">
        <v>72</v>
      </c>
      <c r="E554" t="s">
        <v>21</v>
      </c>
      <c r="F554" t="str">
        <f>_xlfn.XLOOKUP($E554,Sheet1!$E:$E,Sheet1!F:F)</f>
        <v>North Ryde</v>
      </c>
      <c r="G554" t="str">
        <f>_xlfn.XLOOKUP($E554,Sheet1!$E:$E,Sheet1!G:G)</f>
        <v>North Ryde [New South Wales]</v>
      </c>
      <c r="I554" t="str">
        <f>_xlfn.XLOOKUP($E554,Sheet1!$E:$E,Sheet1!I:I)</f>
        <v>Default station</v>
      </c>
      <c r="K554" t="s">
        <v>1582</v>
      </c>
      <c r="L554">
        <v>24120083</v>
      </c>
    </row>
    <row r="555" spans="1:12" x14ac:dyDescent="0.25">
      <c r="A555" t="s">
        <v>20</v>
      </c>
      <c r="B555" t="s">
        <v>24</v>
      </c>
      <c r="C555" t="s">
        <v>706</v>
      </c>
      <c r="E555" t="s">
        <v>21</v>
      </c>
      <c r="F555" t="str">
        <f>_xlfn.XLOOKUP($E555,Sheet1!$E:$E,Sheet1!F:F)</f>
        <v>North Ryde</v>
      </c>
      <c r="G555" t="str">
        <f>_xlfn.XLOOKUP($E555,Sheet1!$E:$E,Sheet1!G:G)</f>
        <v>North Ryde [New South Wales]</v>
      </c>
      <c r="I555" t="str">
        <f>_xlfn.XLOOKUP($E555,Sheet1!$E:$E,Sheet1!I:I)</f>
        <v>Default station</v>
      </c>
      <c r="K555" t="s">
        <v>1583</v>
      </c>
      <c r="L555">
        <v>16012476</v>
      </c>
    </row>
    <row r="556" spans="1:12" x14ac:dyDescent="0.25">
      <c r="A556" t="s">
        <v>20</v>
      </c>
      <c r="B556" t="s">
        <v>24</v>
      </c>
      <c r="C556" t="s">
        <v>707</v>
      </c>
      <c r="E556" t="s">
        <v>21</v>
      </c>
      <c r="F556" t="str">
        <f>_xlfn.XLOOKUP($E556,Sheet1!$E:$E,Sheet1!F:F)</f>
        <v>North Ryde</v>
      </c>
      <c r="G556" t="str">
        <f>_xlfn.XLOOKUP($E556,Sheet1!$E:$E,Sheet1!G:G)</f>
        <v>North Ryde [New South Wales]</v>
      </c>
      <c r="I556" t="str">
        <f>_xlfn.XLOOKUP($E556,Sheet1!$E:$E,Sheet1!I:I)</f>
        <v>Default station</v>
      </c>
      <c r="K556" t="s">
        <v>1584</v>
      </c>
      <c r="L556">
        <v>16011401</v>
      </c>
    </row>
    <row r="557" spans="1:12" x14ac:dyDescent="0.25">
      <c r="A557" t="s">
        <v>20</v>
      </c>
      <c r="B557" t="s">
        <v>24</v>
      </c>
      <c r="C557" t="s">
        <v>708</v>
      </c>
      <c r="E557" t="s">
        <v>21</v>
      </c>
      <c r="F557" t="str">
        <f>_xlfn.XLOOKUP($E557,Sheet1!$E:$E,Sheet1!F:F)</f>
        <v>North Ryde</v>
      </c>
      <c r="G557" t="str">
        <f>_xlfn.XLOOKUP($E557,Sheet1!$E:$E,Sheet1!G:G)</f>
        <v>North Ryde [New South Wales]</v>
      </c>
      <c r="I557" t="str">
        <f>_xlfn.XLOOKUP($E557,Sheet1!$E:$E,Sheet1!I:I)</f>
        <v>Default station</v>
      </c>
      <c r="K557" t="s">
        <v>1585</v>
      </c>
      <c r="L557">
        <v>16016300</v>
      </c>
    </row>
    <row r="558" spans="1:12" x14ac:dyDescent="0.25">
      <c r="A558" t="s">
        <v>20</v>
      </c>
      <c r="B558" t="s">
        <v>24</v>
      </c>
      <c r="C558" t="s">
        <v>709</v>
      </c>
      <c r="E558" t="s">
        <v>21</v>
      </c>
      <c r="F558" t="str">
        <f>_xlfn.XLOOKUP($E558,Sheet1!$E:$E,Sheet1!F:F)</f>
        <v>North Ryde</v>
      </c>
      <c r="G558" t="str">
        <f>_xlfn.XLOOKUP($E558,Sheet1!$E:$E,Sheet1!G:G)</f>
        <v>North Ryde [New South Wales]</v>
      </c>
      <c r="I558" t="str">
        <f>_xlfn.XLOOKUP($E558,Sheet1!$E:$E,Sheet1!I:I)</f>
        <v>Default station</v>
      </c>
      <c r="K558" t="s">
        <v>1586</v>
      </c>
      <c r="L558">
        <v>16017944</v>
      </c>
    </row>
    <row r="559" spans="1:12" x14ac:dyDescent="0.25">
      <c r="A559" t="s">
        <v>20</v>
      </c>
      <c r="B559" t="s">
        <v>24</v>
      </c>
      <c r="C559" t="s">
        <v>710</v>
      </c>
      <c r="E559" t="s">
        <v>21</v>
      </c>
      <c r="F559" t="str">
        <f>_xlfn.XLOOKUP($E559,Sheet1!$E:$E,Sheet1!F:F)</f>
        <v>North Ryde</v>
      </c>
      <c r="G559" t="str">
        <f>_xlfn.XLOOKUP($E559,Sheet1!$E:$E,Sheet1!G:G)</f>
        <v>North Ryde [New South Wales]</v>
      </c>
      <c r="I559" t="str">
        <f>_xlfn.XLOOKUP($E559,Sheet1!$E:$E,Sheet1!I:I)</f>
        <v>Default station</v>
      </c>
      <c r="K559" t="s">
        <v>1587</v>
      </c>
      <c r="L559">
        <v>170359</v>
      </c>
    </row>
    <row r="560" spans="1:12" x14ac:dyDescent="0.25">
      <c r="A560" t="s">
        <v>20</v>
      </c>
      <c r="B560" t="s">
        <v>24</v>
      </c>
      <c r="C560" t="s">
        <v>711</v>
      </c>
      <c r="E560" t="s">
        <v>21</v>
      </c>
      <c r="F560" t="str">
        <f>_xlfn.XLOOKUP($E560,Sheet1!$E:$E,Sheet1!F:F)</f>
        <v>North Ryde</v>
      </c>
      <c r="G560" t="str">
        <f>_xlfn.XLOOKUP($E560,Sheet1!$E:$E,Sheet1!G:G)</f>
        <v>North Ryde [New South Wales]</v>
      </c>
      <c r="I560" t="str">
        <f>_xlfn.XLOOKUP($E560,Sheet1!$E:$E,Sheet1!I:I)</f>
        <v>Default station</v>
      </c>
      <c r="K560" t="s">
        <v>95</v>
      </c>
      <c r="L560">
        <v>709100</v>
      </c>
    </row>
    <row r="561" spans="1:12" x14ac:dyDescent="0.25">
      <c r="A561" t="s">
        <v>20</v>
      </c>
      <c r="B561" t="s">
        <v>24</v>
      </c>
      <c r="C561" t="s">
        <v>712</v>
      </c>
      <c r="E561" t="s">
        <v>21</v>
      </c>
      <c r="F561" t="str">
        <f>_xlfn.XLOOKUP($E561,Sheet1!$E:$E,Sheet1!F:F)</f>
        <v>North Ryde</v>
      </c>
      <c r="G561" t="str">
        <f>_xlfn.XLOOKUP($E561,Sheet1!$E:$E,Sheet1!G:G)</f>
        <v>North Ryde [New South Wales]</v>
      </c>
      <c r="I561" t="str">
        <f>_xlfn.XLOOKUP($E561,Sheet1!$E:$E,Sheet1!I:I)</f>
        <v>Default station</v>
      </c>
      <c r="K561" t="s">
        <v>1588</v>
      </c>
      <c r="L561">
        <v>38130008</v>
      </c>
    </row>
    <row r="562" spans="1:12" x14ac:dyDescent="0.25">
      <c r="A562" t="s">
        <v>20</v>
      </c>
      <c r="B562" t="s">
        <v>24</v>
      </c>
      <c r="C562" t="s">
        <v>713</v>
      </c>
      <c r="E562" t="s">
        <v>21</v>
      </c>
      <c r="F562" t="str">
        <f>_xlfn.XLOOKUP($E562,Sheet1!$E:$E,Sheet1!F:F)</f>
        <v>North Ryde</v>
      </c>
      <c r="G562" t="str">
        <f>_xlfn.XLOOKUP($E562,Sheet1!$E:$E,Sheet1!G:G)</f>
        <v>North Ryde [New South Wales]</v>
      </c>
      <c r="I562" t="str">
        <f>_xlfn.XLOOKUP($E562,Sheet1!$E:$E,Sheet1!I:I)</f>
        <v>Default station</v>
      </c>
      <c r="K562" t="s">
        <v>1589</v>
      </c>
      <c r="L562">
        <v>170164</v>
      </c>
    </row>
    <row r="563" spans="1:12" x14ac:dyDescent="0.25">
      <c r="A563" t="s">
        <v>20</v>
      </c>
      <c r="B563" t="s">
        <v>24</v>
      </c>
      <c r="C563" t="s">
        <v>714</v>
      </c>
      <c r="E563" t="s">
        <v>21</v>
      </c>
      <c r="F563" t="str">
        <f>_xlfn.XLOOKUP($E563,Sheet1!$E:$E,Sheet1!F:F)</f>
        <v>North Ryde</v>
      </c>
      <c r="G563" t="str">
        <f>_xlfn.XLOOKUP($E563,Sheet1!$E:$E,Sheet1!G:G)</f>
        <v>North Ryde [New South Wales]</v>
      </c>
      <c r="I563" t="str">
        <f>_xlfn.XLOOKUP($E563,Sheet1!$E:$E,Sheet1!I:I)</f>
        <v>Default station</v>
      </c>
      <c r="K563" t="s">
        <v>1590</v>
      </c>
      <c r="L563">
        <v>241725</v>
      </c>
    </row>
    <row r="564" spans="1:12" x14ac:dyDescent="0.25">
      <c r="A564" t="s">
        <v>20</v>
      </c>
      <c r="B564" t="s">
        <v>24</v>
      </c>
      <c r="C564" t="s">
        <v>715</v>
      </c>
      <c r="E564" t="s">
        <v>21</v>
      </c>
      <c r="F564" t="str">
        <f>_xlfn.XLOOKUP($E564,Sheet1!$E:$E,Sheet1!F:F)</f>
        <v>North Ryde</v>
      </c>
      <c r="G564" t="str">
        <f>_xlfn.XLOOKUP($E564,Sheet1!$E:$E,Sheet1!G:G)</f>
        <v>North Ryde [New South Wales]</v>
      </c>
      <c r="I564" t="str">
        <f>_xlfn.XLOOKUP($E564,Sheet1!$E:$E,Sheet1!I:I)</f>
        <v>Default station</v>
      </c>
      <c r="K564" t="s">
        <v>1591</v>
      </c>
      <c r="L564">
        <v>16017962</v>
      </c>
    </row>
    <row r="565" spans="1:12" x14ac:dyDescent="0.25">
      <c r="A565" t="s">
        <v>20</v>
      </c>
      <c r="B565" t="s">
        <v>24</v>
      </c>
      <c r="C565" t="s">
        <v>716</v>
      </c>
      <c r="E565" t="s">
        <v>21</v>
      </c>
      <c r="F565" t="str">
        <f>_xlfn.XLOOKUP($E565,Sheet1!$E:$E,Sheet1!F:F)</f>
        <v>North Ryde</v>
      </c>
      <c r="G565" t="str">
        <f>_xlfn.XLOOKUP($E565,Sheet1!$E:$E,Sheet1!G:G)</f>
        <v>North Ryde [New South Wales]</v>
      </c>
      <c r="I565" t="str">
        <f>_xlfn.XLOOKUP($E565,Sheet1!$E:$E,Sheet1!I:I)</f>
        <v>Default station</v>
      </c>
      <c r="K565" t="s">
        <v>1592</v>
      </c>
      <c r="L565">
        <v>170130</v>
      </c>
    </row>
    <row r="566" spans="1:12" x14ac:dyDescent="0.25">
      <c r="A566" t="s">
        <v>20</v>
      </c>
      <c r="B566" t="s">
        <v>24</v>
      </c>
      <c r="C566" t="s">
        <v>717</v>
      </c>
      <c r="E566" t="s">
        <v>21</v>
      </c>
      <c r="F566" t="str">
        <f>_xlfn.XLOOKUP($E566,Sheet1!$E:$E,Sheet1!F:F)</f>
        <v>North Ryde</v>
      </c>
      <c r="G566" t="str">
        <f>_xlfn.XLOOKUP($E566,Sheet1!$E:$E,Sheet1!G:G)</f>
        <v>North Ryde [New South Wales]</v>
      </c>
      <c r="I566" t="str">
        <f>_xlfn.XLOOKUP($E566,Sheet1!$E:$E,Sheet1!I:I)</f>
        <v>Default station</v>
      </c>
      <c r="K566" t="s">
        <v>1593</v>
      </c>
      <c r="L566">
        <v>16012382</v>
      </c>
    </row>
    <row r="567" spans="1:12" x14ac:dyDescent="0.25">
      <c r="A567" t="s">
        <v>20</v>
      </c>
      <c r="B567" t="s">
        <v>24</v>
      </c>
      <c r="C567" t="s">
        <v>718</v>
      </c>
      <c r="E567" t="s">
        <v>21</v>
      </c>
      <c r="F567" t="str">
        <f>_xlfn.XLOOKUP($E567,Sheet1!$E:$E,Sheet1!F:F)</f>
        <v>North Ryde</v>
      </c>
      <c r="G567" t="str">
        <f>_xlfn.XLOOKUP($E567,Sheet1!$E:$E,Sheet1!G:G)</f>
        <v>North Ryde [New South Wales]</v>
      </c>
      <c r="I567" t="str">
        <f>_xlfn.XLOOKUP($E567,Sheet1!$E:$E,Sheet1!I:I)</f>
        <v>Default station</v>
      </c>
      <c r="K567" t="s">
        <v>1594</v>
      </c>
      <c r="L567">
        <v>38270099</v>
      </c>
    </row>
    <row r="568" spans="1:12" x14ac:dyDescent="0.25">
      <c r="A568" t="s">
        <v>20</v>
      </c>
      <c r="B568" t="s">
        <v>24</v>
      </c>
      <c r="C568" t="s">
        <v>719</v>
      </c>
      <c r="E568" t="s">
        <v>21</v>
      </c>
      <c r="F568" t="str">
        <f>_xlfn.XLOOKUP($E568,Sheet1!$E:$E,Sheet1!F:F)</f>
        <v>North Ryde</v>
      </c>
      <c r="G568" t="str">
        <f>_xlfn.XLOOKUP($E568,Sheet1!$E:$E,Sheet1!G:G)</f>
        <v>North Ryde [New South Wales]</v>
      </c>
      <c r="I568" t="str">
        <f>_xlfn.XLOOKUP($E568,Sheet1!$E:$E,Sheet1!I:I)</f>
        <v>Default station</v>
      </c>
      <c r="K568" t="s">
        <v>1595</v>
      </c>
      <c r="L568">
        <v>14000463</v>
      </c>
    </row>
    <row r="569" spans="1:12" x14ac:dyDescent="0.25">
      <c r="A569" t="s">
        <v>20</v>
      </c>
      <c r="B569" t="s">
        <v>24</v>
      </c>
      <c r="C569" t="s">
        <v>720</v>
      </c>
      <c r="E569" t="s">
        <v>21</v>
      </c>
      <c r="F569" t="str">
        <f>_xlfn.XLOOKUP($E569,Sheet1!$E:$E,Sheet1!F:F)</f>
        <v>North Ryde</v>
      </c>
      <c r="G569" t="str">
        <f>_xlfn.XLOOKUP($E569,Sheet1!$E:$E,Sheet1!G:G)</f>
        <v>North Ryde [New South Wales]</v>
      </c>
      <c r="I569" t="str">
        <f>_xlfn.XLOOKUP($E569,Sheet1!$E:$E,Sheet1!I:I)</f>
        <v>Default station</v>
      </c>
      <c r="K569" t="s">
        <v>1596</v>
      </c>
      <c r="L569">
        <v>377501</v>
      </c>
    </row>
    <row r="570" spans="1:12" x14ac:dyDescent="0.25">
      <c r="A570" t="s">
        <v>20</v>
      </c>
      <c r="B570" t="s">
        <v>24</v>
      </c>
      <c r="C570" t="s">
        <v>721</v>
      </c>
      <c r="E570" t="s">
        <v>21</v>
      </c>
      <c r="F570" t="str">
        <f>_xlfn.XLOOKUP($E570,Sheet1!$E:$E,Sheet1!F:F)</f>
        <v>North Ryde</v>
      </c>
      <c r="G570" t="str">
        <f>_xlfn.XLOOKUP($E570,Sheet1!$E:$E,Sheet1!G:G)</f>
        <v>North Ryde [New South Wales]</v>
      </c>
      <c r="I570" t="str">
        <f>_xlfn.XLOOKUP($E570,Sheet1!$E:$E,Sheet1!I:I)</f>
        <v>Default station</v>
      </c>
      <c r="K570" t="s">
        <v>1597</v>
      </c>
      <c r="L570">
        <v>16017881</v>
      </c>
    </row>
    <row r="571" spans="1:12" x14ac:dyDescent="0.25">
      <c r="A571" t="s">
        <v>20</v>
      </c>
      <c r="B571" t="s">
        <v>24</v>
      </c>
      <c r="C571" t="s">
        <v>722</v>
      </c>
      <c r="E571" t="s">
        <v>21</v>
      </c>
      <c r="F571" t="str">
        <f>_xlfn.XLOOKUP($E571,Sheet1!$E:$E,Sheet1!F:F)</f>
        <v>North Ryde</v>
      </c>
      <c r="G571" t="str">
        <f>_xlfn.XLOOKUP($E571,Sheet1!$E:$E,Sheet1!G:G)</f>
        <v>North Ryde [New South Wales]</v>
      </c>
      <c r="I571" t="str">
        <f>_xlfn.XLOOKUP($E571,Sheet1!$E:$E,Sheet1!I:I)</f>
        <v>Default station</v>
      </c>
      <c r="K571" t="s">
        <v>1598</v>
      </c>
      <c r="L571">
        <v>382001</v>
      </c>
    </row>
    <row r="572" spans="1:12" x14ac:dyDescent="0.25">
      <c r="A572" t="s">
        <v>20</v>
      </c>
      <c r="B572" t="s">
        <v>24</v>
      </c>
      <c r="C572" t="s">
        <v>723</v>
      </c>
      <c r="E572" t="s">
        <v>21</v>
      </c>
      <c r="F572" t="str">
        <f>_xlfn.XLOOKUP($E572,Sheet1!$E:$E,Sheet1!F:F)</f>
        <v>North Ryde</v>
      </c>
      <c r="G572" t="str">
        <f>_xlfn.XLOOKUP($E572,Sheet1!$E:$E,Sheet1!G:G)</f>
        <v>North Ryde [New South Wales]</v>
      </c>
      <c r="I572" t="str">
        <f>_xlfn.XLOOKUP($E572,Sheet1!$E:$E,Sheet1!I:I)</f>
        <v>Default station</v>
      </c>
      <c r="K572" t="s">
        <v>1599</v>
      </c>
      <c r="L572">
        <v>38220015</v>
      </c>
    </row>
    <row r="573" spans="1:12" x14ac:dyDescent="0.25">
      <c r="A573" t="s">
        <v>20</v>
      </c>
      <c r="B573" t="s">
        <v>24</v>
      </c>
      <c r="C573" t="s">
        <v>724</v>
      </c>
      <c r="E573" t="s">
        <v>21</v>
      </c>
      <c r="F573" t="str">
        <f>_xlfn.XLOOKUP($E573,Sheet1!$E:$E,Sheet1!F:F)</f>
        <v>North Ryde</v>
      </c>
      <c r="G573" t="str">
        <f>_xlfn.XLOOKUP($E573,Sheet1!$E:$E,Sheet1!G:G)</f>
        <v>North Ryde [New South Wales]</v>
      </c>
      <c r="I573" t="str">
        <f>_xlfn.XLOOKUP($E573,Sheet1!$E:$E,Sheet1!I:I)</f>
        <v>Default station</v>
      </c>
      <c r="K573" t="s">
        <v>1600</v>
      </c>
      <c r="L573">
        <v>24180004</v>
      </c>
    </row>
    <row r="574" spans="1:12" x14ac:dyDescent="0.25">
      <c r="A574" t="s">
        <v>20</v>
      </c>
      <c r="B574" t="s">
        <v>24</v>
      </c>
      <c r="C574" t="s">
        <v>725</v>
      </c>
      <c r="E574" t="s">
        <v>21</v>
      </c>
      <c r="F574" t="str">
        <f>_xlfn.XLOOKUP($E574,Sheet1!$E:$E,Sheet1!F:F)</f>
        <v>North Ryde</v>
      </c>
      <c r="G574" t="str">
        <f>_xlfn.XLOOKUP($E574,Sheet1!$E:$E,Sheet1!G:G)</f>
        <v>North Ryde [New South Wales]</v>
      </c>
      <c r="I574" t="str">
        <f>_xlfn.XLOOKUP($E574,Sheet1!$E:$E,Sheet1!I:I)</f>
        <v>Default station</v>
      </c>
      <c r="K574" t="s">
        <v>152</v>
      </c>
      <c r="L574">
        <v>37740121</v>
      </c>
    </row>
    <row r="575" spans="1:12" x14ac:dyDescent="0.25">
      <c r="A575" t="s">
        <v>20</v>
      </c>
      <c r="B575" t="s">
        <v>24</v>
      </c>
      <c r="C575" t="s">
        <v>726</v>
      </c>
      <c r="E575" t="s">
        <v>21</v>
      </c>
      <c r="F575" t="str">
        <f>_xlfn.XLOOKUP($E575,Sheet1!$E:$E,Sheet1!F:F)</f>
        <v>North Ryde</v>
      </c>
      <c r="G575" t="str">
        <f>_xlfn.XLOOKUP($E575,Sheet1!$E:$E,Sheet1!G:G)</f>
        <v>North Ryde [New South Wales]</v>
      </c>
      <c r="I575" t="str">
        <f>_xlfn.XLOOKUP($E575,Sheet1!$E:$E,Sheet1!I:I)</f>
        <v>Default station</v>
      </c>
      <c r="K575" t="s">
        <v>1601</v>
      </c>
      <c r="L575">
        <v>16016662</v>
      </c>
    </row>
    <row r="576" spans="1:12" x14ac:dyDescent="0.25">
      <c r="A576" t="s">
        <v>20</v>
      </c>
      <c r="B576" t="s">
        <v>24</v>
      </c>
      <c r="C576" t="s">
        <v>727</v>
      </c>
      <c r="E576" t="s">
        <v>21</v>
      </c>
      <c r="F576" t="str">
        <f>_xlfn.XLOOKUP($E576,Sheet1!$E:$E,Sheet1!F:F)</f>
        <v>North Ryde</v>
      </c>
      <c r="G576" t="str">
        <f>_xlfn.XLOOKUP($E576,Sheet1!$E:$E,Sheet1!G:G)</f>
        <v>North Ryde [New South Wales]</v>
      </c>
      <c r="I576" t="str">
        <f>_xlfn.XLOOKUP($E576,Sheet1!$E:$E,Sheet1!I:I)</f>
        <v>Default station</v>
      </c>
      <c r="K576" t="s">
        <v>1602</v>
      </c>
      <c r="L576">
        <v>109101</v>
      </c>
    </row>
    <row r="577" spans="1:12" x14ac:dyDescent="0.25">
      <c r="A577" t="s">
        <v>20</v>
      </c>
      <c r="B577" t="s">
        <v>24</v>
      </c>
      <c r="C577" t="s">
        <v>728</v>
      </c>
      <c r="E577" t="s">
        <v>21</v>
      </c>
      <c r="F577" t="str">
        <f>_xlfn.XLOOKUP($E577,Sheet1!$E:$E,Sheet1!F:F)</f>
        <v>North Ryde</v>
      </c>
      <c r="G577" t="str">
        <f>_xlfn.XLOOKUP($E577,Sheet1!$E:$E,Sheet1!G:G)</f>
        <v>North Ryde [New South Wales]</v>
      </c>
      <c r="I577" t="str">
        <f>_xlfn.XLOOKUP($E577,Sheet1!$E:$E,Sheet1!I:I)</f>
        <v>Default station</v>
      </c>
      <c r="K577" t="s">
        <v>1603</v>
      </c>
      <c r="L577">
        <v>16012492</v>
      </c>
    </row>
    <row r="578" spans="1:12" x14ac:dyDescent="0.25">
      <c r="A578" t="s">
        <v>20</v>
      </c>
      <c r="B578" t="s">
        <v>24</v>
      </c>
      <c r="C578" t="s">
        <v>729</v>
      </c>
      <c r="E578" t="s">
        <v>21</v>
      </c>
      <c r="F578" t="str">
        <f>_xlfn.XLOOKUP($E578,Sheet1!$E:$E,Sheet1!F:F)</f>
        <v>North Ryde</v>
      </c>
      <c r="G578" t="str">
        <f>_xlfn.XLOOKUP($E578,Sheet1!$E:$E,Sheet1!G:G)</f>
        <v>North Ryde [New South Wales]</v>
      </c>
      <c r="I578" t="str">
        <f>_xlfn.XLOOKUP($E578,Sheet1!$E:$E,Sheet1!I:I)</f>
        <v>Default station</v>
      </c>
      <c r="K578" t="s">
        <v>1604</v>
      </c>
      <c r="L578">
        <v>16014524</v>
      </c>
    </row>
    <row r="579" spans="1:12" x14ac:dyDescent="0.25">
      <c r="A579" t="s">
        <v>20</v>
      </c>
      <c r="B579" t="s">
        <v>24</v>
      </c>
      <c r="C579" t="s">
        <v>730</v>
      </c>
      <c r="E579" t="s">
        <v>21</v>
      </c>
      <c r="F579" t="str">
        <f>_xlfn.XLOOKUP($E579,Sheet1!$E:$E,Sheet1!F:F)</f>
        <v>North Ryde</v>
      </c>
      <c r="G579" t="str">
        <f>_xlfn.XLOOKUP($E579,Sheet1!$E:$E,Sheet1!G:G)</f>
        <v>North Ryde [New South Wales]</v>
      </c>
      <c r="I579" t="str">
        <f>_xlfn.XLOOKUP($E579,Sheet1!$E:$E,Sheet1!I:I)</f>
        <v>Default station</v>
      </c>
      <c r="K579" t="s">
        <v>1605</v>
      </c>
      <c r="L579">
        <v>240110</v>
      </c>
    </row>
    <row r="580" spans="1:12" x14ac:dyDescent="0.25">
      <c r="A580" t="s">
        <v>20</v>
      </c>
      <c r="B580" t="s">
        <v>24</v>
      </c>
      <c r="C580" t="s">
        <v>731</v>
      </c>
      <c r="E580" t="s">
        <v>21</v>
      </c>
      <c r="F580" t="str">
        <f>_xlfn.XLOOKUP($E580,Sheet1!$E:$E,Sheet1!F:F)</f>
        <v>North Ryde</v>
      </c>
      <c r="G580" t="str">
        <f>_xlfn.XLOOKUP($E580,Sheet1!$E:$E,Sheet1!G:G)</f>
        <v>North Ryde [New South Wales]</v>
      </c>
      <c r="I580" t="str">
        <f>_xlfn.XLOOKUP($E580,Sheet1!$E:$E,Sheet1!I:I)</f>
        <v>Default station</v>
      </c>
      <c r="K580" t="s">
        <v>1606</v>
      </c>
      <c r="L580">
        <v>170913</v>
      </c>
    </row>
    <row r="581" spans="1:12" x14ac:dyDescent="0.25">
      <c r="A581" t="s">
        <v>20</v>
      </c>
      <c r="B581" t="s">
        <v>24</v>
      </c>
      <c r="C581" t="s">
        <v>732</v>
      </c>
      <c r="E581" t="s">
        <v>21</v>
      </c>
      <c r="F581" t="str">
        <f>_xlfn.XLOOKUP($E581,Sheet1!$E:$E,Sheet1!F:F)</f>
        <v>North Ryde</v>
      </c>
      <c r="G581" t="str">
        <f>_xlfn.XLOOKUP($E581,Sheet1!$E:$E,Sheet1!G:G)</f>
        <v>North Ryde [New South Wales]</v>
      </c>
      <c r="I581" t="str">
        <f>_xlfn.XLOOKUP($E581,Sheet1!$E:$E,Sheet1!I:I)</f>
        <v>Default station</v>
      </c>
      <c r="K581" t="s">
        <v>44</v>
      </c>
      <c r="L581">
        <v>14000514</v>
      </c>
    </row>
    <row r="582" spans="1:12" x14ac:dyDescent="0.25">
      <c r="A582" t="s">
        <v>20</v>
      </c>
      <c r="B582" t="s">
        <v>24</v>
      </c>
      <c r="C582" t="s">
        <v>733</v>
      </c>
      <c r="E582" t="s">
        <v>21</v>
      </c>
      <c r="F582" t="str">
        <f>_xlfn.XLOOKUP($E582,Sheet1!$E:$E,Sheet1!F:F)</f>
        <v>North Ryde</v>
      </c>
      <c r="G582" t="str">
        <f>_xlfn.XLOOKUP($E582,Sheet1!$E:$E,Sheet1!G:G)</f>
        <v>North Ryde [New South Wales]</v>
      </c>
      <c r="I582" t="str">
        <f>_xlfn.XLOOKUP($E582,Sheet1!$E:$E,Sheet1!I:I)</f>
        <v>Default station</v>
      </c>
      <c r="K582" t="s">
        <v>1607</v>
      </c>
      <c r="L582">
        <v>24120104</v>
      </c>
    </row>
    <row r="583" spans="1:12" x14ac:dyDescent="0.25">
      <c r="A583" t="s">
        <v>20</v>
      </c>
      <c r="B583" t="s">
        <v>24</v>
      </c>
      <c r="C583" t="s">
        <v>734</v>
      </c>
      <c r="E583" t="s">
        <v>21</v>
      </c>
      <c r="F583" t="str">
        <f>_xlfn.XLOOKUP($E583,Sheet1!$E:$E,Sheet1!F:F)</f>
        <v>North Ryde</v>
      </c>
      <c r="G583" t="str">
        <f>_xlfn.XLOOKUP($E583,Sheet1!$E:$E,Sheet1!G:G)</f>
        <v>North Ryde [New South Wales]</v>
      </c>
      <c r="I583" t="str">
        <f>_xlfn.XLOOKUP($E583,Sheet1!$E:$E,Sheet1!I:I)</f>
        <v>Default station</v>
      </c>
      <c r="K583" t="s">
        <v>1608</v>
      </c>
      <c r="L583">
        <v>170314</v>
      </c>
    </row>
    <row r="584" spans="1:12" x14ac:dyDescent="0.25">
      <c r="A584" t="s">
        <v>20</v>
      </c>
      <c r="B584" t="s">
        <v>24</v>
      </c>
      <c r="C584" t="s">
        <v>735</v>
      </c>
      <c r="E584" t="s">
        <v>21</v>
      </c>
      <c r="F584" t="str">
        <f>_xlfn.XLOOKUP($E584,Sheet1!$E:$E,Sheet1!F:F)</f>
        <v>North Ryde</v>
      </c>
      <c r="G584" t="str">
        <f>_xlfn.XLOOKUP($E584,Sheet1!$E:$E,Sheet1!G:G)</f>
        <v>North Ryde [New South Wales]</v>
      </c>
      <c r="I584" t="str">
        <f>_xlfn.XLOOKUP($E584,Sheet1!$E:$E,Sheet1!I:I)</f>
        <v>Default station</v>
      </c>
      <c r="K584" t="s">
        <v>1609</v>
      </c>
      <c r="L584">
        <v>170112</v>
      </c>
    </row>
    <row r="585" spans="1:12" x14ac:dyDescent="0.25">
      <c r="A585" t="s">
        <v>20</v>
      </c>
      <c r="B585" t="s">
        <v>24</v>
      </c>
      <c r="C585" t="s">
        <v>736</v>
      </c>
      <c r="E585" t="s">
        <v>21</v>
      </c>
      <c r="F585" t="str">
        <f>_xlfn.XLOOKUP($E585,Sheet1!$E:$E,Sheet1!F:F)</f>
        <v>North Ryde</v>
      </c>
      <c r="G585" t="str">
        <f>_xlfn.XLOOKUP($E585,Sheet1!$E:$E,Sheet1!G:G)</f>
        <v>North Ryde [New South Wales]</v>
      </c>
      <c r="I585" t="str">
        <f>_xlfn.XLOOKUP($E585,Sheet1!$E:$E,Sheet1!I:I)</f>
        <v>Default station</v>
      </c>
      <c r="K585" t="s">
        <v>1610</v>
      </c>
      <c r="L585">
        <v>16017764</v>
      </c>
    </row>
    <row r="586" spans="1:12" x14ac:dyDescent="0.25">
      <c r="A586" t="s">
        <v>20</v>
      </c>
      <c r="B586" t="s">
        <v>24</v>
      </c>
      <c r="C586" t="s">
        <v>737</v>
      </c>
      <c r="E586" t="s">
        <v>21</v>
      </c>
      <c r="F586" t="str">
        <f>_xlfn.XLOOKUP($E586,Sheet1!$E:$E,Sheet1!F:F)</f>
        <v>North Ryde</v>
      </c>
      <c r="G586" t="str">
        <f>_xlfn.XLOOKUP($E586,Sheet1!$E:$E,Sheet1!G:G)</f>
        <v>North Ryde [New South Wales]</v>
      </c>
      <c r="I586" t="str">
        <f>_xlfn.XLOOKUP($E586,Sheet1!$E:$E,Sheet1!I:I)</f>
        <v>Default station</v>
      </c>
      <c r="K586" t="s">
        <v>1611</v>
      </c>
      <c r="L586">
        <v>14001331</v>
      </c>
    </row>
    <row r="587" spans="1:12" x14ac:dyDescent="0.25">
      <c r="A587" t="s">
        <v>20</v>
      </c>
      <c r="B587" t="s">
        <v>24</v>
      </c>
      <c r="C587" t="s">
        <v>738</v>
      </c>
      <c r="E587" t="s">
        <v>21</v>
      </c>
      <c r="F587" t="str">
        <f>_xlfn.XLOOKUP($E587,Sheet1!$E:$E,Sheet1!F:F)</f>
        <v>North Ryde</v>
      </c>
      <c r="G587" t="str">
        <f>_xlfn.XLOOKUP($E587,Sheet1!$E:$E,Sheet1!G:G)</f>
        <v>North Ryde [New South Wales]</v>
      </c>
      <c r="I587" t="str">
        <f>_xlfn.XLOOKUP($E587,Sheet1!$E:$E,Sheet1!I:I)</f>
        <v>Default station</v>
      </c>
      <c r="K587" t="s">
        <v>1612</v>
      </c>
      <c r="L587">
        <v>13001210</v>
      </c>
    </row>
    <row r="588" spans="1:12" x14ac:dyDescent="0.25">
      <c r="A588" t="s">
        <v>20</v>
      </c>
      <c r="B588" t="s">
        <v>24</v>
      </c>
      <c r="C588" t="s">
        <v>739</v>
      </c>
      <c r="E588" t="s">
        <v>21</v>
      </c>
      <c r="F588" t="str">
        <f>_xlfn.XLOOKUP($E588,Sheet1!$E:$E,Sheet1!F:F)</f>
        <v>North Ryde</v>
      </c>
      <c r="G588" t="str">
        <f>_xlfn.XLOOKUP($E588,Sheet1!$E:$E,Sheet1!G:G)</f>
        <v>North Ryde [New South Wales]</v>
      </c>
      <c r="I588" t="str">
        <f>_xlfn.XLOOKUP($E588,Sheet1!$E:$E,Sheet1!I:I)</f>
        <v>Default station</v>
      </c>
      <c r="K588" t="s">
        <v>1613</v>
      </c>
      <c r="L588">
        <v>16011374</v>
      </c>
    </row>
    <row r="589" spans="1:12" x14ac:dyDescent="0.25">
      <c r="A589" t="s">
        <v>20</v>
      </c>
      <c r="B589" t="s">
        <v>24</v>
      </c>
      <c r="C589" t="s">
        <v>740</v>
      </c>
      <c r="E589" t="s">
        <v>21</v>
      </c>
      <c r="F589" t="str">
        <f>_xlfn.XLOOKUP($E589,Sheet1!$E:$E,Sheet1!F:F)</f>
        <v>North Ryde</v>
      </c>
      <c r="G589" t="str">
        <f>_xlfn.XLOOKUP($E589,Sheet1!$E:$E,Sheet1!G:G)</f>
        <v>North Ryde [New South Wales]</v>
      </c>
      <c r="I589" t="str">
        <f>_xlfn.XLOOKUP($E589,Sheet1!$E:$E,Sheet1!I:I)</f>
        <v>Default station</v>
      </c>
      <c r="K589" t="s">
        <v>1614</v>
      </c>
      <c r="L589">
        <v>16016658</v>
      </c>
    </row>
    <row r="590" spans="1:12" x14ac:dyDescent="0.25">
      <c r="A590" t="s">
        <v>20</v>
      </c>
      <c r="B590" t="s">
        <v>24</v>
      </c>
      <c r="C590" t="s">
        <v>741</v>
      </c>
      <c r="E590" t="s">
        <v>21</v>
      </c>
      <c r="F590" t="str">
        <f>_xlfn.XLOOKUP($E590,Sheet1!$E:$E,Sheet1!F:F)</f>
        <v>North Ryde</v>
      </c>
      <c r="G590" t="str">
        <f>_xlfn.XLOOKUP($E590,Sheet1!$E:$E,Sheet1!G:G)</f>
        <v>North Ryde [New South Wales]</v>
      </c>
      <c r="I590" t="str">
        <f>_xlfn.XLOOKUP($E590,Sheet1!$E:$E,Sheet1!I:I)</f>
        <v>Default station</v>
      </c>
      <c r="K590" t="s">
        <v>1615</v>
      </c>
      <c r="L590">
        <v>16017911</v>
      </c>
    </row>
    <row r="591" spans="1:12" x14ac:dyDescent="0.25">
      <c r="A591" t="s">
        <v>20</v>
      </c>
      <c r="B591" t="s">
        <v>24</v>
      </c>
      <c r="C591" t="s">
        <v>742</v>
      </c>
      <c r="E591" t="s">
        <v>21</v>
      </c>
      <c r="F591" t="str">
        <f>_xlfn.XLOOKUP($E591,Sheet1!$E:$E,Sheet1!F:F)</f>
        <v>North Ryde</v>
      </c>
      <c r="G591" t="str">
        <f>_xlfn.XLOOKUP($E591,Sheet1!$E:$E,Sheet1!G:G)</f>
        <v>North Ryde [New South Wales]</v>
      </c>
      <c r="I591" t="str">
        <f>_xlfn.XLOOKUP($E591,Sheet1!$E:$E,Sheet1!I:I)</f>
        <v>Default station</v>
      </c>
      <c r="K591" t="s">
        <v>151</v>
      </c>
      <c r="L591">
        <v>70700018</v>
      </c>
    </row>
    <row r="592" spans="1:12" x14ac:dyDescent="0.25">
      <c r="A592" t="s">
        <v>20</v>
      </c>
      <c r="B592" t="s">
        <v>24</v>
      </c>
      <c r="C592" t="s">
        <v>743</v>
      </c>
      <c r="E592" t="s">
        <v>21</v>
      </c>
      <c r="F592" t="str">
        <f>_xlfn.XLOOKUP($E592,Sheet1!$E:$E,Sheet1!F:F)</f>
        <v>North Ryde</v>
      </c>
      <c r="G592" t="str">
        <f>_xlfn.XLOOKUP($E592,Sheet1!$E:$E,Sheet1!G:G)</f>
        <v>North Ryde [New South Wales]</v>
      </c>
      <c r="I592" t="str">
        <f>_xlfn.XLOOKUP($E592,Sheet1!$E:$E,Sheet1!I:I)</f>
        <v>Default station</v>
      </c>
      <c r="K592" t="s">
        <v>1616</v>
      </c>
      <c r="L592">
        <v>23440241</v>
      </c>
    </row>
    <row r="593" spans="1:12" x14ac:dyDescent="0.25">
      <c r="A593" t="s">
        <v>20</v>
      </c>
      <c r="B593" t="s">
        <v>24</v>
      </c>
      <c r="C593" t="s">
        <v>744</v>
      </c>
      <c r="E593" t="s">
        <v>21</v>
      </c>
      <c r="F593" t="str">
        <f>_xlfn.XLOOKUP($E593,Sheet1!$E:$E,Sheet1!F:F)</f>
        <v>North Ryde</v>
      </c>
      <c r="G593" t="str">
        <f>_xlfn.XLOOKUP($E593,Sheet1!$E:$E,Sheet1!G:G)</f>
        <v>North Ryde [New South Wales]</v>
      </c>
      <c r="I593" t="str">
        <f>_xlfn.XLOOKUP($E593,Sheet1!$E:$E,Sheet1!I:I)</f>
        <v>Default station</v>
      </c>
      <c r="K593" t="s">
        <v>1617</v>
      </c>
      <c r="L593">
        <v>170753</v>
      </c>
    </row>
    <row r="594" spans="1:12" x14ac:dyDescent="0.25">
      <c r="A594" t="s">
        <v>20</v>
      </c>
      <c r="B594" t="s">
        <v>24</v>
      </c>
      <c r="C594" t="s">
        <v>745</v>
      </c>
      <c r="E594" t="s">
        <v>21</v>
      </c>
      <c r="F594" t="str">
        <f>_xlfn.XLOOKUP($E594,Sheet1!$E:$E,Sheet1!F:F)</f>
        <v>North Ryde</v>
      </c>
      <c r="G594" t="str">
        <f>_xlfn.XLOOKUP($E594,Sheet1!$E:$E,Sheet1!G:G)</f>
        <v>North Ryde [New South Wales]</v>
      </c>
      <c r="I594" t="str">
        <f>_xlfn.XLOOKUP($E594,Sheet1!$E:$E,Sheet1!I:I)</f>
        <v>Default station</v>
      </c>
      <c r="K594" t="s">
        <v>1618</v>
      </c>
      <c r="L594">
        <v>16012366</v>
      </c>
    </row>
    <row r="595" spans="1:12" x14ac:dyDescent="0.25">
      <c r="A595" t="s">
        <v>20</v>
      </c>
      <c r="B595" t="s">
        <v>24</v>
      </c>
      <c r="C595" t="s">
        <v>746</v>
      </c>
      <c r="E595" t="s">
        <v>21</v>
      </c>
      <c r="F595" t="str">
        <f>_xlfn.XLOOKUP($E595,Sheet1!$E:$E,Sheet1!F:F)</f>
        <v>North Ryde</v>
      </c>
      <c r="G595" t="str">
        <f>_xlfn.XLOOKUP($E595,Sheet1!$E:$E,Sheet1!G:G)</f>
        <v>North Ryde [New South Wales]</v>
      </c>
      <c r="I595" t="str">
        <f>_xlfn.XLOOKUP($E595,Sheet1!$E:$E,Sheet1!I:I)</f>
        <v>Default station</v>
      </c>
      <c r="K595" t="s">
        <v>1619</v>
      </c>
      <c r="L595">
        <v>16011165</v>
      </c>
    </row>
    <row r="596" spans="1:12" x14ac:dyDescent="0.25">
      <c r="A596" t="s">
        <v>20</v>
      </c>
      <c r="B596" t="s">
        <v>24</v>
      </c>
      <c r="C596" t="s">
        <v>747</v>
      </c>
      <c r="E596" t="s">
        <v>21</v>
      </c>
      <c r="F596" t="str">
        <f>_xlfn.XLOOKUP($E596,Sheet1!$E:$E,Sheet1!F:F)</f>
        <v>North Ryde</v>
      </c>
      <c r="G596" t="str">
        <f>_xlfn.XLOOKUP($E596,Sheet1!$E:$E,Sheet1!G:G)</f>
        <v>North Ryde [New South Wales]</v>
      </c>
      <c r="I596" t="str">
        <f>_xlfn.XLOOKUP($E596,Sheet1!$E:$E,Sheet1!I:I)</f>
        <v>Default station</v>
      </c>
      <c r="K596" t="s">
        <v>1620</v>
      </c>
      <c r="L596">
        <v>16012378</v>
      </c>
    </row>
    <row r="597" spans="1:12" x14ac:dyDescent="0.25">
      <c r="A597" t="s">
        <v>20</v>
      </c>
      <c r="B597" t="s">
        <v>24</v>
      </c>
      <c r="C597" t="s">
        <v>748</v>
      </c>
      <c r="E597" t="s">
        <v>21</v>
      </c>
      <c r="F597" t="str">
        <f>_xlfn.XLOOKUP($E597,Sheet1!$E:$E,Sheet1!F:F)</f>
        <v>North Ryde</v>
      </c>
      <c r="G597" t="str">
        <f>_xlfn.XLOOKUP($E597,Sheet1!$E:$E,Sheet1!G:G)</f>
        <v>North Ryde [New South Wales]</v>
      </c>
      <c r="I597" t="str">
        <f>_xlfn.XLOOKUP($E597,Sheet1!$E:$E,Sheet1!I:I)</f>
        <v>Default station</v>
      </c>
      <c r="K597" t="s">
        <v>1621</v>
      </c>
      <c r="L597">
        <v>16011516</v>
      </c>
    </row>
    <row r="598" spans="1:12" x14ac:dyDescent="0.25">
      <c r="A598" t="s">
        <v>20</v>
      </c>
      <c r="B598" t="s">
        <v>24</v>
      </c>
      <c r="C598" t="s">
        <v>749</v>
      </c>
      <c r="E598" t="s">
        <v>21</v>
      </c>
      <c r="F598" t="str">
        <f>_xlfn.XLOOKUP($E598,Sheet1!$E:$E,Sheet1!F:F)</f>
        <v>North Ryde</v>
      </c>
      <c r="G598" t="str">
        <f>_xlfn.XLOOKUP($E598,Sheet1!$E:$E,Sheet1!G:G)</f>
        <v>North Ryde [New South Wales]</v>
      </c>
      <c r="I598" t="str">
        <f>_xlfn.XLOOKUP($E598,Sheet1!$E:$E,Sheet1!I:I)</f>
        <v>Default station</v>
      </c>
      <c r="K598" t="s">
        <v>1622</v>
      </c>
      <c r="L598">
        <v>17020795</v>
      </c>
    </row>
    <row r="599" spans="1:12" x14ac:dyDescent="0.25">
      <c r="A599" t="s">
        <v>20</v>
      </c>
      <c r="B599" t="s">
        <v>24</v>
      </c>
      <c r="C599" t="s">
        <v>750</v>
      </c>
      <c r="E599" t="s">
        <v>21</v>
      </c>
      <c r="F599" t="str">
        <f>_xlfn.XLOOKUP($E599,Sheet1!$E:$E,Sheet1!F:F)</f>
        <v>North Ryde</v>
      </c>
      <c r="G599" t="str">
        <f>_xlfn.XLOOKUP($E599,Sheet1!$E:$E,Sheet1!G:G)</f>
        <v>North Ryde [New South Wales]</v>
      </c>
      <c r="I599" t="str">
        <f>_xlfn.XLOOKUP($E599,Sheet1!$E:$E,Sheet1!I:I)</f>
        <v>Default station</v>
      </c>
      <c r="K599" t="s">
        <v>1623</v>
      </c>
      <c r="L599">
        <v>170306</v>
      </c>
    </row>
    <row r="600" spans="1:12" x14ac:dyDescent="0.25">
      <c r="A600" t="s">
        <v>20</v>
      </c>
      <c r="B600" t="s">
        <v>24</v>
      </c>
      <c r="C600" t="s">
        <v>751</v>
      </c>
      <c r="E600" t="s">
        <v>21</v>
      </c>
      <c r="F600" t="str">
        <f>_xlfn.XLOOKUP($E600,Sheet1!$E:$E,Sheet1!F:F)</f>
        <v>North Ryde</v>
      </c>
      <c r="G600" t="str">
        <f>_xlfn.XLOOKUP($E600,Sheet1!$E:$E,Sheet1!G:G)</f>
        <v>North Ryde [New South Wales]</v>
      </c>
      <c r="I600" t="str">
        <f>_xlfn.XLOOKUP($E600,Sheet1!$E:$E,Sheet1!I:I)</f>
        <v>Default station</v>
      </c>
      <c r="K600" t="s">
        <v>1624</v>
      </c>
      <c r="L600">
        <v>16016036</v>
      </c>
    </row>
    <row r="601" spans="1:12" x14ac:dyDescent="0.25">
      <c r="A601" t="s">
        <v>20</v>
      </c>
      <c r="B601" t="s">
        <v>24</v>
      </c>
      <c r="C601" t="s">
        <v>752</v>
      </c>
      <c r="E601" t="s">
        <v>21</v>
      </c>
      <c r="F601" t="str">
        <f>_xlfn.XLOOKUP($E601,Sheet1!$E:$E,Sheet1!F:F)</f>
        <v>North Ryde</v>
      </c>
      <c r="G601" t="str">
        <f>_xlfn.XLOOKUP($E601,Sheet1!$E:$E,Sheet1!G:G)</f>
        <v>North Ryde [New South Wales]</v>
      </c>
      <c r="I601" t="str">
        <f>_xlfn.XLOOKUP($E601,Sheet1!$E:$E,Sheet1!I:I)</f>
        <v>Default station</v>
      </c>
      <c r="K601" t="s">
        <v>1625</v>
      </c>
      <c r="L601">
        <v>38220072</v>
      </c>
    </row>
    <row r="602" spans="1:12" x14ac:dyDescent="0.25">
      <c r="A602" t="s">
        <v>20</v>
      </c>
      <c r="B602" t="s">
        <v>24</v>
      </c>
      <c r="C602" t="s">
        <v>753</v>
      </c>
      <c r="E602" t="s">
        <v>21</v>
      </c>
      <c r="F602" t="str">
        <f>_xlfn.XLOOKUP($E602,Sheet1!$E:$E,Sheet1!F:F)</f>
        <v>North Ryde</v>
      </c>
      <c r="G602" t="str">
        <f>_xlfn.XLOOKUP($E602,Sheet1!$E:$E,Sheet1!G:G)</f>
        <v>North Ryde [New South Wales]</v>
      </c>
      <c r="I602" t="str">
        <f>_xlfn.XLOOKUP($E602,Sheet1!$E:$E,Sheet1!I:I)</f>
        <v>Default station</v>
      </c>
      <c r="K602" t="s">
        <v>1626</v>
      </c>
      <c r="L602">
        <v>241301</v>
      </c>
    </row>
    <row r="603" spans="1:12" x14ac:dyDescent="0.25">
      <c r="A603" t="s">
        <v>20</v>
      </c>
      <c r="B603" t="s">
        <v>24</v>
      </c>
      <c r="C603" t="s">
        <v>754</v>
      </c>
      <c r="E603" t="s">
        <v>21</v>
      </c>
      <c r="F603" t="str">
        <f>_xlfn.XLOOKUP($E603,Sheet1!$E:$E,Sheet1!F:F)</f>
        <v>North Ryde</v>
      </c>
      <c r="G603" t="str">
        <f>_xlfn.XLOOKUP($E603,Sheet1!$E:$E,Sheet1!G:G)</f>
        <v>North Ryde [New South Wales]</v>
      </c>
      <c r="I603" t="str">
        <f>_xlfn.XLOOKUP($E603,Sheet1!$E:$E,Sheet1!I:I)</f>
        <v>Default station</v>
      </c>
      <c r="K603" t="s">
        <v>1627</v>
      </c>
      <c r="L603">
        <v>14001327</v>
      </c>
    </row>
    <row r="604" spans="1:12" x14ac:dyDescent="0.25">
      <c r="A604" t="s">
        <v>20</v>
      </c>
      <c r="B604" t="s">
        <v>24</v>
      </c>
      <c r="C604" t="s">
        <v>755</v>
      </c>
      <c r="E604" t="s">
        <v>21</v>
      </c>
      <c r="F604" t="str">
        <f>_xlfn.XLOOKUP($E604,Sheet1!$E:$E,Sheet1!F:F)</f>
        <v>North Ryde</v>
      </c>
      <c r="G604" t="str">
        <f>_xlfn.XLOOKUP($E604,Sheet1!$E:$E,Sheet1!G:G)</f>
        <v>North Ryde [New South Wales]</v>
      </c>
      <c r="I604" t="str">
        <f>_xlfn.XLOOKUP($E604,Sheet1!$E:$E,Sheet1!I:I)</f>
        <v>Default station</v>
      </c>
      <c r="K604" t="s">
        <v>1628</v>
      </c>
      <c r="L604">
        <v>38130006</v>
      </c>
    </row>
    <row r="605" spans="1:12" x14ac:dyDescent="0.25">
      <c r="A605" t="s">
        <v>20</v>
      </c>
      <c r="B605" t="s">
        <v>24</v>
      </c>
      <c r="C605" t="s">
        <v>756</v>
      </c>
      <c r="E605" t="s">
        <v>21</v>
      </c>
      <c r="F605" t="str">
        <f>_xlfn.XLOOKUP($E605,Sheet1!$E:$E,Sheet1!F:F)</f>
        <v>North Ryde</v>
      </c>
      <c r="G605" t="str">
        <f>_xlfn.XLOOKUP($E605,Sheet1!$E:$E,Sheet1!G:G)</f>
        <v>North Ryde [New South Wales]</v>
      </c>
      <c r="I605" t="str">
        <f>_xlfn.XLOOKUP($E605,Sheet1!$E:$E,Sheet1!I:I)</f>
        <v>Default station</v>
      </c>
      <c r="K605" t="s">
        <v>1629</v>
      </c>
      <c r="L605">
        <v>14000462</v>
      </c>
    </row>
    <row r="606" spans="1:12" x14ac:dyDescent="0.25">
      <c r="A606" t="s">
        <v>20</v>
      </c>
      <c r="B606" t="s">
        <v>24</v>
      </c>
      <c r="C606" t="s">
        <v>757</v>
      </c>
      <c r="E606" t="s">
        <v>21</v>
      </c>
      <c r="F606" t="str">
        <f>_xlfn.XLOOKUP($E606,Sheet1!$E:$E,Sheet1!F:F)</f>
        <v>North Ryde</v>
      </c>
      <c r="G606" t="str">
        <f>_xlfn.XLOOKUP($E606,Sheet1!$E:$E,Sheet1!G:G)</f>
        <v>North Ryde [New South Wales]</v>
      </c>
      <c r="I606" t="str">
        <f>_xlfn.XLOOKUP($E606,Sheet1!$E:$E,Sheet1!I:I)</f>
        <v>Default station</v>
      </c>
      <c r="K606" t="s">
        <v>1630</v>
      </c>
      <c r="L606">
        <v>392001</v>
      </c>
    </row>
    <row r="607" spans="1:12" x14ac:dyDescent="0.25">
      <c r="A607" t="s">
        <v>20</v>
      </c>
      <c r="B607" t="s">
        <v>24</v>
      </c>
      <c r="C607" t="s">
        <v>758</v>
      </c>
      <c r="E607" t="s">
        <v>21</v>
      </c>
      <c r="F607" t="str">
        <f>_xlfn.XLOOKUP($E607,Sheet1!$E:$E,Sheet1!F:F)</f>
        <v>North Ryde</v>
      </c>
      <c r="G607" t="str">
        <f>_xlfn.XLOOKUP($E607,Sheet1!$E:$E,Sheet1!G:G)</f>
        <v>North Ryde [New South Wales]</v>
      </c>
      <c r="I607" t="str">
        <f>_xlfn.XLOOKUP($E607,Sheet1!$E:$E,Sheet1!I:I)</f>
        <v>Default station</v>
      </c>
      <c r="K607" t="s">
        <v>1631</v>
      </c>
      <c r="L607">
        <v>38275003</v>
      </c>
    </row>
    <row r="608" spans="1:12" x14ac:dyDescent="0.25">
      <c r="A608" t="s">
        <v>20</v>
      </c>
      <c r="B608" t="s">
        <v>24</v>
      </c>
      <c r="C608" t="s">
        <v>759</v>
      </c>
      <c r="E608" t="s">
        <v>21</v>
      </c>
      <c r="F608" t="str">
        <f>_xlfn.XLOOKUP($E608,Sheet1!$E:$E,Sheet1!F:F)</f>
        <v>North Ryde</v>
      </c>
      <c r="G608" t="str">
        <f>_xlfn.XLOOKUP($E608,Sheet1!$E:$E,Sheet1!G:G)</f>
        <v>North Ryde [New South Wales]</v>
      </c>
      <c r="I608" t="str">
        <f>_xlfn.XLOOKUP($E608,Sheet1!$E:$E,Sheet1!I:I)</f>
        <v>Default station</v>
      </c>
      <c r="K608" t="s">
        <v>1632</v>
      </c>
      <c r="L608">
        <v>14001328</v>
      </c>
    </row>
    <row r="609" spans="1:12" x14ac:dyDescent="0.25">
      <c r="A609" t="s">
        <v>20</v>
      </c>
      <c r="B609" t="s">
        <v>24</v>
      </c>
      <c r="C609" t="s">
        <v>760</v>
      </c>
      <c r="E609" t="s">
        <v>21</v>
      </c>
      <c r="F609" t="str">
        <f>_xlfn.XLOOKUP($E609,Sheet1!$E:$E,Sheet1!F:F)</f>
        <v>North Ryde</v>
      </c>
      <c r="G609" t="str">
        <f>_xlfn.XLOOKUP($E609,Sheet1!$E:$E,Sheet1!G:G)</f>
        <v>North Ryde [New South Wales]</v>
      </c>
      <c r="I609" t="str">
        <f>_xlfn.XLOOKUP($E609,Sheet1!$E:$E,Sheet1!I:I)</f>
        <v>Default station</v>
      </c>
      <c r="K609" t="s">
        <v>120</v>
      </c>
      <c r="L609">
        <v>381</v>
      </c>
    </row>
    <row r="610" spans="1:12" x14ac:dyDescent="0.25">
      <c r="A610" t="s">
        <v>20</v>
      </c>
      <c r="B610" t="s">
        <v>24</v>
      </c>
      <c r="C610" t="s">
        <v>761</v>
      </c>
      <c r="E610" t="s">
        <v>21</v>
      </c>
      <c r="F610" t="str">
        <f>_xlfn.XLOOKUP($E610,Sheet1!$E:$E,Sheet1!F:F)</f>
        <v>North Ryde</v>
      </c>
      <c r="G610" t="str">
        <f>_xlfn.XLOOKUP($E610,Sheet1!$E:$E,Sheet1!G:G)</f>
        <v>North Ryde [New South Wales]</v>
      </c>
      <c r="I610" t="str">
        <f>_xlfn.XLOOKUP($E610,Sheet1!$E:$E,Sheet1!I:I)</f>
        <v>Default station</v>
      </c>
      <c r="K610" t="s">
        <v>1633</v>
      </c>
      <c r="L610">
        <v>16016096</v>
      </c>
    </row>
    <row r="611" spans="1:12" x14ac:dyDescent="0.25">
      <c r="A611" t="s">
        <v>20</v>
      </c>
      <c r="B611" t="s">
        <v>24</v>
      </c>
      <c r="C611" t="s">
        <v>762</v>
      </c>
      <c r="E611" t="s">
        <v>21</v>
      </c>
      <c r="F611" t="str">
        <f>_xlfn.XLOOKUP($E611,Sheet1!$E:$E,Sheet1!F:F)</f>
        <v>North Ryde</v>
      </c>
      <c r="G611" t="str">
        <f>_xlfn.XLOOKUP($E611,Sheet1!$E:$E,Sheet1!G:G)</f>
        <v>North Ryde [New South Wales]</v>
      </c>
      <c r="I611" t="str">
        <f>_xlfn.XLOOKUP($E611,Sheet1!$E:$E,Sheet1!I:I)</f>
        <v>Default station</v>
      </c>
      <c r="K611" t="s">
        <v>1634</v>
      </c>
      <c r="L611">
        <v>210213</v>
      </c>
    </row>
    <row r="612" spans="1:12" x14ac:dyDescent="0.25">
      <c r="A612" t="s">
        <v>20</v>
      </c>
      <c r="B612" t="s">
        <v>24</v>
      </c>
      <c r="C612" t="s">
        <v>763</v>
      </c>
      <c r="E612" t="s">
        <v>21</v>
      </c>
      <c r="F612" t="str">
        <f>_xlfn.XLOOKUP($E612,Sheet1!$E:$E,Sheet1!F:F)</f>
        <v>North Ryde</v>
      </c>
      <c r="G612" t="str">
        <f>_xlfn.XLOOKUP($E612,Sheet1!$E:$E,Sheet1!G:G)</f>
        <v>North Ryde [New South Wales]</v>
      </c>
      <c r="I612" t="str">
        <f>_xlfn.XLOOKUP($E612,Sheet1!$E:$E,Sheet1!I:I)</f>
        <v>Default station</v>
      </c>
      <c r="K612" t="s">
        <v>1635</v>
      </c>
      <c r="L612">
        <v>16011370</v>
      </c>
    </row>
    <row r="613" spans="1:12" x14ac:dyDescent="0.25">
      <c r="A613" t="s">
        <v>20</v>
      </c>
      <c r="B613" t="s">
        <v>24</v>
      </c>
      <c r="C613" t="s">
        <v>764</v>
      </c>
      <c r="E613" t="s">
        <v>21</v>
      </c>
      <c r="F613" t="str">
        <f>_xlfn.XLOOKUP($E613,Sheet1!$E:$E,Sheet1!F:F)</f>
        <v>North Ryde</v>
      </c>
      <c r="G613" t="str">
        <f>_xlfn.XLOOKUP($E613,Sheet1!$E:$E,Sheet1!G:G)</f>
        <v>North Ryde [New South Wales]</v>
      </c>
      <c r="I613" t="str">
        <f>_xlfn.XLOOKUP($E613,Sheet1!$E:$E,Sheet1!I:I)</f>
        <v>Default station</v>
      </c>
      <c r="K613" t="s">
        <v>1636</v>
      </c>
      <c r="L613">
        <v>16011507</v>
      </c>
    </row>
    <row r="614" spans="1:12" x14ac:dyDescent="0.25">
      <c r="A614" t="s">
        <v>20</v>
      </c>
      <c r="B614" t="s">
        <v>24</v>
      </c>
      <c r="C614" t="s">
        <v>765</v>
      </c>
      <c r="E614" t="s">
        <v>21</v>
      </c>
      <c r="F614" t="str">
        <f>_xlfn.XLOOKUP($E614,Sheet1!$E:$E,Sheet1!F:F)</f>
        <v>North Ryde</v>
      </c>
      <c r="G614" t="str">
        <f>_xlfn.XLOOKUP($E614,Sheet1!$E:$E,Sheet1!G:G)</f>
        <v>North Ryde [New South Wales]</v>
      </c>
      <c r="I614" t="str">
        <f>_xlfn.XLOOKUP($E614,Sheet1!$E:$E,Sheet1!I:I)</f>
        <v>Default station</v>
      </c>
      <c r="K614" t="s">
        <v>1637</v>
      </c>
      <c r="L614">
        <v>150210</v>
      </c>
    </row>
    <row r="615" spans="1:12" x14ac:dyDescent="0.25">
      <c r="A615" t="s">
        <v>20</v>
      </c>
      <c r="B615" t="s">
        <v>24</v>
      </c>
      <c r="C615" t="s">
        <v>766</v>
      </c>
      <c r="E615" t="s">
        <v>21</v>
      </c>
      <c r="F615" t="str">
        <f>_xlfn.XLOOKUP($E615,Sheet1!$E:$E,Sheet1!F:F)</f>
        <v>North Ryde</v>
      </c>
      <c r="G615" t="str">
        <f>_xlfn.XLOOKUP($E615,Sheet1!$E:$E,Sheet1!G:G)</f>
        <v>North Ryde [New South Wales]</v>
      </c>
      <c r="I615" t="str">
        <f>_xlfn.XLOOKUP($E615,Sheet1!$E:$E,Sheet1!I:I)</f>
        <v>Default station</v>
      </c>
      <c r="K615" t="s">
        <v>1638</v>
      </c>
      <c r="L615">
        <v>16012387</v>
      </c>
    </row>
    <row r="616" spans="1:12" x14ac:dyDescent="0.25">
      <c r="A616" t="s">
        <v>20</v>
      </c>
      <c r="B616" t="s">
        <v>24</v>
      </c>
      <c r="C616" t="s">
        <v>767</v>
      </c>
      <c r="E616" t="s">
        <v>21</v>
      </c>
      <c r="F616" t="str">
        <f>_xlfn.XLOOKUP($E616,Sheet1!$E:$E,Sheet1!F:F)</f>
        <v>North Ryde</v>
      </c>
      <c r="G616" t="str">
        <f>_xlfn.XLOOKUP($E616,Sheet1!$E:$E,Sheet1!G:G)</f>
        <v>North Ryde [New South Wales]</v>
      </c>
      <c r="I616" t="str">
        <f>_xlfn.XLOOKUP($E616,Sheet1!$E:$E,Sheet1!I:I)</f>
        <v>Default station</v>
      </c>
      <c r="K616" t="s">
        <v>1639</v>
      </c>
      <c r="L616">
        <v>16016039</v>
      </c>
    </row>
    <row r="617" spans="1:12" x14ac:dyDescent="0.25">
      <c r="A617" t="s">
        <v>20</v>
      </c>
      <c r="B617" t="s">
        <v>24</v>
      </c>
      <c r="C617" t="s">
        <v>768</v>
      </c>
      <c r="E617" t="s">
        <v>21</v>
      </c>
      <c r="F617" t="str">
        <f>_xlfn.XLOOKUP($E617,Sheet1!$E:$E,Sheet1!F:F)</f>
        <v>North Ryde</v>
      </c>
      <c r="G617" t="str">
        <f>_xlfn.XLOOKUP($E617,Sheet1!$E:$E,Sheet1!G:G)</f>
        <v>North Ryde [New South Wales]</v>
      </c>
      <c r="I617" t="str">
        <f>_xlfn.XLOOKUP($E617,Sheet1!$E:$E,Sheet1!I:I)</f>
        <v>Default station</v>
      </c>
      <c r="K617" t="s">
        <v>77</v>
      </c>
      <c r="L617">
        <v>170525</v>
      </c>
    </row>
    <row r="618" spans="1:12" x14ac:dyDescent="0.25">
      <c r="A618" t="s">
        <v>20</v>
      </c>
      <c r="B618" t="s">
        <v>24</v>
      </c>
      <c r="C618" t="s">
        <v>769</v>
      </c>
      <c r="E618" t="s">
        <v>21</v>
      </c>
      <c r="F618" t="str">
        <f>_xlfn.XLOOKUP($E618,Sheet1!$E:$E,Sheet1!F:F)</f>
        <v>North Ryde</v>
      </c>
      <c r="G618" t="str">
        <f>_xlfn.XLOOKUP($E618,Sheet1!$E:$E,Sheet1!G:G)</f>
        <v>North Ryde [New South Wales]</v>
      </c>
      <c r="I618" t="str">
        <f>_xlfn.XLOOKUP($E618,Sheet1!$E:$E,Sheet1!I:I)</f>
        <v>Default station</v>
      </c>
      <c r="K618" t="s">
        <v>1640</v>
      </c>
      <c r="L618">
        <v>13000874</v>
      </c>
    </row>
    <row r="619" spans="1:12" x14ac:dyDescent="0.25">
      <c r="A619" t="s">
        <v>20</v>
      </c>
      <c r="B619" t="s">
        <v>24</v>
      </c>
      <c r="C619" t="s">
        <v>770</v>
      </c>
      <c r="E619" t="s">
        <v>21</v>
      </c>
      <c r="F619" t="str">
        <f>_xlfn.XLOOKUP($E619,Sheet1!$E:$E,Sheet1!F:F)</f>
        <v>North Ryde</v>
      </c>
      <c r="G619" t="str">
        <f>_xlfn.XLOOKUP($E619,Sheet1!$E:$E,Sheet1!G:G)</f>
        <v>North Ryde [New South Wales]</v>
      </c>
      <c r="I619" t="str">
        <f>_xlfn.XLOOKUP($E619,Sheet1!$E:$E,Sheet1!I:I)</f>
        <v>Default station</v>
      </c>
      <c r="K619" t="s">
        <v>1641</v>
      </c>
      <c r="L619">
        <v>382903</v>
      </c>
    </row>
    <row r="620" spans="1:12" x14ac:dyDescent="0.25">
      <c r="A620" t="s">
        <v>20</v>
      </c>
      <c r="B620" t="s">
        <v>24</v>
      </c>
      <c r="C620" t="s">
        <v>771</v>
      </c>
      <c r="E620" t="s">
        <v>21</v>
      </c>
      <c r="F620" t="str">
        <f>_xlfn.XLOOKUP($E620,Sheet1!$E:$E,Sheet1!F:F)</f>
        <v>North Ryde</v>
      </c>
      <c r="G620" t="str">
        <f>_xlfn.XLOOKUP($E620,Sheet1!$E:$E,Sheet1!G:G)</f>
        <v>North Ryde [New South Wales]</v>
      </c>
      <c r="I620" t="str">
        <f>_xlfn.XLOOKUP($E620,Sheet1!$E:$E,Sheet1!I:I)</f>
        <v>Default station</v>
      </c>
      <c r="K620" t="s">
        <v>1642</v>
      </c>
      <c r="L620">
        <v>38215149</v>
      </c>
    </row>
    <row r="621" spans="1:12" x14ac:dyDescent="0.25">
      <c r="A621" t="s">
        <v>20</v>
      </c>
      <c r="B621" t="s">
        <v>24</v>
      </c>
      <c r="C621" t="s">
        <v>772</v>
      </c>
      <c r="E621" t="s">
        <v>21</v>
      </c>
      <c r="F621" t="str">
        <f>_xlfn.XLOOKUP($E621,Sheet1!$E:$E,Sheet1!F:F)</f>
        <v>North Ryde</v>
      </c>
      <c r="G621" t="str">
        <f>_xlfn.XLOOKUP($E621,Sheet1!$E:$E,Sheet1!G:G)</f>
        <v>North Ryde [New South Wales]</v>
      </c>
      <c r="I621" t="str">
        <f>_xlfn.XLOOKUP($E621,Sheet1!$E:$E,Sheet1!I:I)</f>
        <v>Default station</v>
      </c>
      <c r="K621" t="s">
        <v>1643</v>
      </c>
      <c r="L621">
        <v>241901</v>
      </c>
    </row>
    <row r="622" spans="1:12" x14ac:dyDescent="0.25">
      <c r="A622" t="s">
        <v>20</v>
      </c>
      <c r="B622" t="s">
        <v>24</v>
      </c>
      <c r="C622" t="s">
        <v>773</v>
      </c>
      <c r="E622" t="s">
        <v>21</v>
      </c>
      <c r="F622" t="str">
        <f>_xlfn.XLOOKUP($E622,Sheet1!$E:$E,Sheet1!F:F)</f>
        <v>North Ryde</v>
      </c>
      <c r="G622" t="str">
        <f>_xlfn.XLOOKUP($E622,Sheet1!$E:$E,Sheet1!G:G)</f>
        <v>North Ryde [New South Wales]</v>
      </c>
      <c r="I622" t="str">
        <f>_xlfn.XLOOKUP($E622,Sheet1!$E:$E,Sheet1!I:I)</f>
        <v>Default station</v>
      </c>
      <c r="K622" t="s">
        <v>1644</v>
      </c>
      <c r="L622">
        <v>241731</v>
      </c>
    </row>
    <row r="623" spans="1:12" x14ac:dyDescent="0.25">
      <c r="A623" t="s">
        <v>20</v>
      </c>
      <c r="B623" t="s">
        <v>24</v>
      </c>
      <c r="C623" t="s">
        <v>774</v>
      </c>
      <c r="E623" t="s">
        <v>21</v>
      </c>
      <c r="F623" t="str">
        <f>_xlfn.XLOOKUP($E623,Sheet1!$E:$E,Sheet1!F:F)</f>
        <v>North Ryde</v>
      </c>
      <c r="G623" t="str">
        <f>_xlfn.XLOOKUP($E623,Sheet1!$E:$E,Sheet1!G:G)</f>
        <v>North Ryde [New South Wales]</v>
      </c>
      <c r="I623" t="str">
        <f>_xlfn.XLOOKUP($E623,Sheet1!$E:$E,Sheet1!I:I)</f>
        <v>Default station</v>
      </c>
      <c r="K623" t="s">
        <v>88</v>
      </c>
      <c r="L623">
        <v>709301</v>
      </c>
    </row>
    <row r="624" spans="1:12" x14ac:dyDescent="0.25">
      <c r="A624" t="s">
        <v>20</v>
      </c>
      <c r="B624" t="s">
        <v>24</v>
      </c>
      <c r="C624" t="s">
        <v>775</v>
      </c>
      <c r="E624" t="s">
        <v>21</v>
      </c>
      <c r="F624" t="str">
        <f>_xlfn.XLOOKUP($E624,Sheet1!$E:$E,Sheet1!F:F)</f>
        <v>North Ryde</v>
      </c>
      <c r="G624" t="str">
        <f>_xlfn.XLOOKUP($E624,Sheet1!$E:$E,Sheet1!G:G)</f>
        <v>North Ryde [New South Wales]</v>
      </c>
      <c r="I624" t="str">
        <f>_xlfn.XLOOKUP($E624,Sheet1!$E:$E,Sheet1!I:I)</f>
        <v>Default station</v>
      </c>
      <c r="K624" t="s">
        <v>1645</v>
      </c>
      <c r="L624">
        <v>37740120</v>
      </c>
    </row>
    <row r="625" spans="1:12" x14ac:dyDescent="0.25">
      <c r="A625" t="s">
        <v>20</v>
      </c>
      <c r="B625" t="s">
        <v>24</v>
      </c>
      <c r="C625" t="s">
        <v>776</v>
      </c>
      <c r="E625" t="s">
        <v>21</v>
      </c>
      <c r="F625" t="str">
        <f>_xlfn.XLOOKUP($E625,Sheet1!$E:$E,Sheet1!F:F)</f>
        <v>North Ryde</v>
      </c>
      <c r="G625" t="str">
        <f>_xlfn.XLOOKUP($E625,Sheet1!$E:$E,Sheet1!G:G)</f>
        <v>North Ryde [New South Wales]</v>
      </c>
      <c r="I625" t="str">
        <f>_xlfn.XLOOKUP($E625,Sheet1!$E:$E,Sheet1!I:I)</f>
        <v>Default station</v>
      </c>
      <c r="K625" t="s">
        <v>1646</v>
      </c>
      <c r="L625">
        <v>240108</v>
      </c>
    </row>
    <row r="626" spans="1:12" x14ac:dyDescent="0.25">
      <c r="A626" t="s">
        <v>20</v>
      </c>
      <c r="B626" t="s">
        <v>24</v>
      </c>
      <c r="C626" t="s">
        <v>777</v>
      </c>
      <c r="E626" t="s">
        <v>21</v>
      </c>
      <c r="F626" t="str">
        <f>_xlfn.XLOOKUP($E626,Sheet1!$E:$E,Sheet1!F:F)</f>
        <v>North Ryde</v>
      </c>
      <c r="G626" t="str">
        <f>_xlfn.XLOOKUP($E626,Sheet1!$E:$E,Sheet1!G:G)</f>
        <v>North Ryde [New South Wales]</v>
      </c>
      <c r="I626" t="str">
        <f>_xlfn.XLOOKUP($E626,Sheet1!$E:$E,Sheet1!I:I)</f>
        <v>Default station</v>
      </c>
      <c r="K626" t="s">
        <v>1647</v>
      </c>
      <c r="L626">
        <v>16013709</v>
      </c>
    </row>
    <row r="627" spans="1:12" x14ac:dyDescent="0.25">
      <c r="A627" t="s">
        <v>20</v>
      </c>
      <c r="B627" t="s">
        <v>24</v>
      </c>
      <c r="C627" t="s">
        <v>778</v>
      </c>
      <c r="E627" t="s">
        <v>21</v>
      </c>
      <c r="F627" t="str">
        <f>_xlfn.XLOOKUP($E627,Sheet1!$E:$E,Sheet1!F:F)</f>
        <v>North Ryde</v>
      </c>
      <c r="G627" t="str">
        <f>_xlfn.XLOOKUP($E627,Sheet1!$E:$E,Sheet1!G:G)</f>
        <v>North Ryde [New South Wales]</v>
      </c>
      <c r="I627" t="str">
        <f>_xlfn.XLOOKUP($E627,Sheet1!$E:$E,Sheet1!I:I)</f>
        <v>Default station</v>
      </c>
      <c r="K627" t="s">
        <v>1648</v>
      </c>
      <c r="L627">
        <v>16012397</v>
      </c>
    </row>
    <row r="628" spans="1:12" x14ac:dyDescent="0.25">
      <c r="A628" t="s">
        <v>20</v>
      </c>
      <c r="B628" t="s">
        <v>24</v>
      </c>
      <c r="C628" t="s">
        <v>779</v>
      </c>
      <c r="E628" t="s">
        <v>21</v>
      </c>
      <c r="F628" t="str">
        <f>_xlfn.XLOOKUP($E628,Sheet1!$E:$E,Sheet1!F:F)</f>
        <v>North Ryde</v>
      </c>
      <c r="G628" t="str">
        <f>_xlfn.XLOOKUP($E628,Sheet1!$E:$E,Sheet1!G:G)</f>
        <v>North Ryde [New South Wales]</v>
      </c>
      <c r="I628" t="str">
        <f>_xlfn.XLOOKUP($E628,Sheet1!$E:$E,Sheet1!I:I)</f>
        <v>Default station</v>
      </c>
      <c r="K628" t="s">
        <v>1649</v>
      </c>
      <c r="L628">
        <v>38220091</v>
      </c>
    </row>
    <row r="629" spans="1:12" x14ac:dyDescent="0.25">
      <c r="A629" t="s">
        <v>20</v>
      </c>
      <c r="B629" t="s">
        <v>24</v>
      </c>
      <c r="C629" t="s">
        <v>780</v>
      </c>
      <c r="E629" t="s">
        <v>21</v>
      </c>
      <c r="F629" t="str">
        <f>_xlfn.XLOOKUP($E629,Sheet1!$E:$E,Sheet1!F:F)</f>
        <v>North Ryde</v>
      </c>
      <c r="G629" t="str">
        <f>_xlfn.XLOOKUP($E629,Sheet1!$E:$E,Sheet1!G:G)</f>
        <v>North Ryde [New South Wales]</v>
      </c>
      <c r="I629" t="str">
        <f>_xlfn.XLOOKUP($E629,Sheet1!$E:$E,Sheet1!I:I)</f>
        <v>Default station</v>
      </c>
      <c r="K629" t="s">
        <v>1650</v>
      </c>
      <c r="L629">
        <v>23440019</v>
      </c>
    </row>
    <row r="630" spans="1:12" x14ac:dyDescent="0.25">
      <c r="A630" t="s">
        <v>20</v>
      </c>
      <c r="B630" t="s">
        <v>24</v>
      </c>
      <c r="C630" t="s">
        <v>781</v>
      </c>
      <c r="E630" t="s">
        <v>21</v>
      </c>
      <c r="F630" t="str">
        <f>_xlfn.XLOOKUP($E630,Sheet1!$E:$E,Sheet1!F:F)</f>
        <v>North Ryde</v>
      </c>
      <c r="G630" t="str">
        <f>_xlfn.XLOOKUP($E630,Sheet1!$E:$E,Sheet1!G:G)</f>
        <v>North Ryde [New South Wales]</v>
      </c>
      <c r="I630" t="str">
        <f>_xlfn.XLOOKUP($E630,Sheet1!$E:$E,Sheet1!I:I)</f>
        <v>Default station</v>
      </c>
      <c r="K630" t="s">
        <v>1651</v>
      </c>
      <c r="L630">
        <v>16016105</v>
      </c>
    </row>
    <row r="631" spans="1:12" x14ac:dyDescent="0.25">
      <c r="A631" t="s">
        <v>20</v>
      </c>
      <c r="B631" t="s">
        <v>24</v>
      </c>
      <c r="C631" t="s">
        <v>782</v>
      </c>
      <c r="E631" t="s">
        <v>21</v>
      </c>
      <c r="F631" t="str">
        <f>_xlfn.XLOOKUP($E631,Sheet1!$E:$E,Sheet1!F:F)</f>
        <v>North Ryde</v>
      </c>
      <c r="G631" t="str">
        <f>_xlfn.XLOOKUP($E631,Sheet1!$E:$E,Sheet1!G:G)</f>
        <v>North Ryde [New South Wales]</v>
      </c>
      <c r="I631" t="str">
        <f>_xlfn.XLOOKUP($E631,Sheet1!$E:$E,Sheet1!I:I)</f>
        <v>Default station</v>
      </c>
      <c r="K631" t="s">
        <v>1652</v>
      </c>
      <c r="L631">
        <v>170330</v>
      </c>
    </row>
    <row r="632" spans="1:12" x14ac:dyDescent="0.25">
      <c r="A632" t="s">
        <v>20</v>
      </c>
      <c r="B632" t="s">
        <v>24</v>
      </c>
      <c r="C632" t="s">
        <v>783</v>
      </c>
      <c r="E632" t="s">
        <v>21</v>
      </c>
      <c r="F632" t="str">
        <f>_xlfn.XLOOKUP($E632,Sheet1!$E:$E,Sheet1!F:F)</f>
        <v>North Ryde</v>
      </c>
      <c r="G632" t="str">
        <f>_xlfn.XLOOKUP($E632,Sheet1!$E:$E,Sheet1!G:G)</f>
        <v>North Ryde [New South Wales]</v>
      </c>
      <c r="I632" t="str">
        <f>_xlfn.XLOOKUP($E632,Sheet1!$E:$E,Sheet1!I:I)</f>
        <v>Default station</v>
      </c>
      <c r="K632" t="s">
        <v>1653</v>
      </c>
      <c r="L632">
        <v>37210024</v>
      </c>
    </row>
    <row r="633" spans="1:12" x14ac:dyDescent="0.25">
      <c r="A633" t="s">
        <v>20</v>
      </c>
      <c r="B633" t="s">
        <v>24</v>
      </c>
      <c r="C633" t="s">
        <v>784</v>
      </c>
      <c r="E633" t="s">
        <v>21</v>
      </c>
      <c r="F633" t="str">
        <f>_xlfn.XLOOKUP($E633,Sheet1!$E:$E,Sheet1!F:F)</f>
        <v>North Ryde</v>
      </c>
      <c r="G633" t="str">
        <f>_xlfn.XLOOKUP($E633,Sheet1!$E:$E,Sheet1!G:G)</f>
        <v>North Ryde [New South Wales]</v>
      </c>
      <c r="I633" t="str">
        <f>_xlfn.XLOOKUP($E633,Sheet1!$E:$E,Sheet1!I:I)</f>
        <v>Default station</v>
      </c>
      <c r="K633" t="s">
        <v>1654</v>
      </c>
      <c r="L633">
        <v>14001324</v>
      </c>
    </row>
    <row r="634" spans="1:12" x14ac:dyDescent="0.25">
      <c r="A634" t="s">
        <v>20</v>
      </c>
      <c r="B634" t="s">
        <v>24</v>
      </c>
      <c r="C634" t="s">
        <v>785</v>
      </c>
      <c r="E634" t="s">
        <v>21</v>
      </c>
      <c r="F634" t="str">
        <f>_xlfn.XLOOKUP($E634,Sheet1!$E:$E,Sheet1!F:F)</f>
        <v>North Ryde</v>
      </c>
      <c r="G634" t="str">
        <f>_xlfn.XLOOKUP($E634,Sheet1!$E:$E,Sheet1!G:G)</f>
        <v>North Ryde [New South Wales]</v>
      </c>
      <c r="I634" t="str">
        <f>_xlfn.XLOOKUP($E634,Sheet1!$E:$E,Sheet1!I:I)</f>
        <v>Default station</v>
      </c>
      <c r="K634" t="s">
        <v>1655</v>
      </c>
      <c r="L634">
        <v>16012405</v>
      </c>
    </row>
    <row r="635" spans="1:12" x14ac:dyDescent="0.25">
      <c r="A635" t="s">
        <v>20</v>
      </c>
      <c r="B635" t="s">
        <v>24</v>
      </c>
      <c r="C635" t="s">
        <v>786</v>
      </c>
      <c r="E635" t="s">
        <v>21</v>
      </c>
      <c r="F635" t="str">
        <f>_xlfn.XLOOKUP($E635,Sheet1!$E:$E,Sheet1!F:F)</f>
        <v>North Ryde</v>
      </c>
      <c r="G635" t="str">
        <f>_xlfn.XLOOKUP($E635,Sheet1!$E:$E,Sheet1!G:G)</f>
        <v>North Ryde [New South Wales]</v>
      </c>
      <c r="I635" t="str">
        <f>_xlfn.XLOOKUP($E635,Sheet1!$E:$E,Sheet1!I:I)</f>
        <v>Default station</v>
      </c>
      <c r="K635" t="s">
        <v>1656</v>
      </c>
      <c r="L635">
        <v>16011373</v>
      </c>
    </row>
    <row r="636" spans="1:12" x14ac:dyDescent="0.25">
      <c r="A636" t="s">
        <v>20</v>
      </c>
      <c r="B636" t="s">
        <v>24</v>
      </c>
      <c r="C636" t="s">
        <v>787</v>
      </c>
      <c r="E636" t="s">
        <v>21</v>
      </c>
      <c r="F636" t="str">
        <f>_xlfn.XLOOKUP($E636,Sheet1!$E:$E,Sheet1!F:F)</f>
        <v>North Ryde</v>
      </c>
      <c r="G636" t="str">
        <f>_xlfn.XLOOKUP($E636,Sheet1!$E:$E,Sheet1!G:G)</f>
        <v>North Ryde [New South Wales]</v>
      </c>
      <c r="I636" t="str">
        <f>_xlfn.XLOOKUP($E636,Sheet1!$E:$E,Sheet1!I:I)</f>
        <v>Default station</v>
      </c>
      <c r="K636" t="s">
        <v>1657</v>
      </c>
      <c r="L636">
        <v>16016234</v>
      </c>
    </row>
    <row r="637" spans="1:12" x14ac:dyDescent="0.25">
      <c r="A637" t="s">
        <v>20</v>
      </c>
      <c r="B637" t="s">
        <v>24</v>
      </c>
      <c r="C637" t="s">
        <v>788</v>
      </c>
      <c r="E637" t="s">
        <v>21</v>
      </c>
      <c r="F637" t="str">
        <f>_xlfn.XLOOKUP($E637,Sheet1!$E:$E,Sheet1!F:F)</f>
        <v>North Ryde</v>
      </c>
      <c r="G637" t="str">
        <f>_xlfn.XLOOKUP($E637,Sheet1!$E:$E,Sheet1!G:G)</f>
        <v>North Ryde [New South Wales]</v>
      </c>
      <c r="I637" t="str">
        <f>_xlfn.XLOOKUP($E637,Sheet1!$E:$E,Sheet1!I:I)</f>
        <v>Default station</v>
      </c>
      <c r="K637" t="s">
        <v>1658</v>
      </c>
      <c r="L637">
        <v>16017766</v>
      </c>
    </row>
    <row r="638" spans="1:12" x14ac:dyDescent="0.25">
      <c r="A638" t="s">
        <v>20</v>
      </c>
      <c r="B638" t="s">
        <v>24</v>
      </c>
      <c r="C638" t="s">
        <v>789</v>
      </c>
      <c r="E638" t="s">
        <v>21</v>
      </c>
      <c r="F638" t="str">
        <f>_xlfn.XLOOKUP($E638,Sheet1!$E:$E,Sheet1!F:F)</f>
        <v>North Ryde</v>
      </c>
      <c r="G638" t="str">
        <f>_xlfn.XLOOKUP($E638,Sheet1!$E:$E,Sheet1!G:G)</f>
        <v>North Ryde [New South Wales]</v>
      </c>
      <c r="I638" t="str">
        <f>_xlfn.XLOOKUP($E638,Sheet1!$E:$E,Sheet1!I:I)</f>
        <v>Default station</v>
      </c>
      <c r="K638" t="s">
        <v>47</v>
      </c>
      <c r="L638">
        <v>70700019</v>
      </c>
    </row>
    <row r="639" spans="1:12" x14ac:dyDescent="0.25">
      <c r="A639" t="s">
        <v>20</v>
      </c>
      <c r="B639" t="s">
        <v>24</v>
      </c>
      <c r="C639" t="s">
        <v>790</v>
      </c>
      <c r="E639" t="s">
        <v>21</v>
      </c>
      <c r="F639" t="str">
        <f>_xlfn.XLOOKUP($E639,Sheet1!$E:$E,Sheet1!F:F)</f>
        <v>North Ryde</v>
      </c>
      <c r="G639" t="str">
        <f>_xlfn.XLOOKUP($E639,Sheet1!$E:$E,Sheet1!G:G)</f>
        <v>North Ryde [New South Wales]</v>
      </c>
      <c r="I639" t="str">
        <f>_xlfn.XLOOKUP($E639,Sheet1!$E:$E,Sheet1!I:I)</f>
        <v>Default station</v>
      </c>
      <c r="K639" t="s">
        <v>1659</v>
      </c>
      <c r="L639">
        <v>377403</v>
      </c>
    </row>
    <row r="640" spans="1:12" x14ac:dyDescent="0.25">
      <c r="A640" t="s">
        <v>20</v>
      </c>
      <c r="B640" t="s">
        <v>24</v>
      </c>
      <c r="C640" t="s">
        <v>791</v>
      </c>
      <c r="E640" t="s">
        <v>21</v>
      </c>
      <c r="F640" t="str">
        <f>_xlfn.XLOOKUP($E640,Sheet1!$E:$E,Sheet1!F:F)</f>
        <v>North Ryde</v>
      </c>
      <c r="G640" t="str">
        <f>_xlfn.XLOOKUP($E640,Sheet1!$E:$E,Sheet1!G:G)</f>
        <v>North Ryde [New South Wales]</v>
      </c>
      <c r="I640" t="str">
        <f>_xlfn.XLOOKUP($E640,Sheet1!$E:$E,Sheet1!I:I)</f>
        <v>Default station</v>
      </c>
      <c r="K640" t="s">
        <v>1660</v>
      </c>
      <c r="L640">
        <v>38290002</v>
      </c>
    </row>
    <row r="641" spans="1:12" x14ac:dyDescent="0.25">
      <c r="A641" t="s">
        <v>20</v>
      </c>
      <c r="B641" t="s">
        <v>24</v>
      </c>
      <c r="C641" t="s">
        <v>792</v>
      </c>
      <c r="E641" t="s">
        <v>21</v>
      </c>
      <c r="F641" t="str">
        <f>_xlfn.XLOOKUP($E641,Sheet1!$E:$E,Sheet1!F:F)</f>
        <v>North Ryde</v>
      </c>
      <c r="G641" t="str">
        <f>_xlfn.XLOOKUP($E641,Sheet1!$E:$E,Sheet1!G:G)</f>
        <v>North Ryde [New South Wales]</v>
      </c>
      <c r="I641" t="str">
        <f>_xlfn.XLOOKUP($E641,Sheet1!$E:$E,Sheet1!I:I)</f>
        <v>Default station</v>
      </c>
      <c r="K641" t="s">
        <v>1661</v>
      </c>
      <c r="L641">
        <v>16017791</v>
      </c>
    </row>
    <row r="642" spans="1:12" x14ac:dyDescent="0.25">
      <c r="A642" t="s">
        <v>20</v>
      </c>
      <c r="B642" t="s">
        <v>24</v>
      </c>
      <c r="C642" t="s">
        <v>793</v>
      </c>
      <c r="E642" t="s">
        <v>21</v>
      </c>
      <c r="F642" t="str">
        <f>_xlfn.XLOOKUP($E642,Sheet1!$E:$E,Sheet1!F:F)</f>
        <v>North Ryde</v>
      </c>
      <c r="G642" t="str">
        <f>_xlfn.XLOOKUP($E642,Sheet1!$E:$E,Sheet1!G:G)</f>
        <v>North Ryde [New South Wales]</v>
      </c>
      <c r="I642" t="str">
        <f>_xlfn.XLOOKUP($E642,Sheet1!$E:$E,Sheet1!I:I)</f>
        <v>Default station</v>
      </c>
      <c r="K642" t="s">
        <v>1662</v>
      </c>
      <c r="L642">
        <v>17030204</v>
      </c>
    </row>
    <row r="643" spans="1:12" x14ac:dyDescent="0.25">
      <c r="A643" t="s">
        <v>20</v>
      </c>
      <c r="B643" t="s">
        <v>24</v>
      </c>
      <c r="C643" t="s">
        <v>794</v>
      </c>
      <c r="E643" t="s">
        <v>21</v>
      </c>
      <c r="F643" t="str">
        <f>_xlfn.XLOOKUP($E643,Sheet1!$E:$E,Sheet1!F:F)</f>
        <v>North Ryde</v>
      </c>
      <c r="G643" t="str">
        <f>_xlfn.XLOOKUP($E643,Sheet1!$E:$E,Sheet1!G:G)</f>
        <v>North Ryde [New South Wales]</v>
      </c>
      <c r="I643" t="str">
        <f>_xlfn.XLOOKUP($E643,Sheet1!$E:$E,Sheet1!I:I)</f>
        <v>Default station</v>
      </c>
      <c r="K643" t="s">
        <v>1663</v>
      </c>
      <c r="L643">
        <v>14000493</v>
      </c>
    </row>
    <row r="644" spans="1:12" x14ac:dyDescent="0.25">
      <c r="A644" t="s">
        <v>20</v>
      </c>
      <c r="B644" t="s">
        <v>24</v>
      </c>
      <c r="C644" t="s">
        <v>795</v>
      </c>
      <c r="E644" t="s">
        <v>21</v>
      </c>
      <c r="F644" t="str">
        <f>_xlfn.XLOOKUP($E644,Sheet1!$E:$E,Sheet1!F:F)</f>
        <v>North Ryde</v>
      </c>
      <c r="G644" t="str">
        <f>_xlfn.XLOOKUP($E644,Sheet1!$E:$E,Sheet1!G:G)</f>
        <v>North Ryde [New South Wales]</v>
      </c>
      <c r="I644" t="str">
        <f>_xlfn.XLOOKUP($E644,Sheet1!$E:$E,Sheet1!I:I)</f>
        <v>Default station</v>
      </c>
      <c r="K644" t="s">
        <v>1664</v>
      </c>
      <c r="L644">
        <v>16011160</v>
      </c>
    </row>
    <row r="645" spans="1:12" x14ac:dyDescent="0.25">
      <c r="A645" t="s">
        <v>20</v>
      </c>
      <c r="B645" t="s">
        <v>24</v>
      </c>
      <c r="C645" t="s">
        <v>796</v>
      </c>
      <c r="E645" t="s">
        <v>21</v>
      </c>
      <c r="F645" t="str">
        <f>_xlfn.XLOOKUP($E645,Sheet1!$E:$E,Sheet1!F:F)</f>
        <v>North Ryde</v>
      </c>
      <c r="G645" t="str">
        <f>_xlfn.XLOOKUP($E645,Sheet1!$E:$E,Sheet1!G:G)</f>
        <v>North Ryde [New South Wales]</v>
      </c>
      <c r="I645" t="str">
        <f>_xlfn.XLOOKUP($E645,Sheet1!$E:$E,Sheet1!I:I)</f>
        <v>Default station</v>
      </c>
      <c r="K645" t="s">
        <v>1665</v>
      </c>
      <c r="L645">
        <v>16016620</v>
      </c>
    </row>
    <row r="646" spans="1:12" x14ac:dyDescent="0.25">
      <c r="A646" t="s">
        <v>20</v>
      </c>
      <c r="B646" t="s">
        <v>24</v>
      </c>
      <c r="C646" t="s">
        <v>797</v>
      </c>
      <c r="E646" t="s">
        <v>21</v>
      </c>
      <c r="F646" t="str">
        <f>_xlfn.XLOOKUP($E646,Sheet1!$E:$E,Sheet1!F:F)</f>
        <v>North Ryde</v>
      </c>
      <c r="G646" t="str">
        <f>_xlfn.XLOOKUP($E646,Sheet1!$E:$E,Sheet1!G:G)</f>
        <v>North Ryde [New South Wales]</v>
      </c>
      <c r="I646" t="str">
        <f>_xlfn.XLOOKUP($E646,Sheet1!$E:$E,Sheet1!I:I)</f>
        <v>Default station</v>
      </c>
      <c r="K646" t="s">
        <v>1666</v>
      </c>
      <c r="L646">
        <v>16011864</v>
      </c>
    </row>
    <row r="647" spans="1:12" x14ac:dyDescent="0.25">
      <c r="A647" t="s">
        <v>20</v>
      </c>
      <c r="B647" t="s">
        <v>24</v>
      </c>
      <c r="C647" t="s">
        <v>798</v>
      </c>
      <c r="E647" t="s">
        <v>21</v>
      </c>
      <c r="F647" t="str">
        <f>_xlfn.XLOOKUP($E647,Sheet1!$E:$E,Sheet1!F:F)</f>
        <v>North Ryde</v>
      </c>
      <c r="G647" t="str">
        <f>_xlfn.XLOOKUP($E647,Sheet1!$E:$E,Sheet1!G:G)</f>
        <v>North Ryde [New South Wales]</v>
      </c>
      <c r="I647" t="str">
        <f>_xlfn.XLOOKUP($E647,Sheet1!$E:$E,Sheet1!I:I)</f>
        <v>Default station</v>
      </c>
      <c r="K647" t="s">
        <v>1667</v>
      </c>
      <c r="L647">
        <v>16017792</v>
      </c>
    </row>
    <row r="648" spans="1:12" x14ac:dyDescent="0.25">
      <c r="A648" t="s">
        <v>20</v>
      </c>
      <c r="B648" t="s">
        <v>24</v>
      </c>
      <c r="C648" t="s">
        <v>799</v>
      </c>
      <c r="E648" t="s">
        <v>21</v>
      </c>
      <c r="F648" t="str">
        <f>_xlfn.XLOOKUP($E648,Sheet1!$E:$E,Sheet1!F:F)</f>
        <v>North Ryde</v>
      </c>
      <c r="G648" t="str">
        <f>_xlfn.XLOOKUP($E648,Sheet1!$E:$E,Sheet1!G:G)</f>
        <v>North Ryde [New South Wales]</v>
      </c>
      <c r="I648" t="str">
        <f>_xlfn.XLOOKUP($E648,Sheet1!$E:$E,Sheet1!I:I)</f>
        <v>Default station</v>
      </c>
      <c r="K648" t="s">
        <v>1668</v>
      </c>
      <c r="L648">
        <v>16017903</v>
      </c>
    </row>
    <row r="649" spans="1:12" x14ac:dyDescent="0.25">
      <c r="A649" t="s">
        <v>20</v>
      </c>
      <c r="B649" t="s">
        <v>24</v>
      </c>
      <c r="C649" t="s">
        <v>800</v>
      </c>
      <c r="E649" t="s">
        <v>21</v>
      </c>
      <c r="F649" t="str">
        <f>_xlfn.XLOOKUP($E649,Sheet1!$E:$E,Sheet1!F:F)</f>
        <v>North Ryde</v>
      </c>
      <c r="G649" t="str">
        <f>_xlfn.XLOOKUP($E649,Sheet1!$E:$E,Sheet1!G:G)</f>
        <v>North Ryde [New South Wales]</v>
      </c>
      <c r="I649" t="str">
        <f>_xlfn.XLOOKUP($E649,Sheet1!$E:$E,Sheet1!I:I)</f>
        <v>Default station</v>
      </c>
      <c r="K649" t="s">
        <v>1669</v>
      </c>
      <c r="L649">
        <v>170415</v>
      </c>
    </row>
    <row r="650" spans="1:12" x14ac:dyDescent="0.25">
      <c r="A650" t="s">
        <v>20</v>
      </c>
      <c r="B650" t="s">
        <v>24</v>
      </c>
      <c r="C650" t="s">
        <v>801</v>
      </c>
      <c r="E650" t="s">
        <v>21</v>
      </c>
      <c r="F650" t="str">
        <f>_xlfn.XLOOKUP($E650,Sheet1!$E:$E,Sheet1!F:F)</f>
        <v>North Ryde</v>
      </c>
      <c r="G650" t="str">
        <f>_xlfn.XLOOKUP($E650,Sheet1!$E:$E,Sheet1!G:G)</f>
        <v>North Ryde [New South Wales]</v>
      </c>
      <c r="I650" t="str">
        <f>_xlfn.XLOOKUP($E650,Sheet1!$E:$E,Sheet1!I:I)</f>
        <v>Default station</v>
      </c>
      <c r="K650" t="s">
        <v>1670</v>
      </c>
      <c r="L650">
        <v>16013362</v>
      </c>
    </row>
    <row r="651" spans="1:12" x14ac:dyDescent="0.25">
      <c r="A651" t="s">
        <v>20</v>
      </c>
      <c r="B651" t="s">
        <v>24</v>
      </c>
      <c r="C651" t="s">
        <v>802</v>
      </c>
      <c r="E651" t="s">
        <v>21</v>
      </c>
      <c r="F651" t="str">
        <f>_xlfn.XLOOKUP($E651,Sheet1!$E:$E,Sheet1!F:F)</f>
        <v>North Ryde</v>
      </c>
      <c r="G651" t="str">
        <f>_xlfn.XLOOKUP($E651,Sheet1!$E:$E,Sheet1!G:G)</f>
        <v>North Ryde [New South Wales]</v>
      </c>
      <c r="I651" t="str">
        <f>_xlfn.XLOOKUP($E651,Sheet1!$E:$E,Sheet1!I:I)</f>
        <v>Default station</v>
      </c>
      <c r="K651" t="s">
        <v>1671</v>
      </c>
      <c r="L651">
        <v>23440213</v>
      </c>
    </row>
    <row r="652" spans="1:12" x14ac:dyDescent="0.25">
      <c r="A652" t="s">
        <v>20</v>
      </c>
      <c r="B652" t="s">
        <v>24</v>
      </c>
      <c r="C652" t="s">
        <v>803</v>
      </c>
      <c r="E652" t="s">
        <v>21</v>
      </c>
      <c r="F652" t="str">
        <f>_xlfn.XLOOKUP($E652,Sheet1!$E:$E,Sheet1!F:F)</f>
        <v>North Ryde</v>
      </c>
      <c r="G652" t="str">
        <f>_xlfn.XLOOKUP($E652,Sheet1!$E:$E,Sheet1!G:G)</f>
        <v>North Ryde [New South Wales]</v>
      </c>
      <c r="I652" t="str">
        <f>_xlfn.XLOOKUP($E652,Sheet1!$E:$E,Sheet1!I:I)</f>
        <v>Default station</v>
      </c>
      <c r="K652" t="s">
        <v>1672</v>
      </c>
      <c r="L652">
        <v>16012211</v>
      </c>
    </row>
    <row r="653" spans="1:12" x14ac:dyDescent="0.25">
      <c r="A653" t="s">
        <v>20</v>
      </c>
      <c r="B653" t="s">
        <v>24</v>
      </c>
      <c r="C653" t="s">
        <v>804</v>
      </c>
      <c r="E653" t="s">
        <v>21</v>
      </c>
      <c r="F653" t="str">
        <f>_xlfn.XLOOKUP($E653,Sheet1!$E:$E,Sheet1!F:F)</f>
        <v>North Ryde</v>
      </c>
      <c r="G653" t="str">
        <f>_xlfn.XLOOKUP($E653,Sheet1!$E:$E,Sheet1!G:G)</f>
        <v>North Ryde [New South Wales]</v>
      </c>
      <c r="I653" t="str">
        <f>_xlfn.XLOOKUP($E653,Sheet1!$E:$E,Sheet1!I:I)</f>
        <v>Default station</v>
      </c>
      <c r="K653" t="s">
        <v>1673</v>
      </c>
      <c r="L653">
        <v>16017982</v>
      </c>
    </row>
    <row r="654" spans="1:12" x14ac:dyDescent="0.25">
      <c r="A654" t="s">
        <v>20</v>
      </c>
      <c r="B654" t="s">
        <v>24</v>
      </c>
      <c r="C654" t="s">
        <v>805</v>
      </c>
      <c r="E654" t="s">
        <v>21</v>
      </c>
      <c r="F654" t="str">
        <f>_xlfn.XLOOKUP($E654,Sheet1!$E:$E,Sheet1!F:F)</f>
        <v>North Ryde</v>
      </c>
      <c r="G654" t="str">
        <f>_xlfn.XLOOKUP($E654,Sheet1!$E:$E,Sheet1!G:G)</f>
        <v>North Ryde [New South Wales]</v>
      </c>
      <c r="I654" t="str">
        <f>_xlfn.XLOOKUP($E654,Sheet1!$E:$E,Sheet1!I:I)</f>
        <v>Default station</v>
      </c>
      <c r="K654" t="s">
        <v>1674</v>
      </c>
      <c r="L654">
        <v>16011491</v>
      </c>
    </row>
    <row r="655" spans="1:12" x14ac:dyDescent="0.25">
      <c r="A655" t="s">
        <v>20</v>
      </c>
      <c r="B655" t="s">
        <v>24</v>
      </c>
      <c r="C655" t="s">
        <v>806</v>
      </c>
      <c r="E655" t="s">
        <v>21</v>
      </c>
      <c r="F655" t="str">
        <f>_xlfn.XLOOKUP($E655,Sheet1!$E:$E,Sheet1!F:F)</f>
        <v>North Ryde</v>
      </c>
      <c r="G655" t="str">
        <f>_xlfn.XLOOKUP($E655,Sheet1!$E:$E,Sheet1!G:G)</f>
        <v>North Ryde [New South Wales]</v>
      </c>
      <c r="I655" t="str">
        <f>_xlfn.XLOOKUP($E655,Sheet1!$E:$E,Sheet1!I:I)</f>
        <v>Default station</v>
      </c>
      <c r="K655" t="s">
        <v>1675</v>
      </c>
      <c r="L655">
        <v>16017770</v>
      </c>
    </row>
    <row r="656" spans="1:12" x14ac:dyDescent="0.25">
      <c r="A656" t="s">
        <v>20</v>
      </c>
      <c r="B656" t="s">
        <v>24</v>
      </c>
      <c r="C656" t="s">
        <v>807</v>
      </c>
      <c r="E656" t="s">
        <v>21</v>
      </c>
      <c r="F656" t="str">
        <f>_xlfn.XLOOKUP($E656,Sheet1!$E:$E,Sheet1!F:F)</f>
        <v>North Ryde</v>
      </c>
      <c r="G656" t="str">
        <f>_xlfn.XLOOKUP($E656,Sheet1!$E:$E,Sheet1!G:G)</f>
        <v>North Ryde [New South Wales]</v>
      </c>
      <c r="I656" t="str">
        <f>_xlfn.XLOOKUP($E656,Sheet1!$E:$E,Sheet1!I:I)</f>
        <v>Default station</v>
      </c>
      <c r="K656" t="s">
        <v>1676</v>
      </c>
      <c r="L656">
        <v>16012403</v>
      </c>
    </row>
    <row r="657" spans="1:12" x14ac:dyDescent="0.25">
      <c r="A657" t="s">
        <v>20</v>
      </c>
      <c r="B657" t="s">
        <v>24</v>
      </c>
      <c r="C657" t="s">
        <v>808</v>
      </c>
      <c r="E657" t="s">
        <v>21</v>
      </c>
      <c r="F657" t="str">
        <f>_xlfn.XLOOKUP($E657,Sheet1!$E:$E,Sheet1!F:F)</f>
        <v>North Ryde</v>
      </c>
      <c r="G657" t="str">
        <f>_xlfn.XLOOKUP($E657,Sheet1!$E:$E,Sheet1!G:G)</f>
        <v>North Ryde [New South Wales]</v>
      </c>
      <c r="I657" t="str">
        <f>_xlfn.XLOOKUP($E657,Sheet1!$E:$E,Sheet1!I:I)</f>
        <v>Default station</v>
      </c>
      <c r="K657" t="s">
        <v>1677</v>
      </c>
      <c r="L657">
        <v>150</v>
      </c>
    </row>
    <row r="658" spans="1:12" x14ac:dyDescent="0.25">
      <c r="A658" t="s">
        <v>20</v>
      </c>
      <c r="B658" t="s">
        <v>24</v>
      </c>
      <c r="C658" t="s">
        <v>809</v>
      </c>
      <c r="E658" t="s">
        <v>21</v>
      </c>
      <c r="F658" t="str">
        <f>_xlfn.XLOOKUP($E658,Sheet1!$E:$E,Sheet1!F:F)</f>
        <v>North Ryde</v>
      </c>
      <c r="G658" t="str">
        <f>_xlfn.XLOOKUP($E658,Sheet1!$E:$E,Sheet1!G:G)</f>
        <v>North Ryde [New South Wales]</v>
      </c>
      <c r="I658" t="str">
        <f>_xlfn.XLOOKUP($E658,Sheet1!$E:$E,Sheet1!I:I)</f>
        <v>Default station</v>
      </c>
      <c r="K658" t="s">
        <v>1678</v>
      </c>
      <c r="L658">
        <v>2412002701</v>
      </c>
    </row>
    <row r="659" spans="1:12" x14ac:dyDescent="0.25">
      <c r="A659" t="s">
        <v>20</v>
      </c>
      <c r="B659" t="s">
        <v>24</v>
      </c>
      <c r="C659" t="s">
        <v>810</v>
      </c>
      <c r="E659" t="s">
        <v>21</v>
      </c>
      <c r="F659" t="str">
        <f>_xlfn.XLOOKUP($E659,Sheet1!$E:$E,Sheet1!F:F)</f>
        <v>North Ryde</v>
      </c>
      <c r="G659" t="str">
        <f>_xlfn.XLOOKUP($E659,Sheet1!$E:$E,Sheet1!G:G)</f>
        <v>North Ryde [New South Wales]</v>
      </c>
      <c r="I659" t="str">
        <f>_xlfn.XLOOKUP($E659,Sheet1!$E:$E,Sheet1!I:I)</f>
        <v>Default station</v>
      </c>
      <c r="K659" t="s">
        <v>1679</v>
      </c>
      <c r="L659">
        <v>16012376</v>
      </c>
    </row>
    <row r="660" spans="1:12" x14ac:dyDescent="0.25">
      <c r="A660" t="s">
        <v>20</v>
      </c>
      <c r="B660" t="s">
        <v>24</v>
      </c>
      <c r="C660" t="s">
        <v>811</v>
      </c>
      <c r="E660" t="s">
        <v>21</v>
      </c>
      <c r="F660" t="str">
        <f>_xlfn.XLOOKUP($E660,Sheet1!$E:$E,Sheet1!F:F)</f>
        <v>North Ryde</v>
      </c>
      <c r="G660" t="str">
        <f>_xlfn.XLOOKUP($E660,Sheet1!$E:$E,Sheet1!G:G)</f>
        <v>North Ryde [New South Wales]</v>
      </c>
      <c r="I660" t="str">
        <f>_xlfn.XLOOKUP($E660,Sheet1!$E:$E,Sheet1!I:I)</f>
        <v>Default station</v>
      </c>
      <c r="K660" t="s">
        <v>1680</v>
      </c>
      <c r="L660">
        <v>241305</v>
      </c>
    </row>
    <row r="661" spans="1:12" x14ac:dyDescent="0.25">
      <c r="A661" t="s">
        <v>20</v>
      </c>
      <c r="B661" t="s">
        <v>24</v>
      </c>
      <c r="C661" t="s">
        <v>812</v>
      </c>
      <c r="E661" t="s">
        <v>21</v>
      </c>
      <c r="F661" t="str">
        <f>_xlfn.XLOOKUP($E661,Sheet1!$E:$E,Sheet1!F:F)</f>
        <v>North Ryde</v>
      </c>
      <c r="G661" t="str">
        <f>_xlfn.XLOOKUP($E661,Sheet1!$E:$E,Sheet1!G:G)</f>
        <v>North Ryde [New South Wales]</v>
      </c>
      <c r="I661" t="str">
        <f>_xlfn.XLOOKUP($E661,Sheet1!$E:$E,Sheet1!I:I)</f>
        <v>Default station</v>
      </c>
      <c r="K661" t="s">
        <v>52</v>
      </c>
      <c r="L661">
        <v>170273</v>
      </c>
    </row>
    <row r="662" spans="1:12" x14ac:dyDescent="0.25">
      <c r="A662" t="s">
        <v>20</v>
      </c>
      <c r="B662" t="s">
        <v>24</v>
      </c>
      <c r="C662" t="s">
        <v>813</v>
      </c>
      <c r="E662" t="s">
        <v>21</v>
      </c>
      <c r="F662" t="str">
        <f>_xlfn.XLOOKUP($E662,Sheet1!$E:$E,Sheet1!F:F)</f>
        <v>North Ryde</v>
      </c>
      <c r="G662" t="str">
        <f>_xlfn.XLOOKUP($E662,Sheet1!$E:$E,Sheet1!G:G)</f>
        <v>North Ryde [New South Wales]</v>
      </c>
      <c r="I662" t="str">
        <f>_xlfn.XLOOKUP($E662,Sheet1!$E:$E,Sheet1!I:I)</f>
        <v>Default station</v>
      </c>
      <c r="K662" t="s">
        <v>1681</v>
      </c>
      <c r="L662">
        <v>8530090</v>
      </c>
    </row>
    <row r="663" spans="1:12" x14ac:dyDescent="0.25">
      <c r="A663" t="s">
        <v>20</v>
      </c>
      <c r="B663" t="s">
        <v>24</v>
      </c>
      <c r="C663" t="s">
        <v>814</v>
      </c>
      <c r="E663" t="s">
        <v>21</v>
      </c>
      <c r="F663" t="str">
        <f>_xlfn.XLOOKUP($E663,Sheet1!$E:$E,Sheet1!F:F)</f>
        <v>North Ryde</v>
      </c>
      <c r="G663" t="str">
        <f>_xlfn.XLOOKUP($E663,Sheet1!$E:$E,Sheet1!G:G)</f>
        <v>North Ryde [New South Wales]</v>
      </c>
      <c r="I663" t="str">
        <f>_xlfn.XLOOKUP($E663,Sheet1!$E:$E,Sheet1!I:I)</f>
        <v>Default station</v>
      </c>
      <c r="K663" t="s">
        <v>104</v>
      </c>
      <c r="L663">
        <v>70700016</v>
      </c>
    </row>
    <row r="664" spans="1:12" x14ac:dyDescent="0.25">
      <c r="A664" t="s">
        <v>20</v>
      </c>
      <c r="B664" t="s">
        <v>24</v>
      </c>
      <c r="C664" t="s">
        <v>815</v>
      </c>
      <c r="E664" t="s">
        <v>21</v>
      </c>
      <c r="F664" t="str">
        <f>_xlfn.XLOOKUP($E664,Sheet1!$E:$E,Sheet1!F:F)</f>
        <v>North Ryde</v>
      </c>
      <c r="G664" t="str">
        <f>_xlfn.XLOOKUP($E664,Sheet1!$E:$E,Sheet1!G:G)</f>
        <v>North Ryde [New South Wales]</v>
      </c>
      <c r="I664" t="str">
        <f>_xlfn.XLOOKUP($E664,Sheet1!$E:$E,Sheet1!I:I)</f>
        <v>Default station</v>
      </c>
      <c r="K664" t="s">
        <v>1682</v>
      </c>
      <c r="L664">
        <v>24130054</v>
      </c>
    </row>
    <row r="665" spans="1:12" x14ac:dyDescent="0.25">
      <c r="A665" t="s">
        <v>20</v>
      </c>
      <c r="B665" t="s">
        <v>24</v>
      </c>
      <c r="C665" t="s">
        <v>816</v>
      </c>
      <c r="E665" t="s">
        <v>21</v>
      </c>
      <c r="F665" t="str">
        <f>_xlfn.XLOOKUP($E665,Sheet1!$E:$E,Sheet1!F:F)</f>
        <v>North Ryde</v>
      </c>
      <c r="G665" t="str">
        <f>_xlfn.XLOOKUP($E665,Sheet1!$E:$E,Sheet1!G:G)</f>
        <v>North Ryde [New South Wales]</v>
      </c>
      <c r="I665" t="str">
        <f>_xlfn.XLOOKUP($E665,Sheet1!$E:$E,Sheet1!I:I)</f>
        <v>Default station</v>
      </c>
      <c r="K665" t="s">
        <v>1683</v>
      </c>
      <c r="L665">
        <v>395301</v>
      </c>
    </row>
    <row r="666" spans="1:12" x14ac:dyDescent="0.25">
      <c r="A666" t="s">
        <v>20</v>
      </c>
      <c r="B666" t="s">
        <v>24</v>
      </c>
      <c r="C666" t="s">
        <v>817</v>
      </c>
      <c r="E666" t="s">
        <v>21</v>
      </c>
      <c r="F666" t="str">
        <f>_xlfn.XLOOKUP($E666,Sheet1!$E:$E,Sheet1!F:F)</f>
        <v>North Ryde</v>
      </c>
      <c r="G666" t="str">
        <f>_xlfn.XLOOKUP($E666,Sheet1!$E:$E,Sheet1!G:G)</f>
        <v>North Ryde [New South Wales]</v>
      </c>
      <c r="I666" t="str">
        <f>_xlfn.XLOOKUP($E666,Sheet1!$E:$E,Sheet1!I:I)</f>
        <v>Default station</v>
      </c>
      <c r="K666" t="s">
        <v>1684</v>
      </c>
      <c r="L666">
        <v>24120128</v>
      </c>
    </row>
    <row r="667" spans="1:12" x14ac:dyDescent="0.25">
      <c r="A667" t="s">
        <v>20</v>
      </c>
      <c r="B667" t="s">
        <v>24</v>
      </c>
      <c r="C667" t="s">
        <v>818</v>
      </c>
      <c r="E667" t="s">
        <v>21</v>
      </c>
      <c r="F667" t="str">
        <f>_xlfn.XLOOKUP($E667,Sheet1!$E:$E,Sheet1!F:F)</f>
        <v>North Ryde</v>
      </c>
      <c r="G667" t="str">
        <f>_xlfn.XLOOKUP($E667,Sheet1!$E:$E,Sheet1!G:G)</f>
        <v>North Ryde [New South Wales]</v>
      </c>
      <c r="I667" t="str">
        <f>_xlfn.XLOOKUP($E667,Sheet1!$E:$E,Sheet1!I:I)</f>
        <v>Default station</v>
      </c>
      <c r="K667" t="s">
        <v>1685</v>
      </c>
      <c r="L667">
        <v>241314</v>
      </c>
    </row>
    <row r="668" spans="1:12" x14ac:dyDescent="0.25">
      <c r="A668" t="s">
        <v>20</v>
      </c>
      <c r="B668" t="s">
        <v>24</v>
      </c>
      <c r="C668" t="s">
        <v>819</v>
      </c>
      <c r="E668" t="s">
        <v>21</v>
      </c>
      <c r="F668" t="str">
        <f>_xlfn.XLOOKUP($E668,Sheet1!$E:$E,Sheet1!F:F)</f>
        <v>North Ryde</v>
      </c>
      <c r="G668" t="str">
        <f>_xlfn.XLOOKUP($E668,Sheet1!$E:$E,Sheet1!G:G)</f>
        <v>North Ryde [New South Wales]</v>
      </c>
      <c r="I668" t="str">
        <f>_xlfn.XLOOKUP($E668,Sheet1!$E:$E,Sheet1!I:I)</f>
        <v>Default station</v>
      </c>
      <c r="K668" t="s">
        <v>1686</v>
      </c>
      <c r="L668">
        <v>14000503</v>
      </c>
    </row>
    <row r="669" spans="1:12" x14ac:dyDescent="0.25">
      <c r="A669" t="s">
        <v>20</v>
      </c>
      <c r="B669" t="s">
        <v>24</v>
      </c>
      <c r="C669" t="s">
        <v>820</v>
      </c>
      <c r="E669" t="s">
        <v>21</v>
      </c>
      <c r="F669" t="str">
        <f>_xlfn.XLOOKUP($E669,Sheet1!$E:$E,Sheet1!F:F)</f>
        <v>North Ryde</v>
      </c>
      <c r="G669" t="str">
        <f>_xlfn.XLOOKUP($E669,Sheet1!$E:$E,Sheet1!G:G)</f>
        <v>North Ryde [New South Wales]</v>
      </c>
      <c r="I669" t="str">
        <f>_xlfn.XLOOKUP($E669,Sheet1!$E:$E,Sheet1!I:I)</f>
        <v>Default station</v>
      </c>
      <c r="K669" t="s">
        <v>1687</v>
      </c>
      <c r="L669">
        <v>170610</v>
      </c>
    </row>
    <row r="670" spans="1:12" x14ac:dyDescent="0.25">
      <c r="A670" t="s">
        <v>20</v>
      </c>
      <c r="B670" t="s">
        <v>24</v>
      </c>
      <c r="C670" t="s">
        <v>821</v>
      </c>
      <c r="E670" t="s">
        <v>21</v>
      </c>
      <c r="F670" t="str">
        <f>_xlfn.XLOOKUP($E670,Sheet1!$E:$E,Sheet1!F:F)</f>
        <v>North Ryde</v>
      </c>
      <c r="G670" t="str">
        <f>_xlfn.XLOOKUP($E670,Sheet1!$E:$E,Sheet1!G:G)</f>
        <v>North Ryde [New South Wales]</v>
      </c>
      <c r="I670" t="str">
        <f>_xlfn.XLOOKUP($E670,Sheet1!$E:$E,Sheet1!I:I)</f>
        <v>Default station</v>
      </c>
      <c r="K670" t="s">
        <v>1688</v>
      </c>
      <c r="L670">
        <v>14000608</v>
      </c>
    </row>
    <row r="671" spans="1:12" x14ac:dyDescent="0.25">
      <c r="A671" t="s">
        <v>20</v>
      </c>
      <c r="B671" t="s">
        <v>24</v>
      </c>
      <c r="C671" t="s">
        <v>822</v>
      </c>
      <c r="E671" t="s">
        <v>21</v>
      </c>
      <c r="F671" t="str">
        <f>_xlfn.XLOOKUP($E671,Sheet1!$E:$E,Sheet1!F:F)</f>
        <v>North Ryde</v>
      </c>
      <c r="G671" t="str">
        <f>_xlfn.XLOOKUP($E671,Sheet1!$E:$E,Sheet1!G:G)</f>
        <v>North Ryde [New South Wales]</v>
      </c>
      <c r="I671" t="str">
        <f>_xlfn.XLOOKUP($E671,Sheet1!$E:$E,Sheet1!I:I)</f>
        <v>Default station</v>
      </c>
      <c r="K671" t="s">
        <v>1689</v>
      </c>
      <c r="L671">
        <v>16012385</v>
      </c>
    </row>
    <row r="672" spans="1:12" x14ac:dyDescent="0.25">
      <c r="A672" t="s">
        <v>20</v>
      </c>
      <c r="B672" t="s">
        <v>24</v>
      </c>
      <c r="C672" t="s">
        <v>823</v>
      </c>
      <c r="E672" t="s">
        <v>21</v>
      </c>
      <c r="F672" t="str">
        <f>_xlfn.XLOOKUP($E672,Sheet1!$E:$E,Sheet1!F:F)</f>
        <v>North Ryde</v>
      </c>
      <c r="G672" t="str">
        <f>_xlfn.XLOOKUP($E672,Sheet1!$E:$E,Sheet1!G:G)</f>
        <v>North Ryde [New South Wales]</v>
      </c>
      <c r="I672" t="str">
        <f>_xlfn.XLOOKUP($E672,Sheet1!$E:$E,Sheet1!I:I)</f>
        <v>Default station</v>
      </c>
      <c r="K672" t="s">
        <v>1690</v>
      </c>
      <c r="L672">
        <v>16012372</v>
      </c>
    </row>
    <row r="673" spans="1:12" x14ac:dyDescent="0.25">
      <c r="A673" t="s">
        <v>20</v>
      </c>
      <c r="B673" t="s">
        <v>24</v>
      </c>
      <c r="C673" t="s">
        <v>824</v>
      </c>
      <c r="E673" t="s">
        <v>21</v>
      </c>
      <c r="F673" t="str">
        <f>_xlfn.XLOOKUP($E673,Sheet1!$E:$E,Sheet1!F:F)</f>
        <v>North Ryde</v>
      </c>
      <c r="G673" t="str">
        <f>_xlfn.XLOOKUP($E673,Sheet1!$E:$E,Sheet1!G:G)</f>
        <v>North Ryde [New South Wales]</v>
      </c>
      <c r="I673" t="str">
        <f>_xlfn.XLOOKUP($E673,Sheet1!$E:$E,Sheet1!I:I)</f>
        <v>Default station</v>
      </c>
      <c r="K673" t="s">
        <v>70</v>
      </c>
      <c r="L673">
        <v>170401</v>
      </c>
    </row>
    <row r="674" spans="1:12" x14ac:dyDescent="0.25">
      <c r="A674" t="s">
        <v>20</v>
      </c>
      <c r="B674" t="s">
        <v>24</v>
      </c>
      <c r="C674" t="s">
        <v>825</v>
      </c>
      <c r="E674" t="s">
        <v>21</v>
      </c>
      <c r="F674" t="str">
        <f>_xlfn.XLOOKUP($E674,Sheet1!$E:$E,Sheet1!F:F)</f>
        <v>North Ryde</v>
      </c>
      <c r="G674" t="str">
        <f>_xlfn.XLOOKUP($E674,Sheet1!$E:$E,Sheet1!G:G)</f>
        <v>North Ryde [New South Wales]</v>
      </c>
      <c r="I674" t="str">
        <f>_xlfn.XLOOKUP($E674,Sheet1!$E:$E,Sheet1!I:I)</f>
        <v>Default station</v>
      </c>
      <c r="K674" t="s">
        <v>1691</v>
      </c>
      <c r="L674">
        <v>16013541</v>
      </c>
    </row>
    <row r="675" spans="1:12" x14ac:dyDescent="0.25">
      <c r="A675" t="s">
        <v>20</v>
      </c>
      <c r="B675" t="s">
        <v>24</v>
      </c>
      <c r="C675" t="s">
        <v>826</v>
      </c>
      <c r="E675" t="s">
        <v>21</v>
      </c>
      <c r="F675" t="str">
        <f>_xlfn.XLOOKUP($E675,Sheet1!$E:$E,Sheet1!F:F)</f>
        <v>North Ryde</v>
      </c>
      <c r="G675" t="str">
        <f>_xlfn.XLOOKUP($E675,Sheet1!$E:$E,Sheet1!G:G)</f>
        <v>North Ryde [New South Wales]</v>
      </c>
      <c r="I675" t="str">
        <f>_xlfn.XLOOKUP($E675,Sheet1!$E:$E,Sheet1!I:I)</f>
        <v>Default station</v>
      </c>
      <c r="K675" t="s">
        <v>142</v>
      </c>
      <c r="L675">
        <v>709202</v>
      </c>
    </row>
    <row r="676" spans="1:12" x14ac:dyDescent="0.25">
      <c r="A676" t="s">
        <v>20</v>
      </c>
      <c r="B676" t="s">
        <v>24</v>
      </c>
      <c r="C676" t="s">
        <v>827</v>
      </c>
      <c r="E676" t="s">
        <v>21</v>
      </c>
      <c r="F676" t="str">
        <f>_xlfn.XLOOKUP($E676,Sheet1!$E:$E,Sheet1!F:F)</f>
        <v>North Ryde</v>
      </c>
      <c r="G676" t="str">
        <f>_xlfn.XLOOKUP($E676,Sheet1!$E:$E,Sheet1!G:G)</f>
        <v>North Ryde [New South Wales]</v>
      </c>
      <c r="I676" t="str">
        <f>_xlfn.XLOOKUP($E676,Sheet1!$E:$E,Sheet1!I:I)</f>
        <v>Default station</v>
      </c>
      <c r="K676" t="s">
        <v>1692</v>
      </c>
      <c r="L676">
        <v>16017827</v>
      </c>
    </row>
    <row r="677" spans="1:12" x14ac:dyDescent="0.25">
      <c r="A677" t="s">
        <v>20</v>
      </c>
      <c r="B677" t="s">
        <v>24</v>
      </c>
      <c r="C677" t="s">
        <v>828</v>
      </c>
      <c r="E677" t="s">
        <v>21</v>
      </c>
      <c r="F677" t="str">
        <f>_xlfn.XLOOKUP($E677,Sheet1!$E:$E,Sheet1!F:F)</f>
        <v>North Ryde</v>
      </c>
      <c r="G677" t="str">
        <f>_xlfn.XLOOKUP($E677,Sheet1!$E:$E,Sheet1!G:G)</f>
        <v>North Ryde [New South Wales]</v>
      </c>
      <c r="I677" t="str">
        <f>_xlfn.XLOOKUP($E677,Sheet1!$E:$E,Sheet1!I:I)</f>
        <v>Default station</v>
      </c>
      <c r="K677" t="s">
        <v>1693</v>
      </c>
      <c r="L677">
        <v>16017951</v>
      </c>
    </row>
    <row r="678" spans="1:12" x14ac:dyDescent="0.25">
      <c r="A678" t="s">
        <v>20</v>
      </c>
      <c r="B678" t="s">
        <v>24</v>
      </c>
      <c r="C678" t="s">
        <v>829</v>
      </c>
      <c r="E678" t="s">
        <v>21</v>
      </c>
      <c r="F678" t="str">
        <f>_xlfn.XLOOKUP($E678,Sheet1!$E:$E,Sheet1!F:F)</f>
        <v>North Ryde</v>
      </c>
      <c r="G678" t="str">
        <f>_xlfn.XLOOKUP($E678,Sheet1!$E:$E,Sheet1!G:G)</f>
        <v>North Ryde [New South Wales]</v>
      </c>
      <c r="I678" t="str">
        <f>_xlfn.XLOOKUP($E678,Sheet1!$E:$E,Sheet1!I:I)</f>
        <v>Default station</v>
      </c>
      <c r="K678" t="s">
        <v>1694</v>
      </c>
      <c r="L678">
        <v>372003</v>
      </c>
    </row>
    <row r="679" spans="1:12" x14ac:dyDescent="0.25">
      <c r="A679" t="s">
        <v>20</v>
      </c>
      <c r="B679" t="s">
        <v>24</v>
      </c>
      <c r="C679" t="s">
        <v>830</v>
      </c>
      <c r="E679" t="s">
        <v>21</v>
      </c>
      <c r="F679" t="str">
        <f>_xlfn.XLOOKUP($E679,Sheet1!$E:$E,Sheet1!F:F)</f>
        <v>North Ryde</v>
      </c>
      <c r="G679" t="str">
        <f>_xlfn.XLOOKUP($E679,Sheet1!$E:$E,Sheet1!G:G)</f>
        <v>North Ryde [New South Wales]</v>
      </c>
      <c r="I679" t="str">
        <f>_xlfn.XLOOKUP($E679,Sheet1!$E:$E,Sheet1!I:I)</f>
        <v>Default station</v>
      </c>
      <c r="K679" t="s">
        <v>1695</v>
      </c>
      <c r="L679">
        <v>709013</v>
      </c>
    </row>
    <row r="680" spans="1:12" x14ac:dyDescent="0.25">
      <c r="A680" t="s">
        <v>20</v>
      </c>
      <c r="B680" t="s">
        <v>24</v>
      </c>
      <c r="C680" t="s">
        <v>831</v>
      </c>
      <c r="E680" t="s">
        <v>21</v>
      </c>
      <c r="F680" t="str">
        <f>_xlfn.XLOOKUP($E680,Sheet1!$E:$E,Sheet1!F:F)</f>
        <v>North Ryde</v>
      </c>
      <c r="G680" t="str">
        <f>_xlfn.XLOOKUP($E680,Sheet1!$E:$E,Sheet1!G:G)</f>
        <v>North Ryde [New South Wales]</v>
      </c>
      <c r="I680" t="str">
        <f>_xlfn.XLOOKUP($E680,Sheet1!$E:$E,Sheet1!I:I)</f>
        <v>Default station</v>
      </c>
      <c r="K680" t="s">
        <v>1696</v>
      </c>
      <c r="L680">
        <v>170316</v>
      </c>
    </row>
    <row r="681" spans="1:12" x14ac:dyDescent="0.25">
      <c r="A681" t="s">
        <v>20</v>
      </c>
      <c r="B681" t="s">
        <v>24</v>
      </c>
      <c r="C681" t="s">
        <v>832</v>
      </c>
      <c r="E681" t="s">
        <v>21</v>
      </c>
      <c r="F681" t="str">
        <f>_xlfn.XLOOKUP($E681,Sheet1!$E:$E,Sheet1!F:F)</f>
        <v>North Ryde</v>
      </c>
      <c r="G681" t="str">
        <f>_xlfn.XLOOKUP($E681,Sheet1!$E:$E,Sheet1!G:G)</f>
        <v>North Ryde [New South Wales]</v>
      </c>
      <c r="I681" t="str">
        <f>_xlfn.XLOOKUP($E681,Sheet1!$E:$E,Sheet1!I:I)</f>
        <v>Default station</v>
      </c>
      <c r="K681" t="s">
        <v>1697</v>
      </c>
      <c r="L681">
        <v>16017790</v>
      </c>
    </row>
    <row r="682" spans="1:12" x14ac:dyDescent="0.25">
      <c r="A682" t="s">
        <v>20</v>
      </c>
      <c r="B682" t="s">
        <v>24</v>
      </c>
      <c r="C682" t="s">
        <v>446</v>
      </c>
      <c r="E682" t="s">
        <v>21</v>
      </c>
      <c r="F682" t="str">
        <f>_xlfn.XLOOKUP($E682,Sheet1!$E:$E,Sheet1!F:F)</f>
        <v>North Ryde</v>
      </c>
      <c r="G682" t="str">
        <f>_xlfn.XLOOKUP($E682,Sheet1!$E:$E,Sheet1!G:G)</f>
        <v>North Ryde [New South Wales]</v>
      </c>
      <c r="I682" t="str">
        <f>_xlfn.XLOOKUP($E682,Sheet1!$E:$E,Sheet1!I:I)</f>
        <v>Default station</v>
      </c>
      <c r="K682" t="s">
        <v>1698</v>
      </c>
      <c r="L682">
        <v>170807</v>
      </c>
    </row>
    <row r="683" spans="1:12" x14ac:dyDescent="0.25">
      <c r="A683" t="s">
        <v>20</v>
      </c>
      <c r="B683" t="s">
        <v>24</v>
      </c>
      <c r="C683" t="s">
        <v>833</v>
      </c>
      <c r="E683" t="s">
        <v>21</v>
      </c>
      <c r="F683" t="str">
        <f>_xlfn.XLOOKUP($E683,Sheet1!$E:$E,Sheet1!F:F)</f>
        <v>North Ryde</v>
      </c>
      <c r="G683" t="str">
        <f>_xlfn.XLOOKUP($E683,Sheet1!$E:$E,Sheet1!G:G)</f>
        <v>North Ryde [New South Wales]</v>
      </c>
      <c r="I683" t="str">
        <f>_xlfn.XLOOKUP($E683,Sheet1!$E:$E,Sheet1!I:I)</f>
        <v>Default station</v>
      </c>
      <c r="K683" t="s">
        <v>1699</v>
      </c>
      <c r="L683">
        <v>16011360</v>
      </c>
    </row>
    <row r="684" spans="1:12" x14ac:dyDescent="0.25">
      <c r="A684" t="s">
        <v>20</v>
      </c>
      <c r="B684" t="s">
        <v>24</v>
      </c>
      <c r="C684" t="s">
        <v>834</v>
      </c>
      <c r="E684" t="s">
        <v>21</v>
      </c>
      <c r="F684" t="str">
        <f>_xlfn.XLOOKUP($E684,Sheet1!$E:$E,Sheet1!F:F)</f>
        <v>North Ryde</v>
      </c>
      <c r="G684" t="str">
        <f>_xlfn.XLOOKUP($E684,Sheet1!$E:$E,Sheet1!G:G)</f>
        <v>North Ryde [New South Wales]</v>
      </c>
      <c r="I684" t="str">
        <f>_xlfn.XLOOKUP($E684,Sheet1!$E:$E,Sheet1!I:I)</f>
        <v>Default station</v>
      </c>
      <c r="K684" t="s">
        <v>1700</v>
      </c>
      <c r="L684">
        <v>16017860</v>
      </c>
    </row>
    <row r="685" spans="1:12" x14ac:dyDescent="0.25">
      <c r="A685" t="s">
        <v>20</v>
      </c>
      <c r="B685" t="s">
        <v>24</v>
      </c>
      <c r="C685" t="s">
        <v>835</v>
      </c>
      <c r="E685" t="s">
        <v>21</v>
      </c>
      <c r="F685" t="str">
        <f>_xlfn.XLOOKUP($E685,Sheet1!$E:$E,Sheet1!F:F)</f>
        <v>North Ryde</v>
      </c>
      <c r="G685" t="str">
        <f>_xlfn.XLOOKUP($E685,Sheet1!$E:$E,Sheet1!G:G)</f>
        <v>North Ryde [New South Wales]</v>
      </c>
      <c r="I685" t="str">
        <f>_xlfn.XLOOKUP($E685,Sheet1!$E:$E,Sheet1!I:I)</f>
        <v>Default station</v>
      </c>
      <c r="K685" t="s">
        <v>1701</v>
      </c>
      <c r="L685">
        <v>16011456</v>
      </c>
    </row>
    <row r="686" spans="1:12" x14ac:dyDescent="0.25">
      <c r="A686" t="s">
        <v>20</v>
      </c>
      <c r="B686" t="s">
        <v>24</v>
      </c>
      <c r="C686" t="s">
        <v>836</v>
      </c>
      <c r="E686" t="s">
        <v>21</v>
      </c>
      <c r="F686" t="str">
        <f>_xlfn.XLOOKUP($E686,Sheet1!$E:$E,Sheet1!F:F)</f>
        <v>North Ryde</v>
      </c>
      <c r="G686" t="str">
        <f>_xlfn.XLOOKUP($E686,Sheet1!$E:$E,Sheet1!G:G)</f>
        <v>North Ryde [New South Wales]</v>
      </c>
      <c r="I686" t="str">
        <f>_xlfn.XLOOKUP($E686,Sheet1!$E:$E,Sheet1!I:I)</f>
        <v>Default station</v>
      </c>
      <c r="K686" t="s">
        <v>1702</v>
      </c>
      <c r="L686">
        <v>16017765</v>
      </c>
    </row>
    <row r="687" spans="1:12" x14ac:dyDescent="0.25">
      <c r="A687" t="s">
        <v>20</v>
      </c>
      <c r="B687" t="s">
        <v>24</v>
      </c>
      <c r="C687" t="s">
        <v>837</v>
      </c>
      <c r="E687" t="s">
        <v>21</v>
      </c>
      <c r="F687" t="str">
        <f>_xlfn.XLOOKUP($E687,Sheet1!$E:$E,Sheet1!F:F)</f>
        <v>North Ryde</v>
      </c>
      <c r="G687" t="str">
        <f>_xlfn.XLOOKUP($E687,Sheet1!$E:$E,Sheet1!G:G)</f>
        <v>North Ryde [New South Wales]</v>
      </c>
      <c r="I687" t="str">
        <f>_xlfn.XLOOKUP($E687,Sheet1!$E:$E,Sheet1!I:I)</f>
        <v>Default station</v>
      </c>
      <c r="K687" t="s">
        <v>1703</v>
      </c>
      <c r="L687">
        <v>16013568</v>
      </c>
    </row>
    <row r="688" spans="1:12" x14ac:dyDescent="0.25">
      <c r="A688" t="s">
        <v>20</v>
      </c>
      <c r="B688" t="s">
        <v>24</v>
      </c>
      <c r="C688" t="s">
        <v>838</v>
      </c>
      <c r="E688" t="s">
        <v>21</v>
      </c>
      <c r="F688" t="str">
        <f>_xlfn.XLOOKUP($E688,Sheet1!$E:$E,Sheet1!F:F)</f>
        <v>North Ryde</v>
      </c>
      <c r="G688" t="str">
        <f>_xlfn.XLOOKUP($E688,Sheet1!$E:$E,Sheet1!G:G)</f>
        <v>North Ryde [New South Wales]</v>
      </c>
      <c r="I688" t="str">
        <f>_xlfn.XLOOKUP($E688,Sheet1!$E:$E,Sheet1!I:I)</f>
        <v>Default station</v>
      </c>
      <c r="K688" t="s">
        <v>1704</v>
      </c>
      <c r="L688">
        <v>16017786</v>
      </c>
    </row>
    <row r="689" spans="1:12" x14ac:dyDescent="0.25">
      <c r="A689" t="s">
        <v>20</v>
      </c>
      <c r="B689" t="s">
        <v>24</v>
      </c>
      <c r="C689" t="s">
        <v>839</v>
      </c>
      <c r="E689" t="s">
        <v>21</v>
      </c>
      <c r="F689" t="str">
        <f>_xlfn.XLOOKUP($E689,Sheet1!$E:$E,Sheet1!F:F)</f>
        <v>North Ryde</v>
      </c>
      <c r="G689" t="str">
        <f>_xlfn.XLOOKUP($E689,Sheet1!$E:$E,Sheet1!G:G)</f>
        <v>North Ryde [New South Wales]</v>
      </c>
      <c r="I689" t="str">
        <f>_xlfn.XLOOKUP($E689,Sheet1!$E:$E,Sheet1!I:I)</f>
        <v>Default station</v>
      </c>
      <c r="K689" t="s">
        <v>1705</v>
      </c>
      <c r="L689">
        <v>22910022</v>
      </c>
    </row>
    <row r="690" spans="1:12" x14ac:dyDescent="0.25">
      <c r="A690" t="s">
        <v>20</v>
      </c>
      <c r="B690" t="s">
        <v>24</v>
      </c>
      <c r="C690" t="s">
        <v>840</v>
      </c>
      <c r="E690" t="s">
        <v>21</v>
      </c>
      <c r="F690" t="str">
        <f>_xlfn.XLOOKUP($E690,Sheet1!$E:$E,Sheet1!F:F)</f>
        <v>North Ryde</v>
      </c>
      <c r="G690" t="str">
        <f>_xlfn.XLOOKUP($E690,Sheet1!$E:$E,Sheet1!G:G)</f>
        <v>North Ryde [New South Wales]</v>
      </c>
      <c r="I690" t="str">
        <f>_xlfn.XLOOKUP($E690,Sheet1!$E:$E,Sheet1!I:I)</f>
        <v>Default station</v>
      </c>
      <c r="K690" t="s">
        <v>1706</v>
      </c>
      <c r="L690">
        <v>24120084</v>
      </c>
    </row>
    <row r="691" spans="1:12" x14ac:dyDescent="0.25">
      <c r="A691" t="s">
        <v>20</v>
      </c>
      <c r="B691" t="s">
        <v>24</v>
      </c>
      <c r="C691" t="s">
        <v>841</v>
      </c>
      <c r="E691" t="s">
        <v>21</v>
      </c>
      <c r="F691" t="str">
        <f>_xlfn.XLOOKUP($E691,Sheet1!$E:$E,Sheet1!F:F)</f>
        <v>North Ryde</v>
      </c>
      <c r="G691" t="str">
        <f>_xlfn.XLOOKUP($E691,Sheet1!$E:$E,Sheet1!G:G)</f>
        <v>North Ryde [New South Wales]</v>
      </c>
      <c r="I691" t="str">
        <f>_xlfn.XLOOKUP($E691,Sheet1!$E:$E,Sheet1!I:I)</f>
        <v>Default station</v>
      </c>
      <c r="K691" t="s">
        <v>1707</v>
      </c>
      <c r="L691">
        <v>170275</v>
      </c>
    </row>
    <row r="692" spans="1:12" x14ac:dyDescent="0.25">
      <c r="A692" t="s">
        <v>20</v>
      </c>
      <c r="B692" t="s">
        <v>24</v>
      </c>
      <c r="C692" t="s">
        <v>842</v>
      </c>
      <c r="E692" t="s">
        <v>21</v>
      </c>
      <c r="F692" t="str">
        <f>_xlfn.XLOOKUP($E692,Sheet1!$E:$E,Sheet1!F:F)</f>
        <v>North Ryde</v>
      </c>
      <c r="G692" t="str">
        <f>_xlfn.XLOOKUP($E692,Sheet1!$E:$E,Sheet1!G:G)</f>
        <v>North Ryde [New South Wales]</v>
      </c>
      <c r="I692" t="str">
        <f>_xlfn.XLOOKUP($E692,Sheet1!$E:$E,Sheet1!I:I)</f>
        <v>Default station</v>
      </c>
      <c r="K692" t="s">
        <v>109</v>
      </c>
      <c r="L692">
        <v>170136</v>
      </c>
    </row>
    <row r="693" spans="1:12" x14ac:dyDescent="0.25">
      <c r="A693" t="s">
        <v>20</v>
      </c>
      <c r="B693" t="s">
        <v>24</v>
      </c>
      <c r="C693" t="s">
        <v>843</v>
      </c>
      <c r="E693" t="s">
        <v>21</v>
      </c>
      <c r="F693" t="str">
        <f>_xlfn.XLOOKUP($E693,Sheet1!$E:$E,Sheet1!F:F)</f>
        <v>North Ryde</v>
      </c>
      <c r="G693" t="str">
        <f>_xlfn.XLOOKUP($E693,Sheet1!$E:$E,Sheet1!G:G)</f>
        <v>North Ryde [New South Wales]</v>
      </c>
      <c r="I693" t="str">
        <f>_xlfn.XLOOKUP($E693,Sheet1!$E:$E,Sheet1!I:I)</f>
        <v>Default station</v>
      </c>
      <c r="K693" t="s">
        <v>1708</v>
      </c>
      <c r="L693">
        <v>16017907</v>
      </c>
    </row>
    <row r="694" spans="1:12" x14ac:dyDescent="0.25">
      <c r="A694" t="s">
        <v>20</v>
      </c>
      <c r="B694" t="s">
        <v>24</v>
      </c>
      <c r="C694" t="s">
        <v>844</v>
      </c>
      <c r="E694" t="s">
        <v>21</v>
      </c>
      <c r="F694" t="str">
        <f>_xlfn.XLOOKUP($E694,Sheet1!$E:$E,Sheet1!F:F)</f>
        <v>North Ryde</v>
      </c>
      <c r="G694" t="str">
        <f>_xlfn.XLOOKUP($E694,Sheet1!$E:$E,Sheet1!G:G)</f>
        <v>North Ryde [New South Wales]</v>
      </c>
      <c r="I694" t="str">
        <f>_xlfn.XLOOKUP($E694,Sheet1!$E:$E,Sheet1!I:I)</f>
        <v>Default station</v>
      </c>
      <c r="K694" t="s">
        <v>1709</v>
      </c>
      <c r="L694">
        <v>170128</v>
      </c>
    </row>
    <row r="695" spans="1:12" x14ac:dyDescent="0.25">
      <c r="A695" t="s">
        <v>20</v>
      </c>
      <c r="B695" t="s">
        <v>24</v>
      </c>
      <c r="C695" t="s">
        <v>845</v>
      </c>
      <c r="E695" t="s">
        <v>21</v>
      </c>
      <c r="F695" t="str">
        <f>_xlfn.XLOOKUP($E695,Sheet1!$E:$E,Sheet1!F:F)</f>
        <v>North Ryde</v>
      </c>
      <c r="G695" t="str">
        <f>_xlfn.XLOOKUP($E695,Sheet1!$E:$E,Sheet1!G:G)</f>
        <v>North Ryde [New South Wales]</v>
      </c>
      <c r="I695" t="str">
        <f>_xlfn.XLOOKUP($E695,Sheet1!$E:$E,Sheet1!I:I)</f>
        <v>Default station</v>
      </c>
      <c r="K695" t="s">
        <v>1710</v>
      </c>
      <c r="L695">
        <v>16018034</v>
      </c>
    </row>
    <row r="696" spans="1:12" x14ac:dyDescent="0.25">
      <c r="A696" t="s">
        <v>20</v>
      </c>
      <c r="B696" t="s">
        <v>24</v>
      </c>
      <c r="C696" t="s">
        <v>846</v>
      </c>
      <c r="E696" t="s">
        <v>21</v>
      </c>
      <c r="F696" t="str">
        <f>_xlfn.XLOOKUP($E696,Sheet1!$E:$E,Sheet1!F:F)</f>
        <v>North Ryde</v>
      </c>
      <c r="G696" t="str">
        <f>_xlfn.XLOOKUP($E696,Sheet1!$E:$E,Sheet1!G:G)</f>
        <v>North Ryde [New South Wales]</v>
      </c>
      <c r="I696" t="str">
        <f>_xlfn.XLOOKUP($E696,Sheet1!$E:$E,Sheet1!I:I)</f>
        <v>Default station</v>
      </c>
      <c r="K696" t="s">
        <v>1711</v>
      </c>
      <c r="L696">
        <v>16012393</v>
      </c>
    </row>
    <row r="697" spans="1:12" x14ac:dyDescent="0.25">
      <c r="A697" t="s">
        <v>20</v>
      </c>
      <c r="B697" t="s">
        <v>24</v>
      </c>
      <c r="C697" t="s">
        <v>649</v>
      </c>
      <c r="E697" t="s">
        <v>21</v>
      </c>
      <c r="F697" t="str">
        <f>_xlfn.XLOOKUP($E697,Sheet1!$E:$E,Sheet1!F:F)</f>
        <v>North Ryde</v>
      </c>
      <c r="G697" t="str">
        <f>_xlfn.XLOOKUP($E697,Sheet1!$E:$E,Sheet1!G:G)</f>
        <v>North Ryde [New South Wales]</v>
      </c>
      <c r="I697" t="str">
        <f>_xlfn.XLOOKUP($E697,Sheet1!$E:$E,Sheet1!I:I)</f>
        <v>Default station</v>
      </c>
      <c r="K697" t="s">
        <v>1712</v>
      </c>
      <c r="L697">
        <v>24130068</v>
      </c>
    </row>
    <row r="698" spans="1:12" x14ac:dyDescent="0.25">
      <c r="A698" t="s">
        <v>20</v>
      </c>
      <c r="B698" t="s">
        <v>24</v>
      </c>
      <c r="C698" t="s">
        <v>847</v>
      </c>
      <c r="E698" t="s">
        <v>21</v>
      </c>
      <c r="F698" t="str">
        <f>_xlfn.XLOOKUP($E698,Sheet1!$E:$E,Sheet1!F:F)</f>
        <v>North Ryde</v>
      </c>
      <c r="G698" t="str">
        <f>_xlfn.XLOOKUP($E698,Sheet1!$E:$E,Sheet1!G:G)</f>
        <v>North Ryde [New South Wales]</v>
      </c>
      <c r="I698" t="str">
        <f>_xlfn.XLOOKUP($E698,Sheet1!$E:$E,Sheet1!I:I)</f>
        <v>Default station</v>
      </c>
      <c r="K698" t="s">
        <v>1713</v>
      </c>
      <c r="L698">
        <v>16011857</v>
      </c>
    </row>
    <row r="699" spans="1:12" x14ac:dyDescent="0.25">
      <c r="A699" t="s">
        <v>20</v>
      </c>
      <c r="B699" t="s">
        <v>24</v>
      </c>
      <c r="C699" t="s">
        <v>848</v>
      </c>
      <c r="E699" t="s">
        <v>21</v>
      </c>
      <c r="F699" t="str">
        <f>_xlfn.XLOOKUP($E699,Sheet1!$E:$E,Sheet1!F:F)</f>
        <v>North Ryde</v>
      </c>
      <c r="G699" t="str">
        <f>_xlfn.XLOOKUP($E699,Sheet1!$E:$E,Sheet1!G:G)</f>
        <v>North Ryde [New South Wales]</v>
      </c>
      <c r="I699" t="str">
        <f>_xlfn.XLOOKUP($E699,Sheet1!$E:$E,Sheet1!I:I)</f>
        <v>Default station</v>
      </c>
      <c r="K699" t="s">
        <v>1714</v>
      </c>
      <c r="L699">
        <v>16011163</v>
      </c>
    </row>
    <row r="700" spans="1:12" x14ac:dyDescent="0.25">
      <c r="A700" t="s">
        <v>20</v>
      </c>
      <c r="B700" t="s">
        <v>24</v>
      </c>
      <c r="C700" t="s">
        <v>849</v>
      </c>
      <c r="E700" t="s">
        <v>21</v>
      </c>
      <c r="F700" t="str">
        <f>_xlfn.XLOOKUP($E700,Sheet1!$E:$E,Sheet1!F:F)</f>
        <v>North Ryde</v>
      </c>
      <c r="G700" t="str">
        <f>_xlfn.XLOOKUP($E700,Sheet1!$E:$E,Sheet1!G:G)</f>
        <v>North Ryde [New South Wales]</v>
      </c>
      <c r="I700" t="str">
        <f>_xlfn.XLOOKUP($E700,Sheet1!$E:$E,Sheet1!I:I)</f>
        <v>Default station</v>
      </c>
      <c r="K700" t="s">
        <v>1715</v>
      </c>
      <c r="L700">
        <v>14001323</v>
      </c>
    </row>
    <row r="701" spans="1:12" x14ac:dyDescent="0.25">
      <c r="A701" t="s">
        <v>20</v>
      </c>
      <c r="B701" t="s">
        <v>24</v>
      </c>
      <c r="C701" t="s">
        <v>850</v>
      </c>
      <c r="E701" t="s">
        <v>21</v>
      </c>
      <c r="F701" t="str">
        <f>_xlfn.XLOOKUP($E701,Sheet1!$E:$E,Sheet1!F:F)</f>
        <v>North Ryde</v>
      </c>
      <c r="G701" t="str">
        <f>_xlfn.XLOOKUP($E701,Sheet1!$E:$E,Sheet1!G:G)</f>
        <v>North Ryde [New South Wales]</v>
      </c>
      <c r="I701" t="str">
        <f>_xlfn.XLOOKUP($E701,Sheet1!$E:$E,Sheet1!I:I)</f>
        <v>Default station</v>
      </c>
      <c r="K701" t="s">
        <v>1716</v>
      </c>
      <c r="L701">
        <v>11000700</v>
      </c>
    </row>
    <row r="702" spans="1:12" x14ac:dyDescent="0.25">
      <c r="A702" t="s">
        <v>20</v>
      </c>
      <c r="B702" t="s">
        <v>24</v>
      </c>
      <c r="C702" t="s">
        <v>851</v>
      </c>
      <c r="E702" t="s">
        <v>21</v>
      </c>
      <c r="F702" t="str">
        <f>_xlfn.XLOOKUP($E702,Sheet1!$E:$E,Sheet1!F:F)</f>
        <v>North Ryde</v>
      </c>
      <c r="G702" t="str">
        <f>_xlfn.XLOOKUP($E702,Sheet1!$E:$E,Sheet1!G:G)</f>
        <v>North Ryde [New South Wales]</v>
      </c>
      <c r="I702" t="str">
        <f>_xlfn.XLOOKUP($E702,Sheet1!$E:$E,Sheet1!I:I)</f>
        <v>Default station</v>
      </c>
      <c r="K702" t="s">
        <v>1717</v>
      </c>
      <c r="L702">
        <v>25460001</v>
      </c>
    </row>
    <row r="703" spans="1:12" x14ac:dyDescent="0.25">
      <c r="A703" t="s">
        <v>20</v>
      </c>
      <c r="B703" t="s">
        <v>24</v>
      </c>
      <c r="C703" t="s">
        <v>852</v>
      </c>
      <c r="E703" t="s">
        <v>21</v>
      </c>
      <c r="F703" t="str">
        <f>_xlfn.XLOOKUP($E703,Sheet1!$E:$E,Sheet1!F:F)</f>
        <v>North Ryde</v>
      </c>
      <c r="G703" t="str">
        <f>_xlfn.XLOOKUP($E703,Sheet1!$E:$E,Sheet1!G:G)</f>
        <v>North Ryde [New South Wales]</v>
      </c>
      <c r="I703" t="str">
        <f>_xlfn.XLOOKUP($E703,Sheet1!$E:$E,Sheet1!I:I)</f>
        <v>Default station</v>
      </c>
      <c r="K703" t="s">
        <v>1718</v>
      </c>
      <c r="L703">
        <v>301303</v>
      </c>
    </row>
    <row r="704" spans="1:12" x14ac:dyDescent="0.25">
      <c r="A704" t="s">
        <v>20</v>
      </c>
      <c r="B704" t="s">
        <v>24</v>
      </c>
      <c r="C704" t="s">
        <v>853</v>
      </c>
      <c r="E704" t="s">
        <v>21</v>
      </c>
      <c r="F704" t="str">
        <f>_xlfn.XLOOKUP($E704,Sheet1!$E:$E,Sheet1!F:F)</f>
        <v>North Ryde</v>
      </c>
      <c r="G704" t="str">
        <f>_xlfn.XLOOKUP($E704,Sheet1!$E:$E,Sheet1!G:G)</f>
        <v>North Ryde [New South Wales]</v>
      </c>
      <c r="I704" t="str">
        <f>_xlfn.XLOOKUP($E704,Sheet1!$E:$E,Sheet1!I:I)</f>
        <v>Default station</v>
      </c>
      <c r="K704" t="s">
        <v>1719</v>
      </c>
      <c r="L704">
        <v>38250009</v>
      </c>
    </row>
    <row r="705" spans="1:12" x14ac:dyDescent="0.25">
      <c r="A705" t="s">
        <v>20</v>
      </c>
      <c r="B705" t="s">
        <v>24</v>
      </c>
      <c r="C705" t="s">
        <v>854</v>
      </c>
      <c r="E705" t="s">
        <v>21</v>
      </c>
      <c r="F705" t="str">
        <f>_xlfn.XLOOKUP($E705,Sheet1!$E:$E,Sheet1!F:F)</f>
        <v>North Ryde</v>
      </c>
      <c r="G705" t="str">
        <f>_xlfn.XLOOKUP($E705,Sheet1!$E:$E,Sheet1!G:G)</f>
        <v>North Ryde [New South Wales]</v>
      </c>
      <c r="I705" t="str">
        <f>_xlfn.XLOOKUP($E705,Sheet1!$E:$E,Sheet1!I:I)</f>
        <v>Default station</v>
      </c>
      <c r="K705" t="s">
        <v>1720</v>
      </c>
      <c r="L705">
        <v>24120135</v>
      </c>
    </row>
    <row r="706" spans="1:12" x14ac:dyDescent="0.25">
      <c r="A706" t="s">
        <v>20</v>
      </c>
      <c r="B706" t="s">
        <v>24</v>
      </c>
      <c r="C706" t="s">
        <v>855</v>
      </c>
      <c r="E706" t="s">
        <v>21</v>
      </c>
      <c r="F706" t="str">
        <f>_xlfn.XLOOKUP($E706,Sheet1!$E:$E,Sheet1!F:F)</f>
        <v>North Ryde</v>
      </c>
      <c r="G706" t="str">
        <f>_xlfn.XLOOKUP($E706,Sheet1!$E:$E,Sheet1!G:G)</f>
        <v>North Ryde [New South Wales]</v>
      </c>
      <c r="I706" t="str">
        <f>_xlfn.XLOOKUP($E706,Sheet1!$E:$E,Sheet1!I:I)</f>
        <v>Default station</v>
      </c>
      <c r="K706" t="s">
        <v>1721</v>
      </c>
      <c r="L706">
        <v>16013718</v>
      </c>
    </row>
    <row r="707" spans="1:12" x14ac:dyDescent="0.25">
      <c r="A707" t="s">
        <v>20</v>
      </c>
      <c r="B707" t="s">
        <v>24</v>
      </c>
      <c r="C707" t="s">
        <v>856</v>
      </c>
      <c r="E707" t="s">
        <v>21</v>
      </c>
      <c r="F707" t="str">
        <f>_xlfn.XLOOKUP($E707,Sheet1!$E:$E,Sheet1!F:F)</f>
        <v>North Ryde</v>
      </c>
      <c r="G707" t="str">
        <f>_xlfn.XLOOKUP($E707,Sheet1!$E:$E,Sheet1!G:G)</f>
        <v>North Ryde [New South Wales]</v>
      </c>
      <c r="I707" t="str">
        <f>_xlfn.XLOOKUP($E707,Sheet1!$E:$E,Sheet1!I:I)</f>
        <v>Default station</v>
      </c>
      <c r="K707" t="s">
        <v>1722</v>
      </c>
      <c r="L707">
        <v>16012474</v>
      </c>
    </row>
    <row r="708" spans="1:12" x14ac:dyDescent="0.25">
      <c r="A708" t="s">
        <v>20</v>
      </c>
      <c r="B708" t="s">
        <v>24</v>
      </c>
      <c r="C708" t="s">
        <v>857</v>
      </c>
      <c r="E708" t="s">
        <v>21</v>
      </c>
      <c r="F708" t="str">
        <f>_xlfn.XLOOKUP($E708,Sheet1!$E:$E,Sheet1!F:F)</f>
        <v>North Ryde</v>
      </c>
      <c r="G708" t="str">
        <f>_xlfn.XLOOKUP($E708,Sheet1!$E:$E,Sheet1!G:G)</f>
        <v>North Ryde [New South Wales]</v>
      </c>
      <c r="I708" t="str">
        <f>_xlfn.XLOOKUP($E708,Sheet1!$E:$E,Sheet1!I:I)</f>
        <v>Default station</v>
      </c>
      <c r="K708" t="s">
        <v>1723</v>
      </c>
      <c r="L708">
        <v>16012370</v>
      </c>
    </row>
    <row r="709" spans="1:12" x14ac:dyDescent="0.25">
      <c r="A709" t="s">
        <v>20</v>
      </c>
      <c r="B709" t="s">
        <v>24</v>
      </c>
      <c r="C709" t="s">
        <v>858</v>
      </c>
      <c r="E709" t="s">
        <v>21</v>
      </c>
      <c r="F709" t="str">
        <f>_xlfn.XLOOKUP($E709,Sheet1!$E:$E,Sheet1!F:F)</f>
        <v>North Ryde</v>
      </c>
      <c r="G709" t="str">
        <f>_xlfn.XLOOKUP($E709,Sheet1!$E:$E,Sheet1!G:G)</f>
        <v>North Ryde [New South Wales]</v>
      </c>
      <c r="I709" t="str">
        <f>_xlfn.XLOOKUP($E709,Sheet1!$E:$E,Sheet1!I:I)</f>
        <v>Default station</v>
      </c>
      <c r="K709" t="s">
        <v>1724</v>
      </c>
      <c r="L709">
        <v>170109</v>
      </c>
    </row>
    <row r="710" spans="1:12" x14ac:dyDescent="0.25">
      <c r="A710" t="s">
        <v>20</v>
      </c>
      <c r="B710" t="s">
        <v>24</v>
      </c>
      <c r="C710" t="s">
        <v>859</v>
      </c>
      <c r="E710" t="s">
        <v>21</v>
      </c>
      <c r="F710" t="str">
        <f>_xlfn.XLOOKUP($E710,Sheet1!$E:$E,Sheet1!F:F)</f>
        <v>North Ryde</v>
      </c>
      <c r="G710" t="str">
        <f>_xlfn.XLOOKUP($E710,Sheet1!$E:$E,Sheet1!G:G)</f>
        <v>North Ryde [New South Wales]</v>
      </c>
      <c r="I710" t="str">
        <f>_xlfn.XLOOKUP($E710,Sheet1!$E:$E,Sheet1!I:I)</f>
        <v>Default station</v>
      </c>
      <c r="K710" t="s">
        <v>1725</v>
      </c>
      <c r="L710">
        <v>16017826</v>
      </c>
    </row>
    <row r="711" spans="1:12" x14ac:dyDescent="0.25">
      <c r="A711" t="s">
        <v>20</v>
      </c>
      <c r="B711" t="s">
        <v>24</v>
      </c>
      <c r="C711" t="s">
        <v>860</v>
      </c>
      <c r="E711" t="s">
        <v>21</v>
      </c>
      <c r="F711" t="str">
        <f>_xlfn.XLOOKUP($E711,Sheet1!$E:$E,Sheet1!F:F)</f>
        <v>North Ryde</v>
      </c>
      <c r="G711" t="str">
        <f>_xlfn.XLOOKUP($E711,Sheet1!$E:$E,Sheet1!G:G)</f>
        <v>North Ryde [New South Wales]</v>
      </c>
      <c r="I711" t="str">
        <f>_xlfn.XLOOKUP($E711,Sheet1!$E:$E,Sheet1!I:I)</f>
        <v>Default station</v>
      </c>
      <c r="K711" t="s">
        <v>1726</v>
      </c>
      <c r="L711">
        <v>16017882</v>
      </c>
    </row>
    <row r="712" spans="1:12" x14ac:dyDescent="0.25">
      <c r="A712" t="s">
        <v>20</v>
      </c>
      <c r="B712" t="s">
        <v>24</v>
      </c>
      <c r="C712" t="s">
        <v>861</v>
      </c>
      <c r="E712" t="s">
        <v>21</v>
      </c>
      <c r="F712" t="str">
        <f>_xlfn.XLOOKUP($E712,Sheet1!$E:$E,Sheet1!F:F)</f>
        <v>North Ryde</v>
      </c>
      <c r="G712" t="str">
        <f>_xlfn.XLOOKUP($E712,Sheet1!$E:$E,Sheet1!G:G)</f>
        <v>North Ryde [New South Wales]</v>
      </c>
      <c r="I712" t="str">
        <f>_xlfn.XLOOKUP($E712,Sheet1!$E:$E,Sheet1!I:I)</f>
        <v>Default station</v>
      </c>
      <c r="K712" t="s">
        <v>1727</v>
      </c>
      <c r="L712">
        <v>234416</v>
      </c>
    </row>
    <row r="713" spans="1:12" x14ac:dyDescent="0.25">
      <c r="A713" t="s">
        <v>20</v>
      </c>
      <c r="B713" t="s">
        <v>24</v>
      </c>
      <c r="C713" t="s">
        <v>862</v>
      </c>
      <c r="E713" t="s">
        <v>21</v>
      </c>
      <c r="F713" t="str">
        <f>_xlfn.XLOOKUP($E713,Sheet1!$E:$E,Sheet1!F:F)</f>
        <v>North Ryde</v>
      </c>
      <c r="G713" t="str">
        <f>_xlfn.XLOOKUP($E713,Sheet1!$E:$E,Sheet1!G:G)</f>
        <v>North Ryde [New South Wales]</v>
      </c>
      <c r="I713" t="str">
        <f>_xlfn.XLOOKUP($E713,Sheet1!$E:$E,Sheet1!I:I)</f>
        <v>Default station</v>
      </c>
      <c r="K713" t="s">
        <v>1728</v>
      </c>
      <c r="L713">
        <v>16017910</v>
      </c>
    </row>
    <row r="714" spans="1:12" x14ac:dyDescent="0.25">
      <c r="A714" t="s">
        <v>20</v>
      </c>
      <c r="B714" t="s">
        <v>24</v>
      </c>
      <c r="C714" t="s">
        <v>863</v>
      </c>
      <c r="E714" t="s">
        <v>21</v>
      </c>
      <c r="F714" t="str">
        <f>_xlfn.XLOOKUP($E714,Sheet1!$E:$E,Sheet1!F:F)</f>
        <v>North Ryde</v>
      </c>
      <c r="G714" t="str">
        <f>_xlfn.XLOOKUP($E714,Sheet1!$E:$E,Sheet1!G:G)</f>
        <v>North Ryde [New South Wales]</v>
      </c>
      <c r="I714" t="str">
        <f>_xlfn.XLOOKUP($E714,Sheet1!$E:$E,Sheet1!I:I)</f>
        <v>Default station</v>
      </c>
      <c r="K714" t="s">
        <v>138</v>
      </c>
      <c r="L714">
        <v>16012374</v>
      </c>
    </row>
    <row r="715" spans="1:12" x14ac:dyDescent="0.25">
      <c r="A715" t="s">
        <v>20</v>
      </c>
      <c r="B715" t="s">
        <v>24</v>
      </c>
      <c r="C715" t="s">
        <v>864</v>
      </c>
      <c r="E715" t="s">
        <v>21</v>
      </c>
      <c r="F715" t="str">
        <f>_xlfn.XLOOKUP($E715,Sheet1!$E:$E,Sheet1!F:F)</f>
        <v>North Ryde</v>
      </c>
      <c r="G715" t="str">
        <f>_xlfn.XLOOKUP($E715,Sheet1!$E:$E,Sheet1!G:G)</f>
        <v>North Ryde [New South Wales]</v>
      </c>
      <c r="I715" t="str">
        <f>_xlfn.XLOOKUP($E715,Sheet1!$E:$E,Sheet1!I:I)</f>
        <v>Default station</v>
      </c>
      <c r="K715" t="s">
        <v>1729</v>
      </c>
      <c r="L715">
        <v>16013452</v>
      </c>
    </row>
    <row r="716" spans="1:12" x14ac:dyDescent="0.25">
      <c r="A716" t="s">
        <v>20</v>
      </c>
      <c r="B716" t="s">
        <v>24</v>
      </c>
      <c r="C716" t="s">
        <v>865</v>
      </c>
      <c r="E716" t="s">
        <v>21</v>
      </c>
      <c r="F716" t="str">
        <f>_xlfn.XLOOKUP($E716,Sheet1!$E:$E,Sheet1!F:F)</f>
        <v>North Ryde</v>
      </c>
      <c r="G716" t="str">
        <f>_xlfn.XLOOKUP($E716,Sheet1!$E:$E,Sheet1!G:G)</f>
        <v>North Ryde [New South Wales]</v>
      </c>
      <c r="I716" t="str">
        <f>_xlfn.XLOOKUP($E716,Sheet1!$E:$E,Sheet1!I:I)</f>
        <v>Default station</v>
      </c>
      <c r="K716" t="s">
        <v>1730</v>
      </c>
      <c r="L716">
        <v>16012391</v>
      </c>
    </row>
    <row r="717" spans="1:12" x14ac:dyDescent="0.25">
      <c r="A717" t="s">
        <v>20</v>
      </c>
      <c r="B717" t="s">
        <v>24</v>
      </c>
      <c r="C717" t="s">
        <v>866</v>
      </c>
      <c r="E717" t="s">
        <v>21</v>
      </c>
      <c r="F717" t="str">
        <f>_xlfn.XLOOKUP($E717,Sheet1!$E:$E,Sheet1!F:F)</f>
        <v>North Ryde</v>
      </c>
      <c r="G717" t="str">
        <f>_xlfn.XLOOKUP($E717,Sheet1!$E:$E,Sheet1!G:G)</f>
        <v>North Ryde [New South Wales]</v>
      </c>
      <c r="I717" t="str">
        <f>_xlfn.XLOOKUP($E717,Sheet1!$E:$E,Sheet1!I:I)</f>
        <v>Default station</v>
      </c>
      <c r="K717" t="s">
        <v>1731</v>
      </c>
      <c r="L717">
        <v>38237001</v>
      </c>
    </row>
    <row r="718" spans="1:12" x14ac:dyDescent="0.25">
      <c r="A718" t="s">
        <v>20</v>
      </c>
      <c r="B718" t="s">
        <v>24</v>
      </c>
      <c r="C718" t="s">
        <v>867</v>
      </c>
      <c r="E718" t="s">
        <v>21</v>
      </c>
      <c r="F718" t="str">
        <f>_xlfn.XLOOKUP($E718,Sheet1!$E:$E,Sheet1!F:F)</f>
        <v>North Ryde</v>
      </c>
      <c r="G718" t="str">
        <f>_xlfn.XLOOKUP($E718,Sheet1!$E:$E,Sheet1!G:G)</f>
        <v>North Ryde [New South Wales]</v>
      </c>
      <c r="I718" t="str">
        <f>_xlfn.XLOOKUP($E718,Sheet1!$E:$E,Sheet1!I:I)</f>
        <v>Default station</v>
      </c>
      <c r="K718" t="s">
        <v>1732</v>
      </c>
      <c r="L718">
        <v>392201</v>
      </c>
    </row>
    <row r="719" spans="1:12" x14ac:dyDescent="0.25">
      <c r="A719" t="s">
        <v>20</v>
      </c>
      <c r="B719" t="s">
        <v>24</v>
      </c>
      <c r="C719" t="s">
        <v>868</v>
      </c>
      <c r="E719" t="s">
        <v>21</v>
      </c>
      <c r="F719" t="str">
        <f>_xlfn.XLOOKUP($E719,Sheet1!$E:$E,Sheet1!F:F)</f>
        <v>North Ryde</v>
      </c>
      <c r="G719" t="str">
        <f>_xlfn.XLOOKUP($E719,Sheet1!$E:$E,Sheet1!G:G)</f>
        <v>North Ryde [New South Wales]</v>
      </c>
      <c r="I719" t="str">
        <f>_xlfn.XLOOKUP($E719,Sheet1!$E:$E,Sheet1!I:I)</f>
        <v>Default station</v>
      </c>
      <c r="K719" t="s">
        <v>1733</v>
      </c>
      <c r="L719">
        <v>38280002</v>
      </c>
    </row>
    <row r="720" spans="1:12" x14ac:dyDescent="0.25">
      <c r="A720" t="s">
        <v>20</v>
      </c>
      <c r="B720" t="s">
        <v>24</v>
      </c>
      <c r="C720" t="s">
        <v>869</v>
      </c>
      <c r="E720" t="s">
        <v>21</v>
      </c>
      <c r="F720" t="str">
        <f>_xlfn.XLOOKUP($E720,Sheet1!$E:$E,Sheet1!F:F)</f>
        <v>North Ryde</v>
      </c>
      <c r="G720" t="str">
        <f>_xlfn.XLOOKUP($E720,Sheet1!$E:$E,Sheet1!G:G)</f>
        <v>North Ryde [New South Wales]</v>
      </c>
      <c r="I720" t="str">
        <f>_xlfn.XLOOKUP($E720,Sheet1!$E:$E,Sheet1!I:I)</f>
        <v>Default station</v>
      </c>
      <c r="K720" t="s">
        <v>68</v>
      </c>
      <c r="L720">
        <v>37740109</v>
      </c>
    </row>
    <row r="721" spans="1:12" x14ac:dyDescent="0.25">
      <c r="A721" t="s">
        <v>20</v>
      </c>
      <c r="B721" t="s">
        <v>24</v>
      </c>
      <c r="C721" t="s">
        <v>870</v>
      </c>
      <c r="E721" t="s">
        <v>21</v>
      </c>
      <c r="F721" t="str">
        <f>_xlfn.XLOOKUP($E721,Sheet1!$E:$E,Sheet1!F:F)</f>
        <v>North Ryde</v>
      </c>
      <c r="G721" t="str">
        <f>_xlfn.XLOOKUP($E721,Sheet1!$E:$E,Sheet1!G:G)</f>
        <v>North Ryde [New South Wales]</v>
      </c>
      <c r="I721" t="str">
        <f>_xlfn.XLOOKUP($E721,Sheet1!$E:$E,Sheet1!I:I)</f>
        <v>Default station</v>
      </c>
      <c r="K721" t="s">
        <v>1734</v>
      </c>
      <c r="L721">
        <v>8210143</v>
      </c>
    </row>
    <row r="722" spans="1:12" x14ac:dyDescent="0.25">
      <c r="A722" t="s">
        <v>20</v>
      </c>
      <c r="B722" t="s">
        <v>24</v>
      </c>
      <c r="C722" t="s">
        <v>871</v>
      </c>
      <c r="E722" t="s">
        <v>21</v>
      </c>
      <c r="F722" t="str">
        <f>_xlfn.XLOOKUP($E722,Sheet1!$E:$E,Sheet1!F:F)</f>
        <v>North Ryde</v>
      </c>
      <c r="G722" t="str">
        <f>_xlfn.XLOOKUP($E722,Sheet1!$E:$E,Sheet1!G:G)</f>
        <v>North Ryde [New South Wales]</v>
      </c>
      <c r="I722" t="str">
        <f>_xlfn.XLOOKUP($E722,Sheet1!$E:$E,Sheet1!I:I)</f>
        <v>Default station</v>
      </c>
      <c r="K722" t="s">
        <v>1735</v>
      </c>
      <c r="L722">
        <v>16017942</v>
      </c>
    </row>
    <row r="723" spans="1:12" x14ac:dyDescent="0.25">
      <c r="A723" t="s">
        <v>20</v>
      </c>
      <c r="B723" t="s">
        <v>24</v>
      </c>
      <c r="C723" t="s">
        <v>872</v>
      </c>
      <c r="E723" t="s">
        <v>21</v>
      </c>
      <c r="F723" t="str">
        <f>_xlfn.XLOOKUP($E723,Sheet1!$E:$E,Sheet1!F:F)</f>
        <v>North Ryde</v>
      </c>
      <c r="G723" t="str">
        <f>_xlfn.XLOOKUP($E723,Sheet1!$E:$E,Sheet1!G:G)</f>
        <v>North Ryde [New South Wales]</v>
      </c>
      <c r="I723" t="str">
        <f>_xlfn.XLOOKUP($E723,Sheet1!$E:$E,Sheet1!I:I)</f>
        <v>Default station</v>
      </c>
      <c r="K723" t="s">
        <v>1736</v>
      </c>
      <c r="L723">
        <v>24150003</v>
      </c>
    </row>
    <row r="724" spans="1:12" x14ac:dyDescent="0.25">
      <c r="A724" t="s">
        <v>20</v>
      </c>
      <c r="B724" t="s">
        <v>24</v>
      </c>
      <c r="C724" t="s">
        <v>873</v>
      </c>
      <c r="E724" t="s">
        <v>21</v>
      </c>
      <c r="F724" t="str">
        <f>_xlfn.XLOOKUP($E724,Sheet1!$E:$E,Sheet1!F:F)</f>
        <v>North Ryde</v>
      </c>
      <c r="G724" t="str">
        <f>_xlfn.XLOOKUP($E724,Sheet1!$E:$E,Sheet1!G:G)</f>
        <v>North Ryde [New South Wales]</v>
      </c>
      <c r="I724" t="str">
        <f>_xlfn.XLOOKUP($E724,Sheet1!$E:$E,Sheet1!I:I)</f>
        <v>Default station</v>
      </c>
      <c r="K724" t="s">
        <v>1737</v>
      </c>
      <c r="L724">
        <v>16017952</v>
      </c>
    </row>
    <row r="725" spans="1:12" x14ac:dyDescent="0.25">
      <c r="A725" t="s">
        <v>20</v>
      </c>
      <c r="B725" t="s">
        <v>24</v>
      </c>
      <c r="C725" t="s">
        <v>874</v>
      </c>
      <c r="E725" t="s">
        <v>21</v>
      </c>
      <c r="F725" t="str">
        <f>_xlfn.XLOOKUP($E725,Sheet1!$E:$E,Sheet1!F:F)</f>
        <v>North Ryde</v>
      </c>
      <c r="G725" t="str">
        <f>_xlfn.XLOOKUP($E725,Sheet1!$E:$E,Sheet1!G:G)</f>
        <v>North Ryde [New South Wales]</v>
      </c>
      <c r="I725" t="str">
        <f>_xlfn.XLOOKUP($E725,Sheet1!$E:$E,Sheet1!I:I)</f>
        <v>Default station</v>
      </c>
      <c r="K725" t="s">
        <v>1738</v>
      </c>
      <c r="L725">
        <v>24160109</v>
      </c>
    </row>
    <row r="726" spans="1:12" x14ac:dyDescent="0.25">
      <c r="A726" t="s">
        <v>20</v>
      </c>
      <c r="B726" t="s">
        <v>24</v>
      </c>
      <c r="C726" t="s">
        <v>875</v>
      </c>
      <c r="E726" t="s">
        <v>21</v>
      </c>
      <c r="F726" t="str">
        <f>_xlfn.XLOOKUP($E726,Sheet1!$E:$E,Sheet1!F:F)</f>
        <v>North Ryde</v>
      </c>
      <c r="G726" t="str">
        <f>_xlfn.XLOOKUP($E726,Sheet1!$E:$E,Sheet1!G:G)</f>
        <v>North Ryde [New South Wales]</v>
      </c>
      <c r="I726" t="str">
        <f>_xlfn.XLOOKUP($E726,Sheet1!$E:$E,Sheet1!I:I)</f>
        <v>Default station</v>
      </c>
      <c r="K726" t="s">
        <v>1739</v>
      </c>
      <c r="L726">
        <v>170628</v>
      </c>
    </row>
    <row r="727" spans="1:12" x14ac:dyDescent="0.25">
      <c r="A727" t="s">
        <v>20</v>
      </c>
      <c r="B727" t="s">
        <v>24</v>
      </c>
      <c r="C727" t="s">
        <v>876</v>
      </c>
      <c r="E727" t="s">
        <v>21</v>
      </c>
      <c r="F727" t="str">
        <f>_xlfn.XLOOKUP($E727,Sheet1!$E:$E,Sheet1!F:F)</f>
        <v>North Ryde</v>
      </c>
      <c r="G727" t="str">
        <f>_xlfn.XLOOKUP($E727,Sheet1!$E:$E,Sheet1!G:G)</f>
        <v>North Ryde [New South Wales]</v>
      </c>
      <c r="I727" t="str">
        <f>_xlfn.XLOOKUP($E727,Sheet1!$E:$E,Sheet1!I:I)</f>
        <v>Default station</v>
      </c>
      <c r="K727" t="s">
        <v>1740</v>
      </c>
      <c r="L727">
        <v>708001</v>
      </c>
    </row>
    <row r="728" spans="1:12" x14ac:dyDescent="0.25">
      <c r="A728" t="s">
        <v>20</v>
      </c>
      <c r="B728" t="s">
        <v>24</v>
      </c>
      <c r="C728" t="s">
        <v>877</v>
      </c>
      <c r="E728" t="s">
        <v>21</v>
      </c>
      <c r="F728" t="str">
        <f>_xlfn.XLOOKUP($E728,Sheet1!$E:$E,Sheet1!F:F)</f>
        <v>North Ryde</v>
      </c>
      <c r="G728" t="str">
        <f>_xlfn.XLOOKUP($E728,Sheet1!$E:$E,Sheet1!G:G)</f>
        <v>North Ryde [New South Wales]</v>
      </c>
      <c r="I728" t="str">
        <f>_xlfn.XLOOKUP($E728,Sheet1!$E:$E,Sheet1!I:I)</f>
        <v>Default station</v>
      </c>
      <c r="K728" t="s">
        <v>1741</v>
      </c>
      <c r="L728">
        <v>16017861</v>
      </c>
    </row>
    <row r="729" spans="1:12" x14ac:dyDescent="0.25">
      <c r="A729" t="s">
        <v>20</v>
      </c>
      <c r="B729" t="s">
        <v>24</v>
      </c>
      <c r="C729" t="s">
        <v>878</v>
      </c>
      <c r="E729" t="s">
        <v>21</v>
      </c>
      <c r="F729" t="str">
        <f>_xlfn.XLOOKUP($E729,Sheet1!$E:$E,Sheet1!F:F)</f>
        <v>North Ryde</v>
      </c>
      <c r="G729" t="str">
        <f>_xlfn.XLOOKUP($E729,Sheet1!$E:$E,Sheet1!G:G)</f>
        <v>North Ryde [New South Wales]</v>
      </c>
      <c r="I729" t="str">
        <f>_xlfn.XLOOKUP($E729,Sheet1!$E:$E,Sheet1!I:I)</f>
        <v>Default station</v>
      </c>
      <c r="K729" t="s">
        <v>1742</v>
      </c>
      <c r="L729">
        <v>16015920</v>
      </c>
    </row>
    <row r="730" spans="1:12" x14ac:dyDescent="0.25">
      <c r="A730" t="s">
        <v>20</v>
      </c>
      <c r="B730" t="s">
        <v>24</v>
      </c>
      <c r="C730" t="s">
        <v>879</v>
      </c>
      <c r="E730" t="s">
        <v>21</v>
      </c>
      <c r="F730" t="str">
        <f>_xlfn.XLOOKUP($E730,Sheet1!$E:$E,Sheet1!F:F)</f>
        <v>North Ryde</v>
      </c>
      <c r="G730" t="str">
        <f>_xlfn.XLOOKUP($E730,Sheet1!$E:$E,Sheet1!G:G)</f>
        <v>North Ryde [New South Wales]</v>
      </c>
      <c r="I730" t="str">
        <f>_xlfn.XLOOKUP($E730,Sheet1!$E:$E,Sheet1!I:I)</f>
        <v>Default station</v>
      </c>
      <c r="K730" t="s">
        <v>1743</v>
      </c>
      <c r="L730">
        <v>16017769</v>
      </c>
    </row>
    <row r="731" spans="1:12" x14ac:dyDescent="0.25">
      <c r="A731" t="s">
        <v>20</v>
      </c>
      <c r="B731" t="s">
        <v>24</v>
      </c>
      <c r="C731" t="s">
        <v>880</v>
      </c>
      <c r="E731" t="s">
        <v>21</v>
      </c>
      <c r="F731" t="str">
        <f>_xlfn.XLOOKUP($E731,Sheet1!$E:$E,Sheet1!F:F)</f>
        <v>North Ryde</v>
      </c>
      <c r="G731" t="str">
        <f>_xlfn.XLOOKUP($E731,Sheet1!$E:$E,Sheet1!G:G)</f>
        <v>North Ryde [New South Wales]</v>
      </c>
      <c r="I731" t="str">
        <f>_xlfn.XLOOKUP($E731,Sheet1!$E:$E,Sheet1!I:I)</f>
        <v>Default station</v>
      </c>
      <c r="K731" t="s">
        <v>1744</v>
      </c>
      <c r="L731">
        <v>16017884</v>
      </c>
    </row>
    <row r="732" spans="1:12" x14ac:dyDescent="0.25">
      <c r="A732" t="s">
        <v>20</v>
      </c>
      <c r="B732" t="s">
        <v>24</v>
      </c>
      <c r="C732" t="s">
        <v>881</v>
      </c>
      <c r="E732" t="s">
        <v>21</v>
      </c>
      <c r="F732" t="str">
        <f>_xlfn.XLOOKUP($E732,Sheet1!$E:$E,Sheet1!F:F)</f>
        <v>North Ryde</v>
      </c>
      <c r="G732" t="str">
        <f>_xlfn.XLOOKUP($E732,Sheet1!$E:$E,Sheet1!G:G)</f>
        <v>North Ryde [New South Wales]</v>
      </c>
      <c r="I732" t="str">
        <f>_xlfn.XLOOKUP($E732,Sheet1!$E:$E,Sheet1!I:I)</f>
        <v>Default station</v>
      </c>
      <c r="K732" t="s">
        <v>1745</v>
      </c>
      <c r="L732">
        <v>16017806</v>
      </c>
    </row>
    <row r="733" spans="1:12" x14ac:dyDescent="0.25">
      <c r="A733" t="s">
        <v>20</v>
      </c>
      <c r="B733" t="s">
        <v>24</v>
      </c>
      <c r="C733" t="s">
        <v>882</v>
      </c>
      <c r="E733" t="s">
        <v>21</v>
      </c>
      <c r="F733" t="str">
        <f>_xlfn.XLOOKUP($E733,Sheet1!$E:$E,Sheet1!F:F)</f>
        <v>North Ryde</v>
      </c>
      <c r="G733" t="str">
        <f>_xlfn.XLOOKUP($E733,Sheet1!$E:$E,Sheet1!G:G)</f>
        <v>North Ryde [New South Wales]</v>
      </c>
      <c r="I733" t="str">
        <f>_xlfn.XLOOKUP($E733,Sheet1!$E:$E,Sheet1!I:I)</f>
        <v>Default station</v>
      </c>
      <c r="K733" t="s">
        <v>1746</v>
      </c>
      <c r="L733">
        <v>16017813</v>
      </c>
    </row>
    <row r="734" spans="1:12" x14ac:dyDescent="0.25">
      <c r="A734" t="s">
        <v>20</v>
      </c>
      <c r="B734" t="s">
        <v>24</v>
      </c>
      <c r="C734" t="s">
        <v>883</v>
      </c>
      <c r="E734" t="s">
        <v>21</v>
      </c>
      <c r="F734" t="str">
        <f>_xlfn.XLOOKUP($E734,Sheet1!$E:$E,Sheet1!F:F)</f>
        <v>North Ryde</v>
      </c>
      <c r="G734" t="str">
        <f>_xlfn.XLOOKUP($E734,Sheet1!$E:$E,Sheet1!G:G)</f>
        <v>North Ryde [New South Wales]</v>
      </c>
      <c r="I734" t="str">
        <f>_xlfn.XLOOKUP($E734,Sheet1!$E:$E,Sheet1!I:I)</f>
        <v>Default station</v>
      </c>
      <c r="K734" t="s">
        <v>1747</v>
      </c>
      <c r="L734">
        <v>16012395</v>
      </c>
    </row>
    <row r="735" spans="1:12" x14ac:dyDescent="0.25">
      <c r="A735" t="s">
        <v>20</v>
      </c>
      <c r="B735" t="s">
        <v>24</v>
      </c>
      <c r="C735" t="s">
        <v>884</v>
      </c>
      <c r="E735" t="s">
        <v>21</v>
      </c>
      <c r="F735" t="str">
        <f>_xlfn.XLOOKUP($E735,Sheet1!$E:$E,Sheet1!F:F)</f>
        <v>North Ryde</v>
      </c>
      <c r="G735" t="str">
        <f>_xlfn.XLOOKUP($E735,Sheet1!$E:$E,Sheet1!G:G)</f>
        <v>North Ryde [New South Wales]</v>
      </c>
      <c r="I735" t="str">
        <f>_xlfn.XLOOKUP($E735,Sheet1!$E:$E,Sheet1!I:I)</f>
        <v>Default station</v>
      </c>
      <c r="K735" t="s">
        <v>1748</v>
      </c>
      <c r="L735">
        <v>16017943</v>
      </c>
    </row>
    <row r="736" spans="1:12" x14ac:dyDescent="0.25">
      <c r="A736" t="s">
        <v>20</v>
      </c>
      <c r="B736" t="s">
        <v>24</v>
      </c>
      <c r="C736" t="s">
        <v>885</v>
      </c>
      <c r="E736" t="s">
        <v>21</v>
      </c>
      <c r="F736" t="str">
        <f>_xlfn.XLOOKUP($E736,Sheet1!$E:$E,Sheet1!F:F)</f>
        <v>North Ryde</v>
      </c>
      <c r="G736" t="str">
        <f>_xlfn.XLOOKUP($E736,Sheet1!$E:$E,Sheet1!G:G)</f>
        <v>North Ryde [New South Wales]</v>
      </c>
      <c r="I736" t="str">
        <f>_xlfn.XLOOKUP($E736,Sheet1!$E:$E,Sheet1!I:I)</f>
        <v>Default station</v>
      </c>
      <c r="K736" t="s">
        <v>1749</v>
      </c>
      <c r="L736">
        <v>709310</v>
      </c>
    </row>
    <row r="737" spans="1:12" x14ac:dyDescent="0.25">
      <c r="A737" t="s">
        <v>20</v>
      </c>
      <c r="B737" t="s">
        <v>24</v>
      </c>
      <c r="C737" t="s">
        <v>886</v>
      </c>
      <c r="E737" t="s">
        <v>21</v>
      </c>
      <c r="F737" t="str">
        <f>_xlfn.XLOOKUP($E737,Sheet1!$E:$E,Sheet1!F:F)</f>
        <v>North Ryde</v>
      </c>
      <c r="G737" t="str">
        <f>_xlfn.XLOOKUP($E737,Sheet1!$E:$E,Sheet1!G:G)</f>
        <v>North Ryde [New South Wales]</v>
      </c>
      <c r="I737" t="str">
        <f>_xlfn.XLOOKUP($E737,Sheet1!$E:$E,Sheet1!I:I)</f>
        <v>Default station</v>
      </c>
      <c r="K737" t="s">
        <v>1750</v>
      </c>
      <c r="L737">
        <v>38275005</v>
      </c>
    </row>
    <row r="738" spans="1:12" x14ac:dyDescent="0.25">
      <c r="A738" t="s">
        <v>20</v>
      </c>
      <c r="B738" t="s">
        <v>24</v>
      </c>
      <c r="C738" t="s">
        <v>887</v>
      </c>
      <c r="E738" t="s">
        <v>21</v>
      </c>
      <c r="F738" t="str">
        <f>_xlfn.XLOOKUP($E738,Sheet1!$E:$E,Sheet1!F:F)</f>
        <v>North Ryde</v>
      </c>
      <c r="G738" t="str">
        <f>_xlfn.XLOOKUP($E738,Sheet1!$E:$E,Sheet1!G:G)</f>
        <v>North Ryde [New South Wales]</v>
      </c>
      <c r="I738" t="str">
        <f>_xlfn.XLOOKUP($E738,Sheet1!$E:$E,Sheet1!I:I)</f>
        <v>Default station</v>
      </c>
      <c r="K738" t="s">
        <v>1751</v>
      </c>
      <c r="L738">
        <v>241813</v>
      </c>
    </row>
    <row r="739" spans="1:12" x14ac:dyDescent="0.25">
      <c r="A739" t="s">
        <v>20</v>
      </c>
      <c r="B739" t="s">
        <v>24</v>
      </c>
      <c r="C739" t="s">
        <v>888</v>
      </c>
      <c r="E739" t="s">
        <v>21</v>
      </c>
      <c r="F739" t="str">
        <f>_xlfn.XLOOKUP($E739,Sheet1!$E:$E,Sheet1!F:F)</f>
        <v>North Ryde</v>
      </c>
      <c r="G739" t="str">
        <f>_xlfn.XLOOKUP($E739,Sheet1!$E:$E,Sheet1!G:G)</f>
        <v>North Ryde [New South Wales]</v>
      </c>
      <c r="I739" t="str">
        <f>_xlfn.XLOOKUP($E739,Sheet1!$E:$E,Sheet1!I:I)</f>
        <v>Default station</v>
      </c>
      <c r="K739" t="s">
        <v>1752</v>
      </c>
      <c r="L739">
        <v>16013754</v>
      </c>
    </row>
    <row r="740" spans="1:12" x14ac:dyDescent="0.25">
      <c r="A740" t="s">
        <v>20</v>
      </c>
      <c r="B740" t="s">
        <v>24</v>
      </c>
      <c r="C740" t="s">
        <v>889</v>
      </c>
      <c r="E740" t="s">
        <v>21</v>
      </c>
      <c r="F740" t="str">
        <f>_xlfn.XLOOKUP($E740,Sheet1!$E:$E,Sheet1!F:F)</f>
        <v>North Ryde</v>
      </c>
      <c r="G740" t="str">
        <f>_xlfn.XLOOKUP($E740,Sheet1!$E:$E,Sheet1!G:G)</f>
        <v>North Ryde [New South Wales]</v>
      </c>
      <c r="I740" t="str">
        <f>_xlfn.XLOOKUP($E740,Sheet1!$E:$E,Sheet1!I:I)</f>
        <v>Default station</v>
      </c>
      <c r="K740" t="s">
        <v>1753</v>
      </c>
      <c r="L740">
        <v>709502</v>
      </c>
    </row>
    <row r="741" spans="1:12" x14ac:dyDescent="0.25">
      <c r="A741" t="s">
        <v>20</v>
      </c>
      <c r="B741" t="s">
        <v>24</v>
      </c>
      <c r="C741" t="s">
        <v>890</v>
      </c>
      <c r="E741" t="s">
        <v>21</v>
      </c>
      <c r="F741" t="str">
        <f>_xlfn.XLOOKUP($E741,Sheet1!$E:$E,Sheet1!F:F)</f>
        <v>North Ryde</v>
      </c>
      <c r="G741" t="str">
        <f>_xlfn.XLOOKUP($E741,Sheet1!$E:$E,Sheet1!G:G)</f>
        <v>North Ryde [New South Wales]</v>
      </c>
      <c r="I741" t="str">
        <f>_xlfn.XLOOKUP($E741,Sheet1!$E:$E,Sheet1!I:I)</f>
        <v>Default station</v>
      </c>
      <c r="K741" t="s">
        <v>1754</v>
      </c>
      <c r="L741">
        <v>16013960</v>
      </c>
    </row>
    <row r="742" spans="1:12" x14ac:dyDescent="0.25">
      <c r="A742" t="s">
        <v>20</v>
      </c>
      <c r="B742" t="s">
        <v>24</v>
      </c>
      <c r="C742" t="s">
        <v>891</v>
      </c>
      <c r="E742" t="s">
        <v>21</v>
      </c>
      <c r="F742" t="str">
        <f>_xlfn.XLOOKUP($E742,Sheet1!$E:$E,Sheet1!F:F)</f>
        <v>North Ryde</v>
      </c>
      <c r="G742" t="str">
        <f>_xlfn.XLOOKUP($E742,Sheet1!$E:$E,Sheet1!G:G)</f>
        <v>North Ryde [New South Wales]</v>
      </c>
      <c r="I742" t="str">
        <f>_xlfn.XLOOKUP($E742,Sheet1!$E:$E,Sheet1!I:I)</f>
        <v>Default station</v>
      </c>
      <c r="K742" t="s">
        <v>1755</v>
      </c>
      <c r="L742">
        <v>170135</v>
      </c>
    </row>
    <row r="743" spans="1:12" x14ac:dyDescent="0.25">
      <c r="A743" t="s">
        <v>20</v>
      </c>
      <c r="B743" t="s">
        <v>24</v>
      </c>
      <c r="C743" t="s">
        <v>892</v>
      </c>
      <c r="E743" t="s">
        <v>21</v>
      </c>
      <c r="F743" t="str">
        <f>_xlfn.XLOOKUP($E743,Sheet1!$E:$E,Sheet1!F:F)</f>
        <v>North Ryde</v>
      </c>
      <c r="G743" t="str">
        <f>_xlfn.XLOOKUP($E743,Sheet1!$E:$E,Sheet1!G:G)</f>
        <v>North Ryde [New South Wales]</v>
      </c>
      <c r="I743" t="str">
        <f>_xlfn.XLOOKUP($E743,Sheet1!$E:$E,Sheet1!I:I)</f>
        <v>Default station</v>
      </c>
      <c r="K743" t="s">
        <v>1756</v>
      </c>
      <c r="L743">
        <v>16017945</v>
      </c>
    </row>
    <row r="744" spans="1:12" x14ac:dyDescent="0.25">
      <c r="A744" t="s">
        <v>20</v>
      </c>
      <c r="B744" t="s">
        <v>24</v>
      </c>
      <c r="C744" t="s">
        <v>893</v>
      </c>
      <c r="E744" t="s">
        <v>21</v>
      </c>
      <c r="F744" t="str">
        <f>_xlfn.XLOOKUP($E744,Sheet1!$E:$E,Sheet1!F:F)</f>
        <v>North Ryde</v>
      </c>
      <c r="G744" t="str">
        <f>_xlfn.XLOOKUP($E744,Sheet1!$E:$E,Sheet1!G:G)</f>
        <v>North Ryde [New South Wales]</v>
      </c>
      <c r="I744" t="str">
        <f>_xlfn.XLOOKUP($E744,Sheet1!$E:$E,Sheet1!I:I)</f>
        <v>Default station</v>
      </c>
      <c r="K744" t="s">
        <v>1757</v>
      </c>
      <c r="L744">
        <v>383005</v>
      </c>
    </row>
    <row r="745" spans="1:12" x14ac:dyDescent="0.25">
      <c r="A745" t="s">
        <v>20</v>
      </c>
      <c r="B745" t="s">
        <v>24</v>
      </c>
      <c r="C745" t="s">
        <v>894</v>
      </c>
      <c r="E745" t="s">
        <v>21</v>
      </c>
      <c r="F745" t="str">
        <f>_xlfn.XLOOKUP($E745,Sheet1!$E:$E,Sheet1!F:F)</f>
        <v>North Ryde</v>
      </c>
      <c r="G745" t="str">
        <f>_xlfn.XLOOKUP($E745,Sheet1!$E:$E,Sheet1!G:G)</f>
        <v>North Ryde [New South Wales]</v>
      </c>
      <c r="I745" t="str">
        <f>_xlfn.XLOOKUP($E745,Sheet1!$E:$E,Sheet1!I:I)</f>
        <v>Default station</v>
      </c>
      <c r="K745" t="s">
        <v>1758</v>
      </c>
      <c r="L745">
        <v>16017828</v>
      </c>
    </row>
    <row r="746" spans="1:12" x14ac:dyDescent="0.25">
      <c r="A746" t="s">
        <v>20</v>
      </c>
      <c r="B746" t="s">
        <v>24</v>
      </c>
      <c r="C746" t="s">
        <v>507</v>
      </c>
      <c r="E746" t="s">
        <v>21</v>
      </c>
      <c r="F746" t="str">
        <f>_xlfn.XLOOKUP($E746,Sheet1!$E:$E,Sheet1!F:F)</f>
        <v>North Ryde</v>
      </c>
      <c r="G746" t="str">
        <f>_xlfn.XLOOKUP($E746,Sheet1!$E:$E,Sheet1!G:G)</f>
        <v>North Ryde [New South Wales]</v>
      </c>
      <c r="I746" t="str">
        <f>_xlfn.XLOOKUP($E746,Sheet1!$E:$E,Sheet1!I:I)</f>
        <v>Default station</v>
      </c>
      <c r="K746" t="s">
        <v>1759</v>
      </c>
      <c r="L746">
        <v>241401</v>
      </c>
    </row>
    <row r="747" spans="1:12" x14ac:dyDescent="0.25">
      <c r="A747" t="s">
        <v>20</v>
      </c>
      <c r="B747" t="s">
        <v>24</v>
      </c>
      <c r="C747" t="s">
        <v>895</v>
      </c>
      <c r="E747" t="s">
        <v>21</v>
      </c>
      <c r="F747" t="str">
        <f>_xlfn.XLOOKUP($E747,Sheet1!$E:$E,Sheet1!F:F)</f>
        <v>North Ryde</v>
      </c>
      <c r="G747" t="str">
        <f>_xlfn.XLOOKUP($E747,Sheet1!$E:$E,Sheet1!G:G)</f>
        <v>North Ryde [New South Wales]</v>
      </c>
      <c r="I747" t="str">
        <f>_xlfn.XLOOKUP($E747,Sheet1!$E:$E,Sheet1!I:I)</f>
        <v>Default station</v>
      </c>
      <c r="K747" t="s">
        <v>1760</v>
      </c>
      <c r="L747">
        <v>16017921</v>
      </c>
    </row>
    <row r="748" spans="1:12" x14ac:dyDescent="0.25">
      <c r="A748" t="s">
        <v>20</v>
      </c>
      <c r="B748" t="s">
        <v>24</v>
      </c>
      <c r="C748" t="s">
        <v>896</v>
      </c>
      <c r="E748" t="s">
        <v>21</v>
      </c>
      <c r="F748" t="str">
        <f>_xlfn.XLOOKUP($E748,Sheet1!$E:$E,Sheet1!F:F)</f>
        <v>North Ryde</v>
      </c>
      <c r="G748" t="str">
        <f>_xlfn.XLOOKUP($E748,Sheet1!$E:$E,Sheet1!G:G)</f>
        <v>North Ryde [New South Wales]</v>
      </c>
      <c r="I748" t="str">
        <f>_xlfn.XLOOKUP($E748,Sheet1!$E:$E,Sheet1!I:I)</f>
        <v>Default station</v>
      </c>
      <c r="K748" t="s">
        <v>1761</v>
      </c>
      <c r="L748">
        <v>8000050</v>
      </c>
    </row>
    <row r="749" spans="1:12" x14ac:dyDescent="0.25">
      <c r="A749" t="s">
        <v>20</v>
      </c>
      <c r="B749" t="s">
        <v>24</v>
      </c>
      <c r="C749" t="s">
        <v>897</v>
      </c>
      <c r="E749" t="s">
        <v>21</v>
      </c>
      <c r="F749" t="str">
        <f>_xlfn.XLOOKUP($E749,Sheet1!$E:$E,Sheet1!F:F)</f>
        <v>North Ryde</v>
      </c>
      <c r="G749" t="str">
        <f>_xlfn.XLOOKUP($E749,Sheet1!$E:$E,Sheet1!G:G)</f>
        <v>North Ryde [New South Wales]</v>
      </c>
      <c r="I749" t="str">
        <f>_xlfn.XLOOKUP($E749,Sheet1!$E:$E,Sheet1!I:I)</f>
        <v>Default station</v>
      </c>
      <c r="K749" t="s">
        <v>1762</v>
      </c>
      <c r="L749">
        <v>16017922</v>
      </c>
    </row>
    <row r="750" spans="1:12" x14ac:dyDescent="0.25">
      <c r="A750" t="s">
        <v>20</v>
      </c>
      <c r="B750" t="s">
        <v>24</v>
      </c>
      <c r="C750" t="s">
        <v>898</v>
      </c>
      <c r="E750" t="s">
        <v>21</v>
      </c>
      <c r="F750" t="str">
        <f>_xlfn.XLOOKUP($E750,Sheet1!$E:$E,Sheet1!F:F)</f>
        <v>North Ryde</v>
      </c>
      <c r="G750" t="str">
        <f>_xlfn.XLOOKUP($E750,Sheet1!$E:$E,Sheet1!G:G)</f>
        <v>North Ryde [New South Wales]</v>
      </c>
      <c r="I750" t="str">
        <f>_xlfn.XLOOKUP($E750,Sheet1!$E:$E,Sheet1!I:I)</f>
        <v>Default station</v>
      </c>
      <c r="K750" t="s">
        <v>63</v>
      </c>
      <c r="L750">
        <v>8150</v>
      </c>
    </row>
    <row r="751" spans="1:12" x14ac:dyDescent="0.25">
      <c r="A751" t="s">
        <v>20</v>
      </c>
      <c r="B751" t="s">
        <v>24</v>
      </c>
      <c r="C751" t="s">
        <v>899</v>
      </c>
      <c r="E751" t="s">
        <v>21</v>
      </c>
      <c r="F751" t="str">
        <f>_xlfn.XLOOKUP($E751,Sheet1!$E:$E,Sheet1!F:F)</f>
        <v>North Ryde</v>
      </c>
      <c r="G751" t="str">
        <f>_xlfn.XLOOKUP($E751,Sheet1!$E:$E,Sheet1!G:G)</f>
        <v>North Ryde [New South Wales]</v>
      </c>
      <c r="I751" t="str">
        <f>_xlfn.XLOOKUP($E751,Sheet1!$E:$E,Sheet1!I:I)</f>
        <v>Default station</v>
      </c>
      <c r="K751" t="s">
        <v>1763</v>
      </c>
      <c r="L751">
        <v>24130111</v>
      </c>
    </row>
    <row r="752" spans="1:12" x14ac:dyDescent="0.25">
      <c r="A752" t="s">
        <v>20</v>
      </c>
      <c r="B752" t="s">
        <v>24</v>
      </c>
      <c r="C752" t="s">
        <v>900</v>
      </c>
      <c r="E752" t="s">
        <v>21</v>
      </c>
      <c r="F752" t="str">
        <f>_xlfn.XLOOKUP($E752,Sheet1!$E:$E,Sheet1!F:F)</f>
        <v>North Ryde</v>
      </c>
      <c r="G752" t="str">
        <f>_xlfn.XLOOKUP($E752,Sheet1!$E:$E,Sheet1!G:G)</f>
        <v>North Ryde [New South Wales]</v>
      </c>
      <c r="I752" t="str">
        <f>_xlfn.XLOOKUP($E752,Sheet1!$E:$E,Sheet1!I:I)</f>
        <v>Default station</v>
      </c>
      <c r="K752" t="s">
        <v>1764</v>
      </c>
      <c r="L752">
        <v>381130</v>
      </c>
    </row>
    <row r="753" spans="1:12" x14ac:dyDescent="0.25">
      <c r="A753" t="s">
        <v>20</v>
      </c>
      <c r="B753" t="s">
        <v>24</v>
      </c>
      <c r="C753" t="s">
        <v>901</v>
      </c>
      <c r="E753" t="s">
        <v>21</v>
      </c>
      <c r="F753" t="str">
        <f>_xlfn.XLOOKUP($E753,Sheet1!$E:$E,Sheet1!F:F)</f>
        <v>North Ryde</v>
      </c>
      <c r="G753" t="str">
        <f>_xlfn.XLOOKUP($E753,Sheet1!$E:$E,Sheet1!G:G)</f>
        <v>North Ryde [New South Wales]</v>
      </c>
      <c r="I753" t="str">
        <f>_xlfn.XLOOKUP($E753,Sheet1!$E:$E,Sheet1!I:I)</f>
        <v>Default station</v>
      </c>
      <c r="K753" t="s">
        <v>1765</v>
      </c>
      <c r="L753">
        <v>38600006</v>
      </c>
    </row>
    <row r="754" spans="1:12" x14ac:dyDescent="0.25">
      <c r="A754" t="s">
        <v>20</v>
      </c>
      <c r="B754" t="s">
        <v>24</v>
      </c>
      <c r="C754" t="s">
        <v>902</v>
      </c>
      <c r="E754" t="s">
        <v>21</v>
      </c>
      <c r="F754" t="str">
        <f>_xlfn.XLOOKUP($E754,Sheet1!$E:$E,Sheet1!F:F)</f>
        <v>North Ryde</v>
      </c>
      <c r="G754" t="str">
        <f>_xlfn.XLOOKUP($E754,Sheet1!$E:$E,Sheet1!G:G)</f>
        <v>North Ryde [New South Wales]</v>
      </c>
      <c r="I754" t="str">
        <f>_xlfn.XLOOKUP($E754,Sheet1!$E:$E,Sheet1!I:I)</f>
        <v>Default station</v>
      </c>
      <c r="K754" t="s">
        <v>1766</v>
      </c>
      <c r="L754">
        <v>241905</v>
      </c>
    </row>
    <row r="755" spans="1:12" x14ac:dyDescent="0.25">
      <c r="A755" t="s">
        <v>20</v>
      </c>
      <c r="B755" t="s">
        <v>24</v>
      </c>
      <c r="C755" t="s">
        <v>903</v>
      </c>
      <c r="E755" t="s">
        <v>21</v>
      </c>
      <c r="F755" t="str">
        <f>_xlfn.XLOOKUP($E755,Sheet1!$E:$E,Sheet1!F:F)</f>
        <v>North Ryde</v>
      </c>
      <c r="G755" t="str">
        <f>_xlfn.XLOOKUP($E755,Sheet1!$E:$E,Sheet1!G:G)</f>
        <v>North Ryde [New South Wales]</v>
      </c>
      <c r="I755" t="str">
        <f>_xlfn.XLOOKUP($E755,Sheet1!$E:$E,Sheet1!I:I)</f>
        <v>Default station</v>
      </c>
      <c r="K755" t="s">
        <v>1767</v>
      </c>
      <c r="L755">
        <v>170859</v>
      </c>
    </row>
    <row r="756" spans="1:12" x14ac:dyDescent="0.25">
      <c r="A756" t="s">
        <v>20</v>
      </c>
      <c r="B756" t="s">
        <v>24</v>
      </c>
      <c r="C756" t="s">
        <v>904</v>
      </c>
      <c r="E756" t="s">
        <v>21</v>
      </c>
      <c r="F756" t="str">
        <f>_xlfn.XLOOKUP($E756,Sheet1!$E:$E,Sheet1!F:F)</f>
        <v>North Ryde</v>
      </c>
      <c r="G756" t="str">
        <f>_xlfn.XLOOKUP($E756,Sheet1!$E:$E,Sheet1!G:G)</f>
        <v>North Ryde [New South Wales]</v>
      </c>
      <c r="I756" t="str">
        <f>_xlfn.XLOOKUP($E756,Sheet1!$E:$E,Sheet1!I:I)</f>
        <v>Default station</v>
      </c>
      <c r="K756" t="s">
        <v>1768</v>
      </c>
      <c r="L756">
        <v>24130039</v>
      </c>
    </row>
    <row r="757" spans="1:12" x14ac:dyDescent="0.25">
      <c r="A757" t="s">
        <v>20</v>
      </c>
      <c r="B757" t="s">
        <v>24</v>
      </c>
      <c r="C757" t="s">
        <v>905</v>
      </c>
      <c r="E757" t="s">
        <v>21</v>
      </c>
      <c r="F757" t="str">
        <f>_xlfn.XLOOKUP($E757,Sheet1!$E:$E,Sheet1!F:F)</f>
        <v>North Ryde</v>
      </c>
      <c r="G757" t="str">
        <f>_xlfn.XLOOKUP($E757,Sheet1!$E:$E,Sheet1!G:G)</f>
        <v>North Ryde [New South Wales]</v>
      </c>
      <c r="I757" t="str">
        <f>_xlfn.XLOOKUP($E757,Sheet1!$E:$E,Sheet1!I:I)</f>
        <v>Default station</v>
      </c>
      <c r="K757" t="s">
        <v>1769</v>
      </c>
      <c r="L757">
        <v>24130030</v>
      </c>
    </row>
    <row r="758" spans="1:12" x14ac:dyDescent="0.25">
      <c r="A758" t="s">
        <v>20</v>
      </c>
      <c r="B758" t="s">
        <v>24</v>
      </c>
      <c r="C758" t="s">
        <v>906</v>
      </c>
      <c r="E758" t="s">
        <v>21</v>
      </c>
      <c r="F758" t="str">
        <f>_xlfn.XLOOKUP($E758,Sheet1!$E:$E,Sheet1!F:F)</f>
        <v>North Ryde</v>
      </c>
      <c r="G758" t="str">
        <f>_xlfn.XLOOKUP($E758,Sheet1!$E:$E,Sheet1!G:G)</f>
        <v>North Ryde [New South Wales]</v>
      </c>
      <c r="I758" t="str">
        <f>_xlfn.XLOOKUP($E758,Sheet1!$E:$E,Sheet1!I:I)</f>
        <v>Default station</v>
      </c>
      <c r="K758" t="s">
        <v>1770</v>
      </c>
      <c r="L758">
        <v>241701</v>
      </c>
    </row>
    <row r="759" spans="1:12" x14ac:dyDescent="0.25">
      <c r="A759" t="s">
        <v>20</v>
      </c>
      <c r="B759" t="s">
        <v>24</v>
      </c>
      <c r="C759" t="s">
        <v>907</v>
      </c>
      <c r="E759" t="s">
        <v>21</v>
      </c>
      <c r="F759" t="str">
        <f>_xlfn.XLOOKUP($E759,Sheet1!$E:$E,Sheet1!F:F)</f>
        <v>North Ryde</v>
      </c>
      <c r="G759" t="str">
        <f>_xlfn.XLOOKUP($E759,Sheet1!$E:$E,Sheet1!G:G)</f>
        <v>North Ryde [New South Wales]</v>
      </c>
      <c r="I759" t="str">
        <f>_xlfn.XLOOKUP($E759,Sheet1!$E:$E,Sheet1!I:I)</f>
        <v>Default station</v>
      </c>
      <c r="K759" t="s">
        <v>1771</v>
      </c>
      <c r="L759">
        <v>24130052</v>
      </c>
    </row>
    <row r="760" spans="1:12" x14ac:dyDescent="0.25">
      <c r="A760" t="s">
        <v>20</v>
      </c>
      <c r="B760" t="s">
        <v>24</v>
      </c>
      <c r="C760" t="s">
        <v>908</v>
      </c>
      <c r="E760" t="s">
        <v>21</v>
      </c>
      <c r="F760" t="str">
        <f>_xlfn.XLOOKUP($E760,Sheet1!$E:$E,Sheet1!F:F)</f>
        <v>North Ryde</v>
      </c>
      <c r="G760" t="str">
        <f>_xlfn.XLOOKUP($E760,Sheet1!$E:$E,Sheet1!G:G)</f>
        <v>North Ryde [New South Wales]</v>
      </c>
      <c r="I760" t="str">
        <f>_xlfn.XLOOKUP($E760,Sheet1!$E:$E,Sheet1!I:I)</f>
        <v>Default station</v>
      </c>
      <c r="K760" t="s">
        <v>1772</v>
      </c>
      <c r="L760">
        <v>241717</v>
      </c>
    </row>
    <row r="761" spans="1:12" x14ac:dyDescent="0.25">
      <c r="A761" t="s">
        <v>20</v>
      </c>
      <c r="B761" t="s">
        <v>24</v>
      </c>
      <c r="C761" t="s">
        <v>909</v>
      </c>
      <c r="E761" t="s">
        <v>21</v>
      </c>
      <c r="F761" t="str">
        <f>_xlfn.XLOOKUP($E761,Sheet1!$E:$E,Sheet1!F:F)</f>
        <v>North Ryde</v>
      </c>
      <c r="G761" t="str">
        <f>_xlfn.XLOOKUP($E761,Sheet1!$E:$E,Sheet1!G:G)</f>
        <v>North Ryde [New South Wales]</v>
      </c>
      <c r="I761" t="str">
        <f>_xlfn.XLOOKUP($E761,Sheet1!$E:$E,Sheet1!I:I)</f>
        <v>Default station</v>
      </c>
      <c r="K761" t="s">
        <v>1773</v>
      </c>
      <c r="L761">
        <v>20041016</v>
      </c>
    </row>
    <row r="762" spans="1:12" x14ac:dyDescent="0.25">
      <c r="A762" t="s">
        <v>20</v>
      </c>
      <c r="B762" t="s">
        <v>24</v>
      </c>
      <c r="C762" t="s">
        <v>910</v>
      </c>
      <c r="E762" t="s">
        <v>21</v>
      </c>
      <c r="F762" t="str">
        <f>_xlfn.XLOOKUP($E762,Sheet1!$E:$E,Sheet1!F:F)</f>
        <v>North Ryde</v>
      </c>
      <c r="G762" t="str">
        <f>_xlfn.XLOOKUP($E762,Sheet1!$E:$E,Sheet1!G:G)</f>
        <v>North Ryde [New South Wales]</v>
      </c>
      <c r="I762" t="str">
        <f>_xlfn.XLOOKUP($E762,Sheet1!$E:$E,Sheet1!I:I)</f>
        <v>Default station</v>
      </c>
      <c r="K762" t="s">
        <v>1774</v>
      </c>
      <c r="L762">
        <v>8512</v>
      </c>
    </row>
    <row r="763" spans="1:12" x14ac:dyDescent="0.25">
      <c r="A763" t="s">
        <v>20</v>
      </c>
      <c r="B763" t="s">
        <v>24</v>
      </c>
      <c r="C763" t="s">
        <v>911</v>
      </c>
      <c r="E763" t="s">
        <v>21</v>
      </c>
      <c r="F763" t="str">
        <f>_xlfn.XLOOKUP($E763,Sheet1!$E:$E,Sheet1!F:F)</f>
        <v>North Ryde</v>
      </c>
      <c r="G763" t="str">
        <f>_xlfn.XLOOKUP($E763,Sheet1!$E:$E,Sheet1!G:G)</f>
        <v>North Ryde [New South Wales]</v>
      </c>
      <c r="I763" t="str">
        <f>_xlfn.XLOOKUP($E763,Sheet1!$E:$E,Sheet1!I:I)</f>
        <v>Default station</v>
      </c>
      <c r="K763" t="s">
        <v>1775</v>
      </c>
      <c r="L763">
        <v>13000860</v>
      </c>
    </row>
    <row r="764" spans="1:12" x14ac:dyDescent="0.25">
      <c r="A764" t="s">
        <v>20</v>
      </c>
      <c r="B764" t="s">
        <v>24</v>
      </c>
      <c r="C764" t="s">
        <v>912</v>
      </c>
      <c r="E764" t="s">
        <v>21</v>
      </c>
      <c r="F764" t="str">
        <f>_xlfn.XLOOKUP($E764,Sheet1!$E:$E,Sheet1!F:F)</f>
        <v>North Ryde</v>
      </c>
      <c r="G764" t="str">
        <f>_xlfn.XLOOKUP($E764,Sheet1!$E:$E,Sheet1!G:G)</f>
        <v>North Ryde [New South Wales]</v>
      </c>
      <c r="I764" t="str">
        <f>_xlfn.XLOOKUP($E764,Sheet1!$E:$E,Sheet1!I:I)</f>
        <v>Default station</v>
      </c>
      <c r="K764" t="s">
        <v>1776</v>
      </c>
      <c r="L764">
        <v>38225126</v>
      </c>
    </row>
    <row r="765" spans="1:12" x14ac:dyDescent="0.25">
      <c r="A765" t="s">
        <v>20</v>
      </c>
      <c r="B765" t="s">
        <v>24</v>
      </c>
      <c r="C765" t="s">
        <v>913</v>
      </c>
      <c r="E765" t="s">
        <v>21</v>
      </c>
      <c r="F765" t="str">
        <f>_xlfn.XLOOKUP($E765,Sheet1!$E:$E,Sheet1!F:F)</f>
        <v>North Ryde</v>
      </c>
      <c r="G765" t="str">
        <f>_xlfn.XLOOKUP($E765,Sheet1!$E:$E,Sheet1!G:G)</f>
        <v>North Ryde [New South Wales]</v>
      </c>
      <c r="I765" t="str">
        <f>_xlfn.XLOOKUP($E765,Sheet1!$E:$E,Sheet1!I:I)</f>
        <v>Default station</v>
      </c>
      <c r="K765" t="s">
        <v>75</v>
      </c>
      <c r="L765">
        <v>38139001</v>
      </c>
    </row>
    <row r="766" spans="1:12" x14ac:dyDescent="0.25">
      <c r="A766" t="s">
        <v>20</v>
      </c>
      <c r="B766" t="s">
        <v>24</v>
      </c>
      <c r="C766" t="s">
        <v>914</v>
      </c>
      <c r="E766" t="s">
        <v>21</v>
      </c>
      <c r="F766" t="str">
        <f>_xlfn.XLOOKUP($E766,Sheet1!$E:$E,Sheet1!F:F)</f>
        <v>North Ryde</v>
      </c>
      <c r="G766" t="str">
        <f>_xlfn.XLOOKUP($E766,Sheet1!$E:$E,Sheet1!G:G)</f>
        <v>North Ryde [New South Wales]</v>
      </c>
      <c r="I766" t="str">
        <f>_xlfn.XLOOKUP($E766,Sheet1!$E:$E,Sheet1!I:I)</f>
        <v>Default station</v>
      </c>
      <c r="K766" t="s">
        <v>1777</v>
      </c>
      <c r="L766">
        <v>16017904</v>
      </c>
    </row>
    <row r="767" spans="1:12" x14ac:dyDescent="0.25">
      <c r="A767" t="s">
        <v>20</v>
      </c>
      <c r="B767" t="s">
        <v>24</v>
      </c>
      <c r="C767" t="s">
        <v>915</v>
      </c>
      <c r="E767" t="s">
        <v>21</v>
      </c>
      <c r="F767" t="str">
        <f>_xlfn.XLOOKUP($E767,Sheet1!$E:$E,Sheet1!F:F)</f>
        <v>North Ryde</v>
      </c>
      <c r="G767" t="str">
        <f>_xlfn.XLOOKUP($E767,Sheet1!$E:$E,Sheet1!G:G)</f>
        <v>North Ryde [New South Wales]</v>
      </c>
      <c r="I767" t="str">
        <f>_xlfn.XLOOKUP($E767,Sheet1!$E:$E,Sheet1!I:I)</f>
        <v>Default station</v>
      </c>
      <c r="K767" t="s">
        <v>1778</v>
      </c>
      <c r="L767">
        <v>234242</v>
      </c>
    </row>
    <row r="768" spans="1:12" x14ac:dyDescent="0.25">
      <c r="A768" t="s">
        <v>20</v>
      </c>
      <c r="B768" t="s">
        <v>24</v>
      </c>
      <c r="C768" t="s">
        <v>916</v>
      </c>
      <c r="E768" t="s">
        <v>21</v>
      </c>
      <c r="F768" t="str">
        <f>_xlfn.XLOOKUP($E768,Sheet1!$E:$E,Sheet1!F:F)</f>
        <v>North Ryde</v>
      </c>
      <c r="G768" t="str">
        <f>_xlfn.XLOOKUP($E768,Sheet1!$E:$E,Sheet1!G:G)</f>
        <v>North Ryde [New South Wales]</v>
      </c>
      <c r="I768" t="str">
        <f>_xlfn.XLOOKUP($E768,Sheet1!$E:$E,Sheet1!I:I)</f>
        <v>Default station</v>
      </c>
      <c r="K768" t="s">
        <v>1779</v>
      </c>
      <c r="L768">
        <v>23010001</v>
      </c>
    </row>
    <row r="769" spans="1:12" x14ac:dyDescent="0.25">
      <c r="A769" t="s">
        <v>20</v>
      </c>
      <c r="B769" t="s">
        <v>24</v>
      </c>
      <c r="C769" t="s">
        <v>917</v>
      </c>
      <c r="E769" t="s">
        <v>21</v>
      </c>
      <c r="F769" t="str">
        <f>_xlfn.XLOOKUP($E769,Sheet1!$E:$E,Sheet1!F:F)</f>
        <v>North Ryde</v>
      </c>
      <c r="G769" t="str">
        <f>_xlfn.XLOOKUP($E769,Sheet1!$E:$E,Sheet1!G:G)</f>
        <v>North Ryde [New South Wales]</v>
      </c>
      <c r="I769" t="str">
        <f>_xlfn.XLOOKUP($E769,Sheet1!$E:$E,Sheet1!I:I)</f>
        <v>Default station</v>
      </c>
      <c r="K769" t="s">
        <v>1780</v>
      </c>
      <c r="L769">
        <v>170534</v>
      </c>
    </row>
    <row r="770" spans="1:12" x14ac:dyDescent="0.25">
      <c r="A770" t="s">
        <v>20</v>
      </c>
      <c r="B770" t="s">
        <v>24</v>
      </c>
      <c r="C770" t="s">
        <v>918</v>
      </c>
      <c r="E770" t="s">
        <v>21</v>
      </c>
      <c r="F770" t="str">
        <f>_xlfn.XLOOKUP($E770,Sheet1!$E:$E,Sheet1!F:F)</f>
        <v>North Ryde</v>
      </c>
      <c r="G770" t="str">
        <f>_xlfn.XLOOKUP($E770,Sheet1!$E:$E,Sheet1!G:G)</f>
        <v>North Ryde [New South Wales]</v>
      </c>
      <c r="I770" t="str">
        <f>_xlfn.XLOOKUP($E770,Sheet1!$E:$E,Sheet1!I:I)</f>
        <v>Default station</v>
      </c>
      <c r="K770" t="s">
        <v>1781</v>
      </c>
      <c r="L770">
        <v>16011512</v>
      </c>
    </row>
    <row r="771" spans="1:12" x14ac:dyDescent="0.25">
      <c r="A771" t="s">
        <v>20</v>
      </c>
      <c r="B771" t="s">
        <v>24</v>
      </c>
      <c r="C771" t="s">
        <v>919</v>
      </c>
      <c r="E771" t="s">
        <v>21</v>
      </c>
      <c r="F771" t="str">
        <f>_xlfn.XLOOKUP($E771,Sheet1!$E:$E,Sheet1!F:F)</f>
        <v>North Ryde</v>
      </c>
      <c r="G771" t="str">
        <f>_xlfn.XLOOKUP($E771,Sheet1!$E:$E,Sheet1!G:G)</f>
        <v>North Ryde [New South Wales]</v>
      </c>
      <c r="I771" t="str">
        <f>_xlfn.XLOOKUP($E771,Sheet1!$E:$E,Sheet1!I:I)</f>
        <v>Default station</v>
      </c>
      <c r="K771" t="s">
        <v>1782</v>
      </c>
      <c r="L771">
        <v>16017772</v>
      </c>
    </row>
    <row r="772" spans="1:12" x14ac:dyDescent="0.25">
      <c r="A772" t="s">
        <v>20</v>
      </c>
      <c r="B772" t="s">
        <v>24</v>
      </c>
      <c r="C772" t="s">
        <v>920</v>
      </c>
      <c r="E772" t="s">
        <v>21</v>
      </c>
      <c r="F772" t="str">
        <f>_xlfn.XLOOKUP($E772,Sheet1!$E:$E,Sheet1!F:F)</f>
        <v>North Ryde</v>
      </c>
      <c r="G772" t="str">
        <f>_xlfn.XLOOKUP($E772,Sheet1!$E:$E,Sheet1!G:G)</f>
        <v>North Ryde [New South Wales]</v>
      </c>
      <c r="I772" t="str">
        <f>_xlfn.XLOOKUP($E772,Sheet1!$E:$E,Sheet1!I:I)</f>
        <v>Default station</v>
      </c>
      <c r="K772" t="s">
        <v>1783</v>
      </c>
      <c r="L772">
        <v>16007560</v>
      </c>
    </row>
    <row r="773" spans="1:12" x14ac:dyDescent="0.25">
      <c r="A773" t="s">
        <v>20</v>
      </c>
      <c r="B773" t="s">
        <v>24</v>
      </c>
      <c r="C773" t="s">
        <v>921</v>
      </c>
      <c r="E773" t="s">
        <v>21</v>
      </c>
      <c r="F773" t="str">
        <f>_xlfn.XLOOKUP($E773,Sheet1!$E:$E,Sheet1!F:F)</f>
        <v>North Ryde</v>
      </c>
      <c r="G773" t="str">
        <f>_xlfn.XLOOKUP($E773,Sheet1!$E:$E,Sheet1!G:G)</f>
        <v>North Ryde [New South Wales]</v>
      </c>
      <c r="I773" t="str">
        <f>_xlfn.XLOOKUP($E773,Sheet1!$E:$E,Sheet1!I:I)</f>
        <v>Default station</v>
      </c>
      <c r="K773" t="s">
        <v>42</v>
      </c>
      <c r="L773">
        <v>23440042</v>
      </c>
    </row>
    <row r="774" spans="1:12" x14ac:dyDescent="0.25">
      <c r="A774" t="s">
        <v>20</v>
      </c>
      <c r="B774" t="s">
        <v>24</v>
      </c>
      <c r="C774" t="s">
        <v>922</v>
      </c>
      <c r="E774" t="s">
        <v>21</v>
      </c>
      <c r="F774" t="str">
        <f>_xlfn.XLOOKUP($E774,Sheet1!$E:$E,Sheet1!F:F)</f>
        <v>North Ryde</v>
      </c>
      <c r="G774" t="str">
        <f>_xlfn.XLOOKUP($E774,Sheet1!$E:$E,Sheet1!G:G)</f>
        <v>North Ryde [New South Wales]</v>
      </c>
      <c r="I774" t="str">
        <f>_xlfn.XLOOKUP($E774,Sheet1!$E:$E,Sheet1!I:I)</f>
        <v>Default station</v>
      </c>
      <c r="K774" t="s">
        <v>1784</v>
      </c>
      <c r="L774">
        <v>16015050</v>
      </c>
    </row>
    <row r="775" spans="1:12" x14ac:dyDescent="0.25">
      <c r="A775" t="s">
        <v>20</v>
      </c>
      <c r="B775" t="s">
        <v>24</v>
      </c>
      <c r="C775" t="s">
        <v>923</v>
      </c>
      <c r="E775" t="s">
        <v>21</v>
      </c>
      <c r="F775" t="str">
        <f>_xlfn.XLOOKUP($E775,Sheet1!$E:$E,Sheet1!F:F)</f>
        <v>North Ryde</v>
      </c>
      <c r="G775" t="str">
        <f>_xlfn.XLOOKUP($E775,Sheet1!$E:$E,Sheet1!G:G)</f>
        <v>North Ryde [New South Wales]</v>
      </c>
      <c r="I775" t="str">
        <f>_xlfn.XLOOKUP($E775,Sheet1!$E:$E,Sheet1!I:I)</f>
        <v>Default station</v>
      </c>
      <c r="K775" t="s">
        <v>1785</v>
      </c>
      <c r="L775">
        <v>16017929</v>
      </c>
    </row>
    <row r="776" spans="1:12" x14ac:dyDescent="0.25">
      <c r="A776" t="s">
        <v>20</v>
      </c>
      <c r="B776" t="s">
        <v>24</v>
      </c>
      <c r="C776" t="s">
        <v>924</v>
      </c>
      <c r="E776" t="s">
        <v>21</v>
      </c>
      <c r="F776" t="str">
        <f>_xlfn.XLOOKUP($E776,Sheet1!$E:$E,Sheet1!F:F)</f>
        <v>North Ryde</v>
      </c>
      <c r="G776" t="str">
        <f>_xlfn.XLOOKUP($E776,Sheet1!$E:$E,Sheet1!G:G)</f>
        <v>North Ryde [New South Wales]</v>
      </c>
      <c r="I776" t="str">
        <f>_xlfn.XLOOKUP($E776,Sheet1!$E:$E,Sheet1!I:I)</f>
        <v>Default station</v>
      </c>
      <c r="K776" t="s">
        <v>1786</v>
      </c>
      <c r="L776">
        <v>170524</v>
      </c>
    </row>
    <row r="777" spans="1:12" x14ac:dyDescent="0.25">
      <c r="A777" t="s">
        <v>20</v>
      </c>
      <c r="B777" t="s">
        <v>24</v>
      </c>
      <c r="C777" t="s">
        <v>925</v>
      </c>
      <c r="E777" t="s">
        <v>21</v>
      </c>
      <c r="F777" t="str">
        <f>_xlfn.XLOOKUP($E777,Sheet1!$E:$E,Sheet1!F:F)</f>
        <v>North Ryde</v>
      </c>
      <c r="G777" t="str">
        <f>_xlfn.XLOOKUP($E777,Sheet1!$E:$E,Sheet1!G:G)</f>
        <v>North Ryde [New South Wales]</v>
      </c>
      <c r="I777" t="str">
        <f>_xlfn.XLOOKUP($E777,Sheet1!$E:$E,Sheet1!I:I)</f>
        <v>Default station</v>
      </c>
      <c r="K777" t="s">
        <v>1787</v>
      </c>
      <c r="L777">
        <v>16017964</v>
      </c>
    </row>
    <row r="778" spans="1:12" x14ac:dyDescent="0.25">
      <c r="A778" t="s">
        <v>20</v>
      </c>
      <c r="B778" t="s">
        <v>24</v>
      </c>
      <c r="C778" t="s">
        <v>926</v>
      </c>
      <c r="E778" t="s">
        <v>21</v>
      </c>
      <c r="F778" t="str">
        <f>_xlfn.XLOOKUP($E778,Sheet1!$E:$E,Sheet1!F:F)</f>
        <v>North Ryde</v>
      </c>
      <c r="G778" t="str">
        <f>_xlfn.XLOOKUP($E778,Sheet1!$E:$E,Sheet1!G:G)</f>
        <v>North Ryde [New South Wales]</v>
      </c>
      <c r="I778" t="str">
        <f>_xlfn.XLOOKUP($E778,Sheet1!$E:$E,Sheet1!I:I)</f>
        <v>Default station</v>
      </c>
      <c r="K778" t="s">
        <v>1788</v>
      </c>
      <c r="L778">
        <v>241115</v>
      </c>
    </row>
    <row r="779" spans="1:12" x14ac:dyDescent="0.25">
      <c r="A779" t="s">
        <v>20</v>
      </c>
      <c r="B779" t="s">
        <v>24</v>
      </c>
      <c r="C779" t="s">
        <v>927</v>
      </c>
      <c r="E779" t="s">
        <v>21</v>
      </c>
      <c r="F779" t="str">
        <f>_xlfn.XLOOKUP($E779,Sheet1!$E:$E,Sheet1!F:F)</f>
        <v>North Ryde</v>
      </c>
      <c r="G779" t="str">
        <f>_xlfn.XLOOKUP($E779,Sheet1!$E:$E,Sheet1!G:G)</f>
        <v>North Ryde [New South Wales]</v>
      </c>
      <c r="I779" t="str">
        <f>_xlfn.XLOOKUP($E779,Sheet1!$E:$E,Sheet1!I:I)</f>
        <v>Default station</v>
      </c>
      <c r="K779" t="s">
        <v>1789</v>
      </c>
      <c r="L779">
        <v>16017883</v>
      </c>
    </row>
    <row r="780" spans="1:12" x14ac:dyDescent="0.25">
      <c r="A780" t="s">
        <v>20</v>
      </c>
      <c r="B780" t="s">
        <v>24</v>
      </c>
      <c r="C780" t="s">
        <v>928</v>
      </c>
      <c r="E780" t="s">
        <v>21</v>
      </c>
      <c r="F780" t="str">
        <f>_xlfn.XLOOKUP($E780,Sheet1!$E:$E,Sheet1!F:F)</f>
        <v>North Ryde</v>
      </c>
      <c r="G780" t="str">
        <f>_xlfn.XLOOKUP($E780,Sheet1!$E:$E,Sheet1!G:G)</f>
        <v>North Ryde [New South Wales]</v>
      </c>
      <c r="I780" t="str">
        <f>_xlfn.XLOOKUP($E780,Sheet1!$E:$E,Sheet1!I:I)</f>
        <v>Default station</v>
      </c>
      <c r="K780" t="s">
        <v>1790</v>
      </c>
      <c r="L780">
        <v>16017908</v>
      </c>
    </row>
    <row r="781" spans="1:12" x14ac:dyDescent="0.25">
      <c r="A781" t="s">
        <v>20</v>
      </c>
      <c r="B781" t="s">
        <v>24</v>
      </c>
      <c r="C781" t="s">
        <v>929</v>
      </c>
      <c r="E781" t="s">
        <v>21</v>
      </c>
      <c r="F781" t="str">
        <f>_xlfn.XLOOKUP($E781,Sheet1!$E:$E,Sheet1!F:F)</f>
        <v>North Ryde</v>
      </c>
      <c r="G781" t="str">
        <f>_xlfn.XLOOKUP($E781,Sheet1!$E:$E,Sheet1!G:G)</f>
        <v>North Ryde [New South Wales]</v>
      </c>
      <c r="I781" t="str">
        <f>_xlfn.XLOOKUP($E781,Sheet1!$E:$E,Sheet1!I:I)</f>
        <v>Default station</v>
      </c>
      <c r="K781" t="s">
        <v>1791</v>
      </c>
      <c r="L781">
        <v>170229</v>
      </c>
    </row>
    <row r="782" spans="1:12" x14ac:dyDescent="0.25">
      <c r="A782" t="s">
        <v>20</v>
      </c>
      <c r="B782" t="s">
        <v>24</v>
      </c>
      <c r="C782" t="s">
        <v>930</v>
      </c>
      <c r="E782" t="s">
        <v>21</v>
      </c>
      <c r="F782" t="str">
        <f>_xlfn.XLOOKUP($E782,Sheet1!$E:$E,Sheet1!F:F)</f>
        <v>North Ryde</v>
      </c>
      <c r="G782" t="str">
        <f>_xlfn.XLOOKUP($E782,Sheet1!$E:$E,Sheet1!G:G)</f>
        <v>North Ryde [New South Wales]</v>
      </c>
      <c r="I782" t="str">
        <f>_xlfn.XLOOKUP($E782,Sheet1!$E:$E,Sheet1!I:I)</f>
        <v>Default station</v>
      </c>
      <c r="K782" t="s">
        <v>1792</v>
      </c>
      <c r="L782">
        <v>16017963</v>
      </c>
    </row>
    <row r="783" spans="1:12" x14ac:dyDescent="0.25">
      <c r="A783" t="s">
        <v>20</v>
      </c>
      <c r="B783" t="s">
        <v>24</v>
      </c>
      <c r="C783" t="s">
        <v>931</v>
      </c>
      <c r="E783" t="s">
        <v>21</v>
      </c>
      <c r="F783" t="str">
        <f>_xlfn.XLOOKUP($E783,Sheet1!$E:$E,Sheet1!F:F)</f>
        <v>North Ryde</v>
      </c>
      <c r="G783" t="str">
        <f>_xlfn.XLOOKUP($E783,Sheet1!$E:$E,Sheet1!G:G)</f>
        <v>North Ryde [New South Wales]</v>
      </c>
      <c r="I783" t="str">
        <f>_xlfn.XLOOKUP($E783,Sheet1!$E:$E,Sheet1!I:I)</f>
        <v>Default station</v>
      </c>
      <c r="K783" t="s">
        <v>1793</v>
      </c>
      <c r="L783">
        <v>38225128</v>
      </c>
    </row>
    <row r="784" spans="1:12" x14ac:dyDescent="0.25">
      <c r="A784" t="s">
        <v>20</v>
      </c>
      <c r="B784" t="s">
        <v>24</v>
      </c>
      <c r="C784" t="s">
        <v>932</v>
      </c>
      <c r="E784" t="s">
        <v>21</v>
      </c>
      <c r="F784" t="str">
        <f>_xlfn.XLOOKUP($E784,Sheet1!$E:$E,Sheet1!F:F)</f>
        <v>North Ryde</v>
      </c>
      <c r="G784" t="str">
        <f>_xlfn.XLOOKUP($E784,Sheet1!$E:$E,Sheet1!G:G)</f>
        <v>North Ryde [New South Wales]</v>
      </c>
      <c r="I784" t="str">
        <f>_xlfn.XLOOKUP($E784,Sheet1!$E:$E,Sheet1!I:I)</f>
        <v>Default station</v>
      </c>
      <c r="K784" t="s">
        <v>1794</v>
      </c>
      <c r="L784">
        <v>16017788</v>
      </c>
    </row>
    <row r="785" spans="1:12" x14ac:dyDescent="0.25">
      <c r="A785" t="s">
        <v>20</v>
      </c>
      <c r="B785" t="s">
        <v>24</v>
      </c>
      <c r="C785" t="s">
        <v>933</v>
      </c>
      <c r="E785" t="s">
        <v>21</v>
      </c>
      <c r="F785" t="str">
        <f>_xlfn.XLOOKUP($E785,Sheet1!$E:$E,Sheet1!F:F)</f>
        <v>North Ryde</v>
      </c>
      <c r="G785" t="str">
        <f>_xlfn.XLOOKUP($E785,Sheet1!$E:$E,Sheet1!G:G)</f>
        <v>North Ryde [New South Wales]</v>
      </c>
      <c r="I785" t="str">
        <f>_xlfn.XLOOKUP($E785,Sheet1!$E:$E,Sheet1!I:I)</f>
        <v>Default station</v>
      </c>
      <c r="K785" t="s">
        <v>1795</v>
      </c>
      <c r="L785">
        <v>8515</v>
      </c>
    </row>
    <row r="786" spans="1:12" x14ac:dyDescent="0.25">
      <c r="A786" t="s">
        <v>20</v>
      </c>
      <c r="B786" t="s">
        <v>24</v>
      </c>
      <c r="C786" t="s">
        <v>934</v>
      </c>
      <c r="E786" t="s">
        <v>21</v>
      </c>
      <c r="F786" t="str">
        <f>_xlfn.XLOOKUP($E786,Sheet1!$E:$E,Sheet1!F:F)</f>
        <v>North Ryde</v>
      </c>
      <c r="G786" t="str">
        <f>_xlfn.XLOOKUP($E786,Sheet1!$E:$E,Sheet1!G:G)</f>
        <v>North Ryde [New South Wales]</v>
      </c>
      <c r="I786" t="str">
        <f>_xlfn.XLOOKUP($E786,Sheet1!$E:$E,Sheet1!I:I)</f>
        <v>Default station</v>
      </c>
      <c r="K786" t="s">
        <v>1796</v>
      </c>
      <c r="L786">
        <v>16017771</v>
      </c>
    </row>
    <row r="787" spans="1:12" x14ac:dyDescent="0.25">
      <c r="A787" t="s">
        <v>20</v>
      </c>
      <c r="B787" t="s">
        <v>24</v>
      </c>
      <c r="C787" t="s">
        <v>935</v>
      </c>
      <c r="E787" t="s">
        <v>21</v>
      </c>
      <c r="F787" t="str">
        <f>_xlfn.XLOOKUP($E787,Sheet1!$E:$E,Sheet1!F:F)</f>
        <v>North Ryde</v>
      </c>
      <c r="G787" t="str">
        <f>_xlfn.XLOOKUP($E787,Sheet1!$E:$E,Sheet1!G:G)</f>
        <v>North Ryde [New South Wales]</v>
      </c>
      <c r="I787" t="str">
        <f>_xlfn.XLOOKUP($E787,Sheet1!$E:$E,Sheet1!I:I)</f>
        <v>Default station</v>
      </c>
      <c r="K787" t="s">
        <v>1797</v>
      </c>
      <c r="L787">
        <v>38210069</v>
      </c>
    </row>
    <row r="788" spans="1:12" x14ac:dyDescent="0.25">
      <c r="A788" t="s">
        <v>20</v>
      </c>
      <c r="B788" t="s">
        <v>24</v>
      </c>
      <c r="C788" t="s">
        <v>617</v>
      </c>
      <c r="E788" t="s">
        <v>21</v>
      </c>
      <c r="F788" t="str">
        <f>_xlfn.XLOOKUP($E788,Sheet1!$E:$E,Sheet1!F:F)</f>
        <v>North Ryde</v>
      </c>
      <c r="G788" t="str">
        <f>_xlfn.XLOOKUP($E788,Sheet1!$E:$E,Sheet1!G:G)</f>
        <v>North Ryde [New South Wales]</v>
      </c>
      <c r="I788" t="str">
        <f>_xlfn.XLOOKUP($E788,Sheet1!$E:$E,Sheet1!I:I)</f>
        <v>Default station</v>
      </c>
      <c r="K788" t="s">
        <v>1798</v>
      </c>
      <c r="L788">
        <v>38220021</v>
      </c>
    </row>
    <row r="789" spans="1:12" x14ac:dyDescent="0.25">
      <c r="A789" t="s">
        <v>20</v>
      </c>
      <c r="B789" t="s">
        <v>24</v>
      </c>
      <c r="C789" t="s">
        <v>936</v>
      </c>
      <c r="E789" t="s">
        <v>21</v>
      </c>
      <c r="F789" t="str">
        <f>_xlfn.XLOOKUP($E789,Sheet1!$E:$E,Sheet1!F:F)</f>
        <v>North Ryde</v>
      </c>
      <c r="G789" t="str">
        <f>_xlfn.XLOOKUP($E789,Sheet1!$E:$E,Sheet1!G:G)</f>
        <v>North Ryde [New South Wales]</v>
      </c>
      <c r="I789" t="str">
        <f>_xlfn.XLOOKUP($E789,Sheet1!$E:$E,Sheet1!I:I)</f>
        <v>Default station</v>
      </c>
      <c r="K789" t="s">
        <v>1799</v>
      </c>
      <c r="L789">
        <v>2413009501</v>
      </c>
    </row>
    <row r="790" spans="1:12" x14ac:dyDescent="0.25">
      <c r="A790" t="s">
        <v>20</v>
      </c>
      <c r="B790" t="s">
        <v>24</v>
      </c>
      <c r="C790" t="s">
        <v>937</v>
      </c>
      <c r="E790" t="s">
        <v>21</v>
      </c>
      <c r="F790" t="str">
        <f>_xlfn.XLOOKUP($E790,Sheet1!$E:$E,Sheet1!F:F)</f>
        <v>North Ryde</v>
      </c>
      <c r="G790" t="str">
        <f>_xlfn.XLOOKUP($E790,Sheet1!$E:$E,Sheet1!G:G)</f>
        <v>North Ryde [New South Wales]</v>
      </c>
      <c r="I790" t="str">
        <f>_xlfn.XLOOKUP($E790,Sheet1!$E:$E,Sheet1!I:I)</f>
        <v>Default station</v>
      </c>
      <c r="K790" t="s">
        <v>1800</v>
      </c>
      <c r="L790">
        <v>241315</v>
      </c>
    </row>
    <row r="791" spans="1:12" x14ac:dyDescent="0.25">
      <c r="A791" t="s">
        <v>20</v>
      </c>
      <c r="B791" t="s">
        <v>24</v>
      </c>
      <c r="C791" t="s">
        <v>938</v>
      </c>
      <c r="E791" t="s">
        <v>21</v>
      </c>
      <c r="F791" t="str">
        <f>_xlfn.XLOOKUP($E791,Sheet1!$E:$E,Sheet1!F:F)</f>
        <v>North Ryde</v>
      </c>
      <c r="G791" t="str">
        <f>_xlfn.XLOOKUP($E791,Sheet1!$E:$E,Sheet1!G:G)</f>
        <v>North Ryde [New South Wales]</v>
      </c>
      <c r="I791" t="str">
        <f>_xlfn.XLOOKUP($E791,Sheet1!$E:$E,Sheet1!I:I)</f>
        <v>Default station</v>
      </c>
      <c r="K791" t="s">
        <v>1801</v>
      </c>
      <c r="L791">
        <v>241812</v>
      </c>
    </row>
    <row r="792" spans="1:12" x14ac:dyDescent="0.25">
      <c r="A792" t="s">
        <v>20</v>
      </c>
      <c r="B792" t="s">
        <v>24</v>
      </c>
      <c r="C792" t="s">
        <v>939</v>
      </c>
      <c r="E792" t="s">
        <v>21</v>
      </c>
      <c r="F792" t="str">
        <f>_xlfn.XLOOKUP($E792,Sheet1!$E:$E,Sheet1!F:F)</f>
        <v>North Ryde</v>
      </c>
      <c r="G792" t="str">
        <f>_xlfn.XLOOKUP($E792,Sheet1!$E:$E,Sheet1!G:G)</f>
        <v>North Ryde [New South Wales]</v>
      </c>
      <c r="I792" t="str">
        <f>_xlfn.XLOOKUP($E792,Sheet1!$E:$E,Sheet1!I:I)</f>
        <v>Default station</v>
      </c>
      <c r="K792" t="s">
        <v>1802</v>
      </c>
      <c r="L792">
        <v>241308</v>
      </c>
    </row>
    <row r="793" spans="1:12" x14ac:dyDescent="0.25">
      <c r="A793" t="s">
        <v>20</v>
      </c>
      <c r="B793" t="s">
        <v>24</v>
      </c>
      <c r="C793" t="s">
        <v>940</v>
      </c>
      <c r="E793" t="s">
        <v>21</v>
      </c>
      <c r="F793" t="str">
        <f>_xlfn.XLOOKUP($E793,Sheet1!$E:$E,Sheet1!F:F)</f>
        <v>North Ryde</v>
      </c>
      <c r="G793" t="str">
        <f>_xlfn.XLOOKUP($E793,Sheet1!$E:$E,Sheet1!G:G)</f>
        <v>North Ryde [New South Wales]</v>
      </c>
      <c r="I793" t="str">
        <f>_xlfn.XLOOKUP($E793,Sheet1!$E:$E,Sheet1!I:I)</f>
        <v>Default station</v>
      </c>
      <c r="K793" t="s">
        <v>1803</v>
      </c>
      <c r="L793">
        <v>242117</v>
      </c>
    </row>
    <row r="794" spans="1:12" x14ac:dyDescent="0.25">
      <c r="A794" t="s">
        <v>20</v>
      </c>
      <c r="B794" t="s">
        <v>24</v>
      </c>
      <c r="C794" t="s">
        <v>941</v>
      </c>
      <c r="E794" t="s">
        <v>21</v>
      </c>
      <c r="F794" t="str">
        <f>_xlfn.XLOOKUP($E794,Sheet1!$E:$E,Sheet1!F:F)</f>
        <v>North Ryde</v>
      </c>
      <c r="G794" t="str">
        <f>_xlfn.XLOOKUP($E794,Sheet1!$E:$E,Sheet1!G:G)</f>
        <v>North Ryde [New South Wales]</v>
      </c>
      <c r="I794" t="str">
        <f>_xlfn.XLOOKUP($E794,Sheet1!$E:$E,Sheet1!I:I)</f>
        <v>Default station</v>
      </c>
      <c r="K794" t="s">
        <v>1804</v>
      </c>
      <c r="L794">
        <v>241745</v>
      </c>
    </row>
    <row r="795" spans="1:12" x14ac:dyDescent="0.25">
      <c r="A795" t="s">
        <v>20</v>
      </c>
      <c r="B795" t="s">
        <v>24</v>
      </c>
      <c r="C795" t="s">
        <v>942</v>
      </c>
      <c r="E795" t="s">
        <v>21</v>
      </c>
      <c r="F795" t="str">
        <f>_xlfn.XLOOKUP($E795,Sheet1!$E:$E,Sheet1!F:F)</f>
        <v>North Ryde</v>
      </c>
      <c r="G795" t="str">
        <f>_xlfn.XLOOKUP($E795,Sheet1!$E:$E,Sheet1!G:G)</f>
        <v>North Ryde [New South Wales]</v>
      </c>
      <c r="I795" t="str">
        <f>_xlfn.XLOOKUP($E795,Sheet1!$E:$E,Sheet1!I:I)</f>
        <v>Default station</v>
      </c>
      <c r="K795" t="s">
        <v>116</v>
      </c>
      <c r="L795">
        <v>252102</v>
      </c>
    </row>
    <row r="796" spans="1:12" x14ac:dyDescent="0.25">
      <c r="A796" t="s">
        <v>20</v>
      </c>
      <c r="B796" t="s">
        <v>24</v>
      </c>
      <c r="C796" t="s">
        <v>938</v>
      </c>
      <c r="E796" t="s">
        <v>21</v>
      </c>
      <c r="F796" t="str">
        <f>_xlfn.XLOOKUP($E796,Sheet1!$E:$E,Sheet1!F:F)</f>
        <v>North Ryde</v>
      </c>
      <c r="G796" t="str">
        <f>_xlfn.XLOOKUP($E796,Sheet1!$E:$E,Sheet1!G:G)</f>
        <v>North Ryde [New South Wales]</v>
      </c>
      <c r="I796" t="str">
        <f>_xlfn.XLOOKUP($E796,Sheet1!$E:$E,Sheet1!I:I)</f>
        <v>Default station</v>
      </c>
      <c r="K796" t="s">
        <v>1805</v>
      </c>
      <c r="L796">
        <v>24180045</v>
      </c>
    </row>
    <row r="797" spans="1:12" x14ac:dyDescent="0.25">
      <c r="A797" t="s">
        <v>20</v>
      </c>
      <c r="B797" t="s">
        <v>24</v>
      </c>
      <c r="C797" t="s">
        <v>943</v>
      </c>
      <c r="E797" t="s">
        <v>21</v>
      </c>
      <c r="F797" t="str">
        <f>_xlfn.XLOOKUP($E797,Sheet1!$E:$E,Sheet1!F:F)</f>
        <v>North Ryde</v>
      </c>
      <c r="G797" t="str">
        <f>_xlfn.XLOOKUP($E797,Sheet1!$E:$E,Sheet1!G:G)</f>
        <v>North Ryde [New South Wales]</v>
      </c>
      <c r="I797" t="str">
        <f>_xlfn.XLOOKUP($E797,Sheet1!$E:$E,Sheet1!I:I)</f>
        <v>Default station</v>
      </c>
      <c r="K797" t="s">
        <v>1806</v>
      </c>
      <c r="L797">
        <v>38250008</v>
      </c>
    </row>
    <row r="798" spans="1:12" x14ac:dyDescent="0.25">
      <c r="A798" t="s">
        <v>20</v>
      </c>
      <c r="B798" t="s">
        <v>24</v>
      </c>
      <c r="C798" t="s">
        <v>944</v>
      </c>
      <c r="E798" t="s">
        <v>21</v>
      </c>
      <c r="F798" t="str">
        <f>_xlfn.XLOOKUP($E798,Sheet1!$E:$E,Sheet1!F:F)</f>
        <v>North Ryde</v>
      </c>
      <c r="G798" t="str">
        <f>_xlfn.XLOOKUP($E798,Sheet1!$E:$E,Sheet1!G:G)</f>
        <v>North Ryde [New South Wales]</v>
      </c>
      <c r="I798" t="str">
        <f>_xlfn.XLOOKUP($E798,Sheet1!$E:$E,Sheet1!I:I)</f>
        <v>Default station</v>
      </c>
      <c r="K798" t="s">
        <v>1807</v>
      </c>
      <c r="L798">
        <v>16017905</v>
      </c>
    </row>
    <row r="799" spans="1:12" x14ac:dyDescent="0.25">
      <c r="A799" t="s">
        <v>20</v>
      </c>
      <c r="B799" t="s">
        <v>24</v>
      </c>
      <c r="C799" t="s">
        <v>945</v>
      </c>
      <c r="E799" t="s">
        <v>21</v>
      </c>
      <c r="F799" t="str">
        <f>_xlfn.XLOOKUP($E799,Sheet1!$E:$E,Sheet1!F:F)</f>
        <v>North Ryde</v>
      </c>
      <c r="G799" t="str">
        <f>_xlfn.XLOOKUP($E799,Sheet1!$E:$E,Sheet1!G:G)</f>
        <v>North Ryde [New South Wales]</v>
      </c>
      <c r="I799" t="str">
        <f>_xlfn.XLOOKUP($E799,Sheet1!$E:$E,Sheet1!I:I)</f>
        <v>Default station</v>
      </c>
      <c r="K799" t="s">
        <v>1808</v>
      </c>
      <c r="L799">
        <v>16017811</v>
      </c>
    </row>
    <row r="800" spans="1:12" x14ac:dyDescent="0.25">
      <c r="A800" t="s">
        <v>20</v>
      </c>
      <c r="B800" t="s">
        <v>24</v>
      </c>
      <c r="C800" t="s">
        <v>946</v>
      </c>
      <c r="E800" t="s">
        <v>21</v>
      </c>
      <c r="F800" t="str">
        <f>_xlfn.XLOOKUP($E800,Sheet1!$E:$E,Sheet1!F:F)</f>
        <v>North Ryde</v>
      </c>
      <c r="G800" t="str">
        <f>_xlfn.XLOOKUP($E800,Sheet1!$E:$E,Sheet1!G:G)</f>
        <v>North Ryde [New South Wales]</v>
      </c>
      <c r="I800" t="str">
        <f>_xlfn.XLOOKUP($E800,Sheet1!$E:$E,Sheet1!I:I)</f>
        <v>Default station</v>
      </c>
      <c r="K800" t="s">
        <v>1809</v>
      </c>
      <c r="L800">
        <v>16017909</v>
      </c>
    </row>
    <row r="801" spans="1:12" x14ac:dyDescent="0.25">
      <c r="A801" t="s">
        <v>20</v>
      </c>
      <c r="B801" t="s">
        <v>24</v>
      </c>
      <c r="C801" t="s">
        <v>947</v>
      </c>
      <c r="E801" t="s">
        <v>21</v>
      </c>
      <c r="F801" t="str">
        <f>_xlfn.XLOOKUP($E801,Sheet1!$E:$E,Sheet1!F:F)</f>
        <v>North Ryde</v>
      </c>
      <c r="G801" t="str">
        <f>_xlfn.XLOOKUP($E801,Sheet1!$E:$E,Sheet1!G:G)</f>
        <v>North Ryde [New South Wales]</v>
      </c>
      <c r="I801" t="str">
        <f>_xlfn.XLOOKUP($E801,Sheet1!$E:$E,Sheet1!I:I)</f>
        <v>Default station</v>
      </c>
      <c r="K801" t="s">
        <v>1810</v>
      </c>
      <c r="L801">
        <v>170274</v>
      </c>
    </row>
    <row r="802" spans="1:12" x14ac:dyDescent="0.25">
      <c r="A802" t="s">
        <v>20</v>
      </c>
      <c r="B802" t="s">
        <v>24</v>
      </c>
      <c r="C802" t="s">
        <v>948</v>
      </c>
      <c r="E802" t="s">
        <v>21</v>
      </c>
      <c r="F802" t="str">
        <f>_xlfn.XLOOKUP($E802,Sheet1!$E:$E,Sheet1!F:F)</f>
        <v>North Ryde</v>
      </c>
      <c r="G802" t="str">
        <f>_xlfn.XLOOKUP($E802,Sheet1!$E:$E,Sheet1!G:G)</f>
        <v>North Ryde [New South Wales]</v>
      </c>
      <c r="I802" t="str">
        <f>_xlfn.XLOOKUP($E802,Sheet1!$E:$E,Sheet1!I:I)</f>
        <v>Default station</v>
      </c>
      <c r="K802" t="s">
        <v>1811</v>
      </c>
      <c r="L802">
        <v>16017925</v>
      </c>
    </row>
    <row r="803" spans="1:12" x14ac:dyDescent="0.25">
      <c r="A803" t="s">
        <v>20</v>
      </c>
      <c r="B803" t="s">
        <v>24</v>
      </c>
      <c r="C803" t="s">
        <v>949</v>
      </c>
      <c r="E803" t="s">
        <v>21</v>
      </c>
      <c r="F803" t="str">
        <f>_xlfn.XLOOKUP($E803,Sheet1!$E:$E,Sheet1!F:F)</f>
        <v>North Ryde</v>
      </c>
      <c r="G803" t="str">
        <f>_xlfn.XLOOKUP($E803,Sheet1!$E:$E,Sheet1!G:G)</f>
        <v>North Ryde [New South Wales]</v>
      </c>
      <c r="I803" t="str">
        <f>_xlfn.XLOOKUP($E803,Sheet1!$E:$E,Sheet1!I:I)</f>
        <v>Default station</v>
      </c>
      <c r="K803" t="s">
        <v>1812</v>
      </c>
      <c r="L803">
        <v>23440003</v>
      </c>
    </row>
    <row r="804" spans="1:12" x14ac:dyDescent="0.25">
      <c r="A804" t="s">
        <v>20</v>
      </c>
      <c r="B804" t="s">
        <v>24</v>
      </c>
      <c r="C804" t="s">
        <v>950</v>
      </c>
      <c r="E804" t="s">
        <v>21</v>
      </c>
      <c r="F804" t="str">
        <f>_xlfn.XLOOKUP($E804,Sheet1!$E:$E,Sheet1!F:F)</f>
        <v>North Ryde</v>
      </c>
      <c r="G804" t="str">
        <f>_xlfn.XLOOKUP($E804,Sheet1!$E:$E,Sheet1!G:G)</f>
        <v>North Ryde [New South Wales]</v>
      </c>
      <c r="I804" t="str">
        <f>_xlfn.XLOOKUP($E804,Sheet1!$E:$E,Sheet1!I:I)</f>
        <v>Default station</v>
      </c>
      <c r="K804" t="s">
        <v>1813</v>
      </c>
      <c r="L804">
        <v>16017953</v>
      </c>
    </row>
    <row r="805" spans="1:12" x14ac:dyDescent="0.25">
      <c r="A805" t="s">
        <v>20</v>
      </c>
      <c r="B805" t="s">
        <v>24</v>
      </c>
      <c r="C805" t="s">
        <v>951</v>
      </c>
      <c r="E805" t="s">
        <v>21</v>
      </c>
      <c r="F805" t="str">
        <f>_xlfn.XLOOKUP($E805,Sheet1!$E:$E,Sheet1!F:F)</f>
        <v>North Ryde</v>
      </c>
      <c r="G805" t="str">
        <f>_xlfn.XLOOKUP($E805,Sheet1!$E:$E,Sheet1!G:G)</f>
        <v>North Ryde [New South Wales]</v>
      </c>
      <c r="I805" t="str">
        <f>_xlfn.XLOOKUP($E805,Sheet1!$E:$E,Sheet1!I:I)</f>
        <v>Default station</v>
      </c>
      <c r="K805" t="s">
        <v>1814</v>
      </c>
      <c r="L805">
        <v>23440005</v>
      </c>
    </row>
    <row r="806" spans="1:12" x14ac:dyDescent="0.25">
      <c r="A806" t="s">
        <v>20</v>
      </c>
      <c r="B806" t="s">
        <v>24</v>
      </c>
      <c r="C806" t="s">
        <v>952</v>
      </c>
      <c r="E806" t="s">
        <v>21</v>
      </c>
      <c r="F806" t="str">
        <f>_xlfn.XLOOKUP($E806,Sheet1!$E:$E,Sheet1!F:F)</f>
        <v>North Ryde</v>
      </c>
      <c r="G806" t="str">
        <f>_xlfn.XLOOKUP($E806,Sheet1!$E:$E,Sheet1!G:G)</f>
        <v>North Ryde [New South Wales]</v>
      </c>
      <c r="I806" t="str">
        <f>_xlfn.XLOOKUP($E806,Sheet1!$E:$E,Sheet1!I:I)</f>
        <v>Default station</v>
      </c>
      <c r="K806" t="s">
        <v>1815</v>
      </c>
      <c r="L806">
        <v>170113</v>
      </c>
    </row>
    <row r="807" spans="1:12" x14ac:dyDescent="0.25">
      <c r="A807" t="s">
        <v>20</v>
      </c>
      <c r="B807" t="s">
        <v>24</v>
      </c>
      <c r="C807" t="s">
        <v>953</v>
      </c>
      <c r="E807" t="s">
        <v>21</v>
      </c>
      <c r="F807" t="str">
        <f>_xlfn.XLOOKUP($E807,Sheet1!$E:$E,Sheet1!F:F)</f>
        <v>North Ryde</v>
      </c>
      <c r="G807" t="str">
        <f>_xlfn.XLOOKUP($E807,Sheet1!$E:$E,Sheet1!G:G)</f>
        <v>North Ryde [New South Wales]</v>
      </c>
      <c r="I807" t="str">
        <f>_xlfn.XLOOKUP($E807,Sheet1!$E:$E,Sheet1!I:I)</f>
        <v>Default station</v>
      </c>
      <c r="K807" t="s">
        <v>54</v>
      </c>
      <c r="L807">
        <v>20042031</v>
      </c>
    </row>
    <row r="808" spans="1:12" x14ac:dyDescent="0.25">
      <c r="A808" t="s">
        <v>20</v>
      </c>
      <c r="B808" t="s">
        <v>24</v>
      </c>
      <c r="C808" t="s">
        <v>954</v>
      </c>
      <c r="E808" t="s">
        <v>21</v>
      </c>
      <c r="F808" t="str">
        <f>_xlfn.XLOOKUP($E808,Sheet1!$E:$E,Sheet1!F:F)</f>
        <v>North Ryde</v>
      </c>
      <c r="G808" t="str">
        <f>_xlfn.XLOOKUP($E808,Sheet1!$E:$E,Sheet1!G:G)</f>
        <v>North Ryde [New South Wales]</v>
      </c>
      <c r="I808" t="str">
        <f>_xlfn.XLOOKUP($E808,Sheet1!$E:$E,Sheet1!I:I)</f>
        <v>Default station</v>
      </c>
      <c r="K808" t="s">
        <v>1816</v>
      </c>
      <c r="L808">
        <v>16017812</v>
      </c>
    </row>
    <row r="809" spans="1:12" x14ac:dyDescent="0.25">
      <c r="A809" t="s">
        <v>20</v>
      </c>
      <c r="B809" t="s">
        <v>24</v>
      </c>
      <c r="C809" t="s">
        <v>955</v>
      </c>
      <c r="E809" t="s">
        <v>21</v>
      </c>
      <c r="F809" t="str">
        <f>_xlfn.XLOOKUP($E809,Sheet1!$E:$E,Sheet1!F:F)</f>
        <v>North Ryde</v>
      </c>
      <c r="G809" t="str">
        <f>_xlfn.XLOOKUP($E809,Sheet1!$E:$E,Sheet1!G:G)</f>
        <v>North Ryde [New South Wales]</v>
      </c>
      <c r="I809" t="str">
        <f>_xlfn.XLOOKUP($E809,Sheet1!$E:$E,Sheet1!I:I)</f>
        <v>Default station</v>
      </c>
      <c r="K809" t="s">
        <v>1817</v>
      </c>
      <c r="L809">
        <v>170956</v>
      </c>
    </row>
    <row r="810" spans="1:12" x14ac:dyDescent="0.25">
      <c r="A810" t="s">
        <v>20</v>
      </c>
      <c r="B810" t="s">
        <v>24</v>
      </c>
      <c r="C810" t="s">
        <v>956</v>
      </c>
      <c r="E810" t="s">
        <v>21</v>
      </c>
      <c r="F810" t="str">
        <f>_xlfn.XLOOKUP($E810,Sheet1!$E:$E,Sheet1!F:F)</f>
        <v>North Ryde</v>
      </c>
      <c r="G810" t="str">
        <f>_xlfn.XLOOKUP($E810,Sheet1!$E:$E,Sheet1!G:G)</f>
        <v>North Ryde [New South Wales]</v>
      </c>
      <c r="I810" t="str">
        <f>_xlfn.XLOOKUP($E810,Sheet1!$E:$E,Sheet1!I:I)</f>
        <v>Default station</v>
      </c>
      <c r="K810" t="s">
        <v>1818</v>
      </c>
      <c r="L810">
        <v>200401</v>
      </c>
    </row>
    <row r="811" spans="1:12" x14ac:dyDescent="0.25">
      <c r="A811" t="s">
        <v>20</v>
      </c>
      <c r="B811" t="s">
        <v>24</v>
      </c>
      <c r="C811" t="s">
        <v>957</v>
      </c>
      <c r="E811" t="s">
        <v>21</v>
      </c>
      <c r="F811" t="str">
        <f>_xlfn.XLOOKUP($E811,Sheet1!$E:$E,Sheet1!F:F)</f>
        <v>North Ryde</v>
      </c>
      <c r="G811" t="str">
        <f>_xlfn.XLOOKUP($E811,Sheet1!$E:$E,Sheet1!G:G)</f>
        <v>North Ryde [New South Wales]</v>
      </c>
      <c r="I811" t="str">
        <f>_xlfn.XLOOKUP($E811,Sheet1!$E:$E,Sheet1!I:I)</f>
        <v>Default station</v>
      </c>
      <c r="K811" t="s">
        <v>1819</v>
      </c>
      <c r="L811">
        <v>16015009</v>
      </c>
    </row>
    <row r="812" spans="1:12" x14ac:dyDescent="0.25">
      <c r="A812" t="s">
        <v>20</v>
      </c>
      <c r="B812" t="s">
        <v>24</v>
      </c>
      <c r="C812" t="s">
        <v>958</v>
      </c>
      <c r="E812" t="s">
        <v>21</v>
      </c>
      <c r="F812" t="str">
        <f>_xlfn.XLOOKUP($E812,Sheet1!$E:$E,Sheet1!F:F)</f>
        <v>North Ryde</v>
      </c>
      <c r="G812" t="str">
        <f>_xlfn.XLOOKUP($E812,Sheet1!$E:$E,Sheet1!G:G)</f>
        <v>North Ryde [New South Wales]</v>
      </c>
      <c r="I812" t="str">
        <f>_xlfn.XLOOKUP($E812,Sheet1!$E:$E,Sheet1!I:I)</f>
        <v>Default station</v>
      </c>
      <c r="K812" t="s">
        <v>1820</v>
      </c>
      <c r="L812">
        <v>16012011</v>
      </c>
    </row>
    <row r="813" spans="1:12" x14ac:dyDescent="0.25">
      <c r="A813" t="s">
        <v>20</v>
      </c>
      <c r="B813" t="s">
        <v>24</v>
      </c>
      <c r="C813" t="s">
        <v>959</v>
      </c>
      <c r="E813" t="s">
        <v>21</v>
      </c>
      <c r="F813" t="str">
        <f>_xlfn.XLOOKUP($E813,Sheet1!$E:$E,Sheet1!F:F)</f>
        <v>North Ryde</v>
      </c>
      <c r="G813" t="str">
        <f>_xlfn.XLOOKUP($E813,Sheet1!$E:$E,Sheet1!G:G)</f>
        <v>North Ryde [New South Wales]</v>
      </c>
      <c r="I813" t="str">
        <f>_xlfn.XLOOKUP($E813,Sheet1!$E:$E,Sheet1!I:I)</f>
        <v>Default station</v>
      </c>
      <c r="K813" t="s">
        <v>105</v>
      </c>
      <c r="L813">
        <v>14000496</v>
      </c>
    </row>
    <row r="814" spans="1:12" x14ac:dyDescent="0.25">
      <c r="A814" t="s">
        <v>20</v>
      </c>
      <c r="B814" t="s">
        <v>24</v>
      </c>
      <c r="C814" t="s">
        <v>960</v>
      </c>
      <c r="E814" t="s">
        <v>29</v>
      </c>
      <c r="F814" t="str">
        <f>_xlfn.XLOOKUP($E814,Sheet1!$E:$E,Sheet1!F:F)</f>
        <v>Auckland</v>
      </c>
      <c r="G814" t="str">
        <f>_xlfn.XLOOKUP($E814,Sheet1!$E:$E,Sheet1!G:G)</f>
        <v>Auckland [New Zealand]</v>
      </c>
      <c r="H814" t="str">
        <f>_xlfn.XLOOKUP($E814,Sheet1!$E:$E,Sheet1!H:H)</f>
        <v>Auckland, Whenuapai Aws</v>
      </c>
      <c r="I814" t="str">
        <f>_xlfn.XLOOKUP($E814,Sheet1!$E:$E,Sheet1!I:I)</f>
        <v>Manual over-ride</v>
      </c>
      <c r="K814" t="s">
        <v>62</v>
      </c>
      <c r="L814">
        <v>8104</v>
      </c>
    </row>
    <row r="815" spans="1:12" x14ac:dyDescent="0.25">
      <c r="A815" t="s">
        <v>20</v>
      </c>
      <c r="B815" t="s">
        <v>24</v>
      </c>
      <c r="C815" t="s">
        <v>961</v>
      </c>
      <c r="E815" t="s">
        <v>29</v>
      </c>
      <c r="F815" t="str">
        <f>_xlfn.XLOOKUP($E815,Sheet1!$E:$E,Sheet1!F:F)</f>
        <v>Auckland</v>
      </c>
      <c r="G815" t="str">
        <f>_xlfn.XLOOKUP($E815,Sheet1!$E:$E,Sheet1!G:G)</f>
        <v>Auckland [New Zealand]</v>
      </c>
      <c r="H815" t="str">
        <f>_xlfn.XLOOKUP($E815,Sheet1!$E:$E,Sheet1!H:H)</f>
        <v>Auckland, Whenuapai Aws</v>
      </c>
      <c r="I815" t="str">
        <f>_xlfn.XLOOKUP($E815,Sheet1!$E:$E,Sheet1!I:I)</f>
        <v>Manual over-ride</v>
      </c>
      <c r="K815" t="s">
        <v>50</v>
      </c>
      <c r="L815">
        <v>8840</v>
      </c>
    </row>
    <row r="816" spans="1:12" x14ac:dyDescent="0.25">
      <c r="A816" t="s">
        <v>20</v>
      </c>
      <c r="B816" t="s">
        <v>24</v>
      </c>
      <c r="C816" t="s">
        <v>962</v>
      </c>
      <c r="E816" t="s">
        <v>29</v>
      </c>
      <c r="F816" t="str">
        <f>_xlfn.XLOOKUP($E816,Sheet1!$E:$E,Sheet1!F:F)</f>
        <v>Auckland</v>
      </c>
      <c r="G816" t="str">
        <f>_xlfn.XLOOKUP($E816,Sheet1!$E:$E,Sheet1!G:G)</f>
        <v>Auckland [New Zealand]</v>
      </c>
      <c r="H816" t="str">
        <f>_xlfn.XLOOKUP($E816,Sheet1!$E:$E,Sheet1!H:H)</f>
        <v>Auckland, Whenuapai Aws</v>
      </c>
      <c r="I816" t="str">
        <f>_xlfn.XLOOKUP($E816,Sheet1!$E:$E,Sheet1!I:I)</f>
        <v>Manual over-ride</v>
      </c>
      <c r="K816" t="s">
        <v>1821</v>
      </c>
      <c r="L816">
        <v>24000030</v>
      </c>
    </row>
    <row r="817" spans="1:12" x14ac:dyDescent="0.25">
      <c r="A817" t="s">
        <v>20</v>
      </c>
      <c r="B817" t="s">
        <v>24</v>
      </c>
      <c r="C817" t="s">
        <v>963</v>
      </c>
      <c r="E817" t="s">
        <v>29</v>
      </c>
      <c r="F817" t="str">
        <f>_xlfn.XLOOKUP($E817,Sheet1!$E:$E,Sheet1!F:F)</f>
        <v>Auckland</v>
      </c>
      <c r="G817" t="str">
        <f>_xlfn.XLOOKUP($E817,Sheet1!$E:$E,Sheet1!G:G)</f>
        <v>Auckland [New Zealand]</v>
      </c>
      <c r="H817" t="str">
        <f>_xlfn.XLOOKUP($E817,Sheet1!$E:$E,Sheet1!H:H)</f>
        <v>Auckland, Whenuapai Aws</v>
      </c>
      <c r="I817" t="str">
        <f>_xlfn.XLOOKUP($E817,Sheet1!$E:$E,Sheet1!I:I)</f>
        <v>Manual over-ride</v>
      </c>
      <c r="K817" t="s">
        <v>1822</v>
      </c>
      <c r="L817">
        <v>60251</v>
      </c>
    </row>
    <row r="818" spans="1:12" x14ac:dyDescent="0.25">
      <c r="A818" t="s">
        <v>20</v>
      </c>
      <c r="B818" t="s">
        <v>24</v>
      </c>
      <c r="C818" t="s">
        <v>964</v>
      </c>
      <c r="E818" t="s">
        <v>29</v>
      </c>
      <c r="F818" t="str">
        <f>_xlfn.XLOOKUP($E818,Sheet1!$E:$E,Sheet1!F:F)</f>
        <v>Auckland</v>
      </c>
      <c r="G818" t="str">
        <f>_xlfn.XLOOKUP($E818,Sheet1!$E:$E,Sheet1!G:G)</f>
        <v>Auckland [New Zealand]</v>
      </c>
      <c r="H818" t="str">
        <f>_xlfn.XLOOKUP($E818,Sheet1!$E:$E,Sheet1!H:H)</f>
        <v>Auckland, Whenuapai Aws</v>
      </c>
      <c r="I818" t="str">
        <f>_xlfn.XLOOKUP($E818,Sheet1!$E:$E,Sheet1!I:I)</f>
        <v>Manual over-ride</v>
      </c>
      <c r="K818" t="s">
        <v>1823</v>
      </c>
      <c r="L818">
        <v>10232</v>
      </c>
    </row>
    <row r="819" spans="1:12" x14ac:dyDescent="0.25">
      <c r="A819" t="s">
        <v>20</v>
      </c>
      <c r="B819" t="s">
        <v>24</v>
      </c>
      <c r="C819" t="s">
        <v>965</v>
      </c>
      <c r="E819" t="s">
        <v>29</v>
      </c>
      <c r="F819" t="str">
        <f>_xlfn.XLOOKUP($E819,Sheet1!$E:$E,Sheet1!F:F)</f>
        <v>Auckland</v>
      </c>
      <c r="G819" t="str">
        <f>_xlfn.XLOOKUP($E819,Sheet1!$E:$E,Sheet1!G:G)</f>
        <v>Auckland [New Zealand]</v>
      </c>
      <c r="H819" t="str">
        <f>_xlfn.XLOOKUP($E819,Sheet1!$E:$E,Sheet1!H:H)</f>
        <v>Auckland, Whenuapai Aws</v>
      </c>
      <c r="I819" t="str">
        <f>_xlfn.XLOOKUP($E819,Sheet1!$E:$E,Sheet1!I:I)</f>
        <v>Manual over-ride</v>
      </c>
      <c r="K819" t="s">
        <v>1824</v>
      </c>
      <c r="L819">
        <v>10220</v>
      </c>
    </row>
    <row r="820" spans="1:12" x14ac:dyDescent="0.25">
      <c r="A820" t="s">
        <v>20</v>
      </c>
      <c r="B820" t="s">
        <v>24</v>
      </c>
      <c r="C820" t="s">
        <v>966</v>
      </c>
      <c r="E820" t="s">
        <v>29</v>
      </c>
      <c r="F820" t="str">
        <f>_xlfn.XLOOKUP($E820,Sheet1!$E:$E,Sheet1!F:F)</f>
        <v>Auckland</v>
      </c>
      <c r="G820" t="str">
        <f>_xlfn.XLOOKUP($E820,Sheet1!$E:$E,Sheet1!G:G)</f>
        <v>Auckland [New Zealand]</v>
      </c>
      <c r="H820" t="str">
        <f>_xlfn.XLOOKUP($E820,Sheet1!$E:$E,Sheet1!H:H)</f>
        <v>Auckland, Whenuapai Aws</v>
      </c>
      <c r="I820" t="str">
        <f>_xlfn.XLOOKUP($E820,Sheet1!$E:$E,Sheet1!I:I)</f>
        <v>Manual over-ride</v>
      </c>
      <c r="K820" t="s">
        <v>1825</v>
      </c>
      <c r="L820">
        <v>24000031</v>
      </c>
    </row>
    <row r="821" spans="1:12" x14ac:dyDescent="0.25">
      <c r="A821" t="s">
        <v>20</v>
      </c>
      <c r="B821" t="s">
        <v>24</v>
      </c>
      <c r="C821" t="s">
        <v>967</v>
      </c>
      <c r="E821" t="s">
        <v>29</v>
      </c>
      <c r="F821" t="str">
        <f>_xlfn.XLOOKUP($E821,Sheet1!$E:$E,Sheet1!F:F)</f>
        <v>Auckland</v>
      </c>
      <c r="G821" t="str">
        <f>_xlfn.XLOOKUP($E821,Sheet1!$E:$E,Sheet1!G:G)</f>
        <v>Auckland [New Zealand]</v>
      </c>
      <c r="H821" t="str">
        <f>_xlfn.XLOOKUP($E821,Sheet1!$E:$E,Sheet1!H:H)</f>
        <v>Auckland, Whenuapai Aws</v>
      </c>
      <c r="I821" t="str">
        <f>_xlfn.XLOOKUP($E821,Sheet1!$E:$E,Sheet1!I:I)</f>
        <v>Manual over-ride</v>
      </c>
      <c r="K821" t="s">
        <v>1826</v>
      </c>
      <c r="L821">
        <v>26016639</v>
      </c>
    </row>
    <row r="822" spans="1:12" x14ac:dyDescent="0.25">
      <c r="A822" t="s">
        <v>20</v>
      </c>
      <c r="B822" t="s">
        <v>24</v>
      </c>
      <c r="C822" t="s">
        <v>968</v>
      </c>
      <c r="E822" t="s">
        <v>29</v>
      </c>
      <c r="F822" t="str">
        <f>_xlfn.XLOOKUP($E822,Sheet1!$E:$E,Sheet1!F:F)</f>
        <v>Auckland</v>
      </c>
      <c r="G822" t="str">
        <f>_xlfn.XLOOKUP($E822,Sheet1!$E:$E,Sheet1!G:G)</f>
        <v>Auckland [New Zealand]</v>
      </c>
      <c r="H822" t="str">
        <f>_xlfn.XLOOKUP($E822,Sheet1!$E:$E,Sheet1!H:H)</f>
        <v>Auckland, Whenuapai Aws</v>
      </c>
      <c r="I822" t="str">
        <f>_xlfn.XLOOKUP($E822,Sheet1!$E:$E,Sheet1!I:I)</f>
        <v>Manual over-ride</v>
      </c>
      <c r="K822" t="s">
        <v>1827</v>
      </c>
      <c r="L822">
        <v>10139</v>
      </c>
    </row>
    <row r="823" spans="1:12" x14ac:dyDescent="0.25">
      <c r="A823" t="s">
        <v>20</v>
      </c>
      <c r="B823" t="s">
        <v>24</v>
      </c>
      <c r="C823" t="s">
        <v>969</v>
      </c>
      <c r="E823" t="s">
        <v>29</v>
      </c>
      <c r="F823" t="str">
        <f>_xlfn.XLOOKUP($E823,Sheet1!$E:$E,Sheet1!F:F)</f>
        <v>Auckland</v>
      </c>
      <c r="G823" t="str">
        <f>_xlfn.XLOOKUP($E823,Sheet1!$E:$E,Sheet1!G:G)</f>
        <v>Auckland [New Zealand]</v>
      </c>
      <c r="H823" t="str">
        <f>_xlfn.XLOOKUP($E823,Sheet1!$E:$E,Sheet1!H:H)</f>
        <v>Auckland, Whenuapai Aws</v>
      </c>
      <c r="I823" t="str">
        <f>_xlfn.XLOOKUP($E823,Sheet1!$E:$E,Sheet1!I:I)</f>
        <v>Manual over-ride</v>
      </c>
      <c r="K823" t="s">
        <v>1828</v>
      </c>
      <c r="L823">
        <v>10205</v>
      </c>
    </row>
    <row r="824" spans="1:12" x14ac:dyDescent="0.25">
      <c r="A824" t="s">
        <v>20</v>
      </c>
      <c r="B824" t="s">
        <v>24</v>
      </c>
      <c r="C824" t="s">
        <v>970</v>
      </c>
      <c r="E824" t="s">
        <v>29</v>
      </c>
      <c r="F824" t="str">
        <f>_xlfn.XLOOKUP($E824,Sheet1!$E:$E,Sheet1!F:F)</f>
        <v>Auckland</v>
      </c>
      <c r="G824" t="str">
        <f>_xlfn.XLOOKUP($E824,Sheet1!$E:$E,Sheet1!G:G)</f>
        <v>Auckland [New Zealand]</v>
      </c>
      <c r="H824" t="str">
        <f>_xlfn.XLOOKUP($E824,Sheet1!$E:$E,Sheet1!H:H)</f>
        <v>Auckland, Whenuapai Aws</v>
      </c>
      <c r="I824" t="str">
        <f>_xlfn.XLOOKUP($E824,Sheet1!$E:$E,Sheet1!I:I)</f>
        <v>Manual over-ride</v>
      </c>
      <c r="K824" t="s">
        <v>148</v>
      </c>
      <c r="L824">
        <v>54936</v>
      </c>
    </row>
    <row r="825" spans="1:12" x14ac:dyDescent="0.25">
      <c r="A825" t="s">
        <v>20</v>
      </c>
      <c r="B825" t="s">
        <v>24</v>
      </c>
      <c r="C825" t="s">
        <v>971</v>
      </c>
      <c r="E825" t="s">
        <v>29</v>
      </c>
      <c r="F825" t="str">
        <f>_xlfn.XLOOKUP($E825,Sheet1!$E:$E,Sheet1!F:F)</f>
        <v>Auckland</v>
      </c>
      <c r="G825" t="str">
        <f>_xlfn.XLOOKUP($E825,Sheet1!$E:$E,Sheet1!G:G)</f>
        <v>Auckland [New Zealand]</v>
      </c>
      <c r="H825" t="str">
        <f>_xlfn.XLOOKUP($E825,Sheet1!$E:$E,Sheet1!H:H)</f>
        <v>Auckland, Whenuapai Aws</v>
      </c>
      <c r="I825" t="str">
        <f>_xlfn.XLOOKUP($E825,Sheet1!$E:$E,Sheet1!I:I)</f>
        <v>Manual over-ride</v>
      </c>
      <c r="K825" t="s">
        <v>145</v>
      </c>
      <c r="L825">
        <v>55163</v>
      </c>
    </row>
    <row r="826" spans="1:12" x14ac:dyDescent="0.25">
      <c r="A826" t="s">
        <v>20</v>
      </c>
      <c r="B826" t="s">
        <v>24</v>
      </c>
      <c r="C826" t="s">
        <v>972</v>
      </c>
      <c r="E826" t="s">
        <v>29</v>
      </c>
      <c r="F826" t="str">
        <f>_xlfn.XLOOKUP($E826,Sheet1!$E:$E,Sheet1!F:F)</f>
        <v>Auckland</v>
      </c>
      <c r="G826" t="str">
        <f>_xlfn.XLOOKUP($E826,Sheet1!$E:$E,Sheet1!G:G)</f>
        <v>Auckland [New Zealand]</v>
      </c>
      <c r="H826" t="str">
        <f>_xlfn.XLOOKUP($E826,Sheet1!$E:$E,Sheet1!H:H)</f>
        <v>Auckland, Whenuapai Aws</v>
      </c>
      <c r="I826" t="str">
        <f>_xlfn.XLOOKUP($E826,Sheet1!$E:$E,Sheet1!I:I)</f>
        <v>Manual over-ride</v>
      </c>
      <c r="K826" t="s">
        <v>1829</v>
      </c>
      <c r="L826">
        <v>10137</v>
      </c>
    </row>
    <row r="827" spans="1:12" x14ac:dyDescent="0.25">
      <c r="A827" t="s">
        <v>20</v>
      </c>
      <c r="B827" t="s">
        <v>24</v>
      </c>
      <c r="C827" t="s">
        <v>973</v>
      </c>
      <c r="E827" t="s">
        <v>29</v>
      </c>
      <c r="F827" t="str">
        <f>_xlfn.XLOOKUP($E827,Sheet1!$E:$E,Sheet1!F:F)</f>
        <v>Auckland</v>
      </c>
      <c r="G827" t="str">
        <f>_xlfn.XLOOKUP($E827,Sheet1!$E:$E,Sheet1!G:G)</f>
        <v>Auckland [New Zealand]</v>
      </c>
      <c r="H827" t="str">
        <f>_xlfn.XLOOKUP($E827,Sheet1!$E:$E,Sheet1!H:H)</f>
        <v>Auckland, Whenuapai Aws</v>
      </c>
      <c r="I827" t="str">
        <f>_xlfn.XLOOKUP($E827,Sheet1!$E:$E,Sheet1!I:I)</f>
        <v>Manual over-ride</v>
      </c>
      <c r="K827" t="s">
        <v>1830</v>
      </c>
      <c r="L827">
        <v>60241</v>
      </c>
    </row>
    <row r="828" spans="1:12" x14ac:dyDescent="0.25">
      <c r="A828" t="s">
        <v>20</v>
      </c>
      <c r="B828" t="s">
        <v>24</v>
      </c>
      <c r="C828" t="s">
        <v>974</v>
      </c>
      <c r="E828" t="s">
        <v>29</v>
      </c>
      <c r="F828" t="str">
        <f>_xlfn.XLOOKUP($E828,Sheet1!$E:$E,Sheet1!F:F)</f>
        <v>Auckland</v>
      </c>
      <c r="G828" t="str">
        <f>_xlfn.XLOOKUP($E828,Sheet1!$E:$E,Sheet1!G:G)</f>
        <v>Auckland [New Zealand]</v>
      </c>
      <c r="H828" t="str">
        <f>_xlfn.XLOOKUP($E828,Sheet1!$E:$E,Sheet1!H:H)</f>
        <v>Auckland, Whenuapai Aws</v>
      </c>
      <c r="I828" t="str">
        <f>_xlfn.XLOOKUP($E828,Sheet1!$E:$E,Sheet1!I:I)</f>
        <v>Manual over-ride</v>
      </c>
      <c r="K828" t="s">
        <v>1831</v>
      </c>
      <c r="L828">
        <v>10135</v>
      </c>
    </row>
    <row r="829" spans="1:12" x14ac:dyDescent="0.25">
      <c r="A829" t="s">
        <v>20</v>
      </c>
      <c r="B829" t="s">
        <v>24</v>
      </c>
      <c r="C829" t="s">
        <v>975</v>
      </c>
      <c r="E829" t="s">
        <v>29</v>
      </c>
      <c r="F829" t="str">
        <f>_xlfn.XLOOKUP($E829,Sheet1!$E:$E,Sheet1!F:F)</f>
        <v>Auckland</v>
      </c>
      <c r="G829" t="str">
        <f>_xlfn.XLOOKUP($E829,Sheet1!$E:$E,Sheet1!G:G)</f>
        <v>Auckland [New Zealand]</v>
      </c>
      <c r="H829" t="str">
        <f>_xlfn.XLOOKUP($E829,Sheet1!$E:$E,Sheet1!H:H)</f>
        <v>Auckland, Whenuapai Aws</v>
      </c>
      <c r="I829" t="str">
        <f>_xlfn.XLOOKUP($E829,Sheet1!$E:$E,Sheet1!I:I)</f>
        <v>Manual over-ride</v>
      </c>
      <c r="K829" t="s">
        <v>57</v>
      </c>
      <c r="L829">
        <v>26016560</v>
      </c>
    </row>
    <row r="830" spans="1:12" x14ac:dyDescent="0.25">
      <c r="A830" t="s">
        <v>20</v>
      </c>
      <c r="B830" t="s">
        <v>24</v>
      </c>
      <c r="C830" t="s">
        <v>976</v>
      </c>
      <c r="E830" t="s">
        <v>29</v>
      </c>
      <c r="F830" t="str">
        <f>_xlfn.XLOOKUP($E830,Sheet1!$E:$E,Sheet1!F:F)</f>
        <v>Auckland</v>
      </c>
      <c r="G830" t="str">
        <f>_xlfn.XLOOKUP($E830,Sheet1!$E:$E,Sheet1!G:G)</f>
        <v>Auckland [New Zealand]</v>
      </c>
      <c r="H830" t="str">
        <f>_xlfn.XLOOKUP($E830,Sheet1!$E:$E,Sheet1!H:H)</f>
        <v>Auckland, Whenuapai Aws</v>
      </c>
      <c r="I830" t="str">
        <f>_xlfn.XLOOKUP($E830,Sheet1!$E:$E,Sheet1!I:I)</f>
        <v>Manual over-ride</v>
      </c>
      <c r="K830" t="s">
        <v>134</v>
      </c>
      <c r="L830">
        <v>56746</v>
      </c>
    </row>
    <row r="831" spans="1:12" x14ac:dyDescent="0.25">
      <c r="A831" t="s">
        <v>20</v>
      </c>
      <c r="B831" t="s">
        <v>24</v>
      </c>
      <c r="C831" t="s">
        <v>977</v>
      </c>
      <c r="E831" t="s">
        <v>29</v>
      </c>
      <c r="F831" t="str">
        <f>_xlfn.XLOOKUP($E831,Sheet1!$E:$E,Sheet1!F:F)</f>
        <v>Auckland</v>
      </c>
      <c r="G831" t="str">
        <f>_xlfn.XLOOKUP($E831,Sheet1!$E:$E,Sheet1!G:G)</f>
        <v>Auckland [New Zealand]</v>
      </c>
      <c r="H831" t="str">
        <f>_xlfn.XLOOKUP($E831,Sheet1!$E:$E,Sheet1!H:H)</f>
        <v>Auckland, Whenuapai Aws</v>
      </c>
      <c r="I831" t="str">
        <f>_xlfn.XLOOKUP($E831,Sheet1!$E:$E,Sheet1!I:I)</f>
        <v>Manual over-ride</v>
      </c>
      <c r="K831" t="s">
        <v>1832</v>
      </c>
      <c r="L831">
        <v>10131</v>
      </c>
    </row>
    <row r="832" spans="1:12" x14ac:dyDescent="0.25">
      <c r="A832" t="s">
        <v>20</v>
      </c>
      <c r="B832" t="s">
        <v>24</v>
      </c>
      <c r="C832" t="s">
        <v>978</v>
      </c>
      <c r="E832" t="s">
        <v>29</v>
      </c>
      <c r="F832" t="str">
        <f>_xlfn.XLOOKUP($E832,Sheet1!$E:$E,Sheet1!F:F)</f>
        <v>Auckland</v>
      </c>
      <c r="G832" t="str">
        <f>_xlfn.XLOOKUP($E832,Sheet1!$E:$E,Sheet1!G:G)</f>
        <v>Auckland [New Zealand]</v>
      </c>
      <c r="H832" t="str">
        <f>_xlfn.XLOOKUP($E832,Sheet1!$E:$E,Sheet1!H:H)</f>
        <v>Auckland, Whenuapai Aws</v>
      </c>
      <c r="I832" t="str">
        <f>_xlfn.XLOOKUP($E832,Sheet1!$E:$E,Sheet1!I:I)</f>
        <v>Manual over-ride</v>
      </c>
      <c r="K832" t="s">
        <v>1833</v>
      </c>
      <c r="L832">
        <v>26007600</v>
      </c>
    </row>
    <row r="833" spans="1:12" x14ac:dyDescent="0.25">
      <c r="A833" t="s">
        <v>20</v>
      </c>
      <c r="B833" t="s">
        <v>24</v>
      </c>
      <c r="C833" t="s">
        <v>979</v>
      </c>
      <c r="E833" t="s">
        <v>29</v>
      </c>
      <c r="F833" t="str">
        <f>_xlfn.XLOOKUP($E833,Sheet1!$E:$E,Sheet1!F:F)</f>
        <v>Auckland</v>
      </c>
      <c r="G833" t="str">
        <f>_xlfn.XLOOKUP($E833,Sheet1!$E:$E,Sheet1!G:G)</f>
        <v>Auckland [New Zealand]</v>
      </c>
      <c r="H833" t="str">
        <f>_xlfn.XLOOKUP($E833,Sheet1!$E:$E,Sheet1!H:H)</f>
        <v>Auckland, Whenuapai Aws</v>
      </c>
      <c r="I833" t="str">
        <f>_xlfn.XLOOKUP($E833,Sheet1!$E:$E,Sheet1!I:I)</f>
        <v>Manual over-ride</v>
      </c>
      <c r="K833" t="s">
        <v>1834</v>
      </c>
      <c r="L833">
        <v>10134</v>
      </c>
    </row>
    <row r="834" spans="1:12" x14ac:dyDescent="0.25">
      <c r="A834" t="s">
        <v>20</v>
      </c>
      <c r="B834" t="s">
        <v>24</v>
      </c>
      <c r="C834" t="s">
        <v>980</v>
      </c>
      <c r="E834" t="s">
        <v>29</v>
      </c>
      <c r="F834" t="str">
        <f>_xlfn.XLOOKUP($E834,Sheet1!$E:$E,Sheet1!F:F)</f>
        <v>Auckland</v>
      </c>
      <c r="G834" t="str">
        <f>_xlfn.XLOOKUP($E834,Sheet1!$E:$E,Sheet1!G:G)</f>
        <v>Auckland [New Zealand]</v>
      </c>
      <c r="H834" t="str">
        <f>_xlfn.XLOOKUP($E834,Sheet1!$E:$E,Sheet1!H:H)</f>
        <v>Auckland, Whenuapai Aws</v>
      </c>
      <c r="I834" t="str">
        <f>_xlfn.XLOOKUP($E834,Sheet1!$E:$E,Sheet1!I:I)</f>
        <v>Manual over-ride</v>
      </c>
      <c r="K834" t="s">
        <v>1835</v>
      </c>
      <c r="L834">
        <v>50141</v>
      </c>
    </row>
    <row r="835" spans="1:12" x14ac:dyDescent="0.25">
      <c r="A835" t="s">
        <v>20</v>
      </c>
      <c r="B835" t="s">
        <v>24</v>
      </c>
      <c r="C835" t="s">
        <v>981</v>
      </c>
      <c r="E835" t="s">
        <v>29</v>
      </c>
      <c r="F835" t="str">
        <f>_xlfn.XLOOKUP($E835,Sheet1!$E:$E,Sheet1!F:F)</f>
        <v>Auckland</v>
      </c>
      <c r="G835" t="str">
        <f>_xlfn.XLOOKUP($E835,Sheet1!$E:$E,Sheet1!G:G)</f>
        <v>Auckland [New Zealand]</v>
      </c>
      <c r="H835" t="str">
        <f>_xlfn.XLOOKUP($E835,Sheet1!$E:$E,Sheet1!H:H)</f>
        <v>Auckland, Whenuapai Aws</v>
      </c>
      <c r="I835" t="str">
        <f>_xlfn.XLOOKUP($E835,Sheet1!$E:$E,Sheet1!I:I)</f>
        <v>Manual over-ride</v>
      </c>
      <c r="K835" t="s">
        <v>1836</v>
      </c>
      <c r="L835">
        <v>26016629</v>
      </c>
    </row>
    <row r="836" spans="1:12" x14ac:dyDescent="0.25">
      <c r="A836" t="s">
        <v>20</v>
      </c>
      <c r="B836" t="s">
        <v>24</v>
      </c>
      <c r="C836" t="s">
        <v>982</v>
      </c>
      <c r="E836" t="s">
        <v>29</v>
      </c>
      <c r="F836" t="str">
        <f>_xlfn.XLOOKUP($E836,Sheet1!$E:$E,Sheet1!F:F)</f>
        <v>Auckland</v>
      </c>
      <c r="G836" t="str">
        <f>_xlfn.XLOOKUP($E836,Sheet1!$E:$E,Sheet1!G:G)</f>
        <v>Auckland [New Zealand]</v>
      </c>
      <c r="H836" t="str">
        <f>_xlfn.XLOOKUP($E836,Sheet1!$E:$E,Sheet1!H:H)</f>
        <v>Auckland, Whenuapai Aws</v>
      </c>
      <c r="I836" t="str">
        <f>_xlfn.XLOOKUP($E836,Sheet1!$E:$E,Sheet1!I:I)</f>
        <v>Manual over-ride</v>
      </c>
      <c r="K836" t="s">
        <v>132</v>
      </c>
      <c r="L836">
        <v>26018577</v>
      </c>
    </row>
    <row r="837" spans="1:12" x14ac:dyDescent="0.25">
      <c r="A837" t="s">
        <v>20</v>
      </c>
      <c r="B837" t="s">
        <v>24</v>
      </c>
      <c r="C837" t="s">
        <v>983</v>
      </c>
      <c r="E837" t="s">
        <v>29</v>
      </c>
      <c r="F837" t="str">
        <f>_xlfn.XLOOKUP($E837,Sheet1!$E:$E,Sheet1!F:F)</f>
        <v>Auckland</v>
      </c>
      <c r="G837" t="str">
        <f>_xlfn.XLOOKUP($E837,Sheet1!$E:$E,Sheet1!G:G)</f>
        <v>Auckland [New Zealand]</v>
      </c>
      <c r="H837" t="str">
        <f>_xlfn.XLOOKUP($E837,Sheet1!$E:$E,Sheet1!H:H)</f>
        <v>Auckland, Whenuapai Aws</v>
      </c>
      <c r="I837" t="str">
        <f>_xlfn.XLOOKUP($E837,Sheet1!$E:$E,Sheet1!I:I)</f>
        <v>Manual over-ride</v>
      </c>
      <c r="K837" t="s">
        <v>1837</v>
      </c>
      <c r="L837">
        <v>26020680</v>
      </c>
    </row>
    <row r="838" spans="1:12" x14ac:dyDescent="0.25">
      <c r="A838" t="s">
        <v>20</v>
      </c>
      <c r="B838" t="s">
        <v>24</v>
      </c>
      <c r="C838" t="s">
        <v>984</v>
      </c>
      <c r="E838" t="s">
        <v>29</v>
      </c>
      <c r="F838" t="str">
        <f>_xlfn.XLOOKUP($E838,Sheet1!$E:$E,Sheet1!F:F)</f>
        <v>Auckland</v>
      </c>
      <c r="G838" t="str">
        <f>_xlfn.XLOOKUP($E838,Sheet1!$E:$E,Sheet1!G:G)</f>
        <v>Auckland [New Zealand]</v>
      </c>
      <c r="H838" t="str">
        <f>_xlfn.XLOOKUP($E838,Sheet1!$E:$E,Sheet1!H:H)</f>
        <v>Auckland, Whenuapai Aws</v>
      </c>
      <c r="I838" t="str">
        <f>_xlfn.XLOOKUP($E838,Sheet1!$E:$E,Sheet1!I:I)</f>
        <v>Manual over-ride</v>
      </c>
      <c r="K838" t="s">
        <v>1838</v>
      </c>
      <c r="L838">
        <v>32010</v>
      </c>
    </row>
    <row r="839" spans="1:12" x14ac:dyDescent="0.25">
      <c r="A839" t="s">
        <v>20</v>
      </c>
      <c r="B839" t="s">
        <v>24</v>
      </c>
      <c r="C839" t="s">
        <v>985</v>
      </c>
      <c r="E839" t="s">
        <v>29</v>
      </c>
      <c r="F839" t="str">
        <f>_xlfn.XLOOKUP($E839,Sheet1!$E:$E,Sheet1!F:F)</f>
        <v>Auckland</v>
      </c>
      <c r="G839" t="str">
        <f>_xlfn.XLOOKUP($E839,Sheet1!$E:$E,Sheet1!G:G)</f>
        <v>Auckland [New Zealand]</v>
      </c>
      <c r="H839" t="str">
        <f>_xlfn.XLOOKUP($E839,Sheet1!$E:$E,Sheet1!H:H)</f>
        <v>Auckland, Whenuapai Aws</v>
      </c>
      <c r="I839" t="str">
        <f>_xlfn.XLOOKUP($E839,Sheet1!$E:$E,Sheet1!I:I)</f>
        <v>Manual over-ride</v>
      </c>
      <c r="K839" t="s">
        <v>154</v>
      </c>
      <c r="L839">
        <v>80220</v>
      </c>
    </row>
    <row r="840" spans="1:12" x14ac:dyDescent="0.25">
      <c r="A840" t="s">
        <v>20</v>
      </c>
      <c r="B840" t="s">
        <v>24</v>
      </c>
      <c r="C840" t="s">
        <v>986</v>
      </c>
      <c r="E840" t="s">
        <v>29</v>
      </c>
      <c r="F840" t="str">
        <f>_xlfn.XLOOKUP($E840,Sheet1!$E:$E,Sheet1!F:F)</f>
        <v>Auckland</v>
      </c>
      <c r="G840" t="str">
        <f>_xlfn.XLOOKUP($E840,Sheet1!$E:$E,Sheet1!G:G)</f>
        <v>Auckland [New Zealand]</v>
      </c>
      <c r="H840" t="str">
        <f>_xlfn.XLOOKUP($E840,Sheet1!$E:$E,Sheet1!H:H)</f>
        <v>Auckland, Whenuapai Aws</v>
      </c>
      <c r="I840" t="str">
        <f>_xlfn.XLOOKUP($E840,Sheet1!$E:$E,Sheet1!I:I)</f>
        <v>Manual over-ride</v>
      </c>
      <c r="K840" t="s">
        <v>1839</v>
      </c>
      <c r="L840">
        <v>10133</v>
      </c>
    </row>
    <row r="841" spans="1:12" x14ac:dyDescent="0.25">
      <c r="A841" t="s">
        <v>20</v>
      </c>
      <c r="B841" t="s">
        <v>24</v>
      </c>
      <c r="C841" t="s">
        <v>987</v>
      </c>
      <c r="E841" t="s">
        <v>29</v>
      </c>
      <c r="F841" t="str">
        <f>_xlfn.XLOOKUP($E841,Sheet1!$E:$E,Sheet1!F:F)</f>
        <v>Auckland</v>
      </c>
      <c r="G841" t="str">
        <f>_xlfn.XLOOKUP($E841,Sheet1!$E:$E,Sheet1!G:G)</f>
        <v>Auckland [New Zealand]</v>
      </c>
      <c r="H841" t="str">
        <f>_xlfn.XLOOKUP($E841,Sheet1!$E:$E,Sheet1!H:H)</f>
        <v>Auckland, Whenuapai Aws</v>
      </c>
      <c r="I841" t="str">
        <f>_xlfn.XLOOKUP($E841,Sheet1!$E:$E,Sheet1!I:I)</f>
        <v>Manual over-ride</v>
      </c>
      <c r="K841" t="s">
        <v>48</v>
      </c>
      <c r="L841">
        <v>69601</v>
      </c>
    </row>
    <row r="842" spans="1:12" x14ac:dyDescent="0.25">
      <c r="A842" t="s">
        <v>20</v>
      </c>
      <c r="B842" t="s">
        <v>24</v>
      </c>
      <c r="C842" t="s">
        <v>988</v>
      </c>
      <c r="E842" t="s">
        <v>29</v>
      </c>
      <c r="F842" t="str">
        <f>_xlfn.XLOOKUP($E842,Sheet1!$E:$E,Sheet1!F:F)</f>
        <v>Auckland</v>
      </c>
      <c r="G842" t="str">
        <f>_xlfn.XLOOKUP($E842,Sheet1!$E:$E,Sheet1!G:G)</f>
        <v>Auckland [New Zealand]</v>
      </c>
      <c r="H842" t="str">
        <f>_xlfn.XLOOKUP($E842,Sheet1!$E:$E,Sheet1!H:H)</f>
        <v>Auckland, Whenuapai Aws</v>
      </c>
      <c r="I842" t="str">
        <f>_xlfn.XLOOKUP($E842,Sheet1!$E:$E,Sheet1!I:I)</f>
        <v>Manual over-ride</v>
      </c>
      <c r="K842" t="s">
        <v>135</v>
      </c>
      <c r="L842">
        <v>55290</v>
      </c>
    </row>
    <row r="843" spans="1:12" x14ac:dyDescent="0.25">
      <c r="A843" t="s">
        <v>20</v>
      </c>
      <c r="B843" t="s">
        <v>24</v>
      </c>
      <c r="C843" t="s">
        <v>989</v>
      </c>
      <c r="E843" t="s">
        <v>29</v>
      </c>
      <c r="F843" t="str">
        <f>_xlfn.XLOOKUP($E843,Sheet1!$E:$E,Sheet1!F:F)</f>
        <v>Auckland</v>
      </c>
      <c r="G843" t="str">
        <f>_xlfn.XLOOKUP($E843,Sheet1!$E:$E,Sheet1!G:G)</f>
        <v>Auckland [New Zealand]</v>
      </c>
      <c r="H843" t="str">
        <f>_xlfn.XLOOKUP($E843,Sheet1!$E:$E,Sheet1!H:H)</f>
        <v>Auckland, Whenuapai Aws</v>
      </c>
      <c r="I843" t="str">
        <f>_xlfn.XLOOKUP($E843,Sheet1!$E:$E,Sheet1!I:I)</f>
        <v>Manual over-ride</v>
      </c>
      <c r="K843" t="s">
        <v>1840</v>
      </c>
      <c r="L843">
        <v>20060</v>
      </c>
    </row>
    <row r="844" spans="1:12" x14ac:dyDescent="0.25">
      <c r="A844" t="s">
        <v>20</v>
      </c>
      <c r="B844" t="s">
        <v>24</v>
      </c>
      <c r="C844" t="s">
        <v>990</v>
      </c>
      <c r="E844" t="s">
        <v>29</v>
      </c>
      <c r="F844" t="str">
        <f>_xlfn.XLOOKUP($E844,Sheet1!$E:$E,Sheet1!F:F)</f>
        <v>Auckland</v>
      </c>
      <c r="G844" t="str">
        <f>_xlfn.XLOOKUP($E844,Sheet1!$E:$E,Sheet1!G:G)</f>
        <v>Auckland [New Zealand]</v>
      </c>
      <c r="H844" t="str">
        <f>_xlfn.XLOOKUP($E844,Sheet1!$E:$E,Sheet1!H:H)</f>
        <v>Auckland, Whenuapai Aws</v>
      </c>
      <c r="I844" t="str">
        <f>_xlfn.XLOOKUP($E844,Sheet1!$E:$E,Sheet1!I:I)</f>
        <v>Manual over-ride</v>
      </c>
      <c r="K844" t="s">
        <v>1841</v>
      </c>
      <c r="L844">
        <v>26013964</v>
      </c>
    </row>
    <row r="845" spans="1:12" x14ac:dyDescent="0.25">
      <c r="A845" t="s">
        <v>20</v>
      </c>
      <c r="B845" t="s">
        <v>24</v>
      </c>
      <c r="C845" t="s">
        <v>991</v>
      </c>
      <c r="E845" t="s">
        <v>29</v>
      </c>
      <c r="F845" t="str">
        <f>_xlfn.XLOOKUP($E845,Sheet1!$E:$E,Sheet1!F:F)</f>
        <v>Auckland</v>
      </c>
      <c r="G845" t="str">
        <f>_xlfn.XLOOKUP($E845,Sheet1!$E:$E,Sheet1!G:G)</f>
        <v>Auckland [New Zealand]</v>
      </c>
      <c r="H845" t="str">
        <f>_xlfn.XLOOKUP($E845,Sheet1!$E:$E,Sheet1!H:H)</f>
        <v>Auckland, Whenuapai Aws</v>
      </c>
      <c r="I845" t="str">
        <f>_xlfn.XLOOKUP($E845,Sheet1!$E:$E,Sheet1!I:I)</f>
        <v>Manual over-ride</v>
      </c>
      <c r="K845" t="s">
        <v>1842</v>
      </c>
      <c r="L845">
        <v>54848</v>
      </c>
    </row>
    <row r="846" spans="1:12" x14ac:dyDescent="0.25">
      <c r="A846" t="s">
        <v>20</v>
      </c>
      <c r="B846" t="s">
        <v>24</v>
      </c>
      <c r="C846" t="s">
        <v>992</v>
      </c>
      <c r="E846" t="s">
        <v>29</v>
      </c>
      <c r="F846" t="str">
        <f>_xlfn.XLOOKUP($E846,Sheet1!$E:$E,Sheet1!F:F)</f>
        <v>Auckland</v>
      </c>
      <c r="G846" t="str">
        <f>_xlfn.XLOOKUP($E846,Sheet1!$E:$E,Sheet1!G:G)</f>
        <v>Auckland [New Zealand]</v>
      </c>
      <c r="H846" t="str">
        <f>_xlfn.XLOOKUP($E846,Sheet1!$E:$E,Sheet1!H:H)</f>
        <v>Auckland, Whenuapai Aws</v>
      </c>
      <c r="I846" t="str">
        <f>_xlfn.XLOOKUP($E846,Sheet1!$E:$E,Sheet1!I:I)</f>
        <v>Manual over-ride</v>
      </c>
      <c r="K846" t="s">
        <v>992</v>
      </c>
      <c r="L846">
        <v>55970</v>
      </c>
    </row>
    <row r="847" spans="1:12" x14ac:dyDescent="0.25">
      <c r="A847" t="s">
        <v>20</v>
      </c>
      <c r="B847" t="s">
        <v>24</v>
      </c>
      <c r="C847" t="s">
        <v>993</v>
      </c>
      <c r="E847" t="s">
        <v>29</v>
      </c>
      <c r="F847" t="str">
        <f>_xlfn.XLOOKUP($E847,Sheet1!$E:$E,Sheet1!F:F)</f>
        <v>Auckland</v>
      </c>
      <c r="G847" t="str">
        <f>_xlfn.XLOOKUP($E847,Sheet1!$E:$E,Sheet1!G:G)</f>
        <v>Auckland [New Zealand]</v>
      </c>
      <c r="H847" t="str">
        <f>_xlfn.XLOOKUP($E847,Sheet1!$E:$E,Sheet1!H:H)</f>
        <v>Auckland, Whenuapai Aws</v>
      </c>
      <c r="I847" t="str">
        <f>_xlfn.XLOOKUP($E847,Sheet1!$E:$E,Sheet1!I:I)</f>
        <v>Manual over-ride</v>
      </c>
      <c r="K847" t="s">
        <v>1843</v>
      </c>
      <c r="L847">
        <v>26016613</v>
      </c>
    </row>
    <row r="848" spans="1:12" x14ac:dyDescent="0.25">
      <c r="A848" t="s">
        <v>20</v>
      </c>
      <c r="B848" t="s">
        <v>24</v>
      </c>
      <c r="C848" t="s">
        <v>994</v>
      </c>
      <c r="E848" t="s">
        <v>29</v>
      </c>
      <c r="F848" t="str">
        <f>_xlfn.XLOOKUP($E848,Sheet1!$E:$E,Sheet1!F:F)</f>
        <v>Auckland</v>
      </c>
      <c r="G848" t="str">
        <f>_xlfn.XLOOKUP($E848,Sheet1!$E:$E,Sheet1!G:G)</f>
        <v>Auckland [New Zealand]</v>
      </c>
      <c r="H848" t="str">
        <f>_xlfn.XLOOKUP($E848,Sheet1!$E:$E,Sheet1!H:H)</f>
        <v>Auckland, Whenuapai Aws</v>
      </c>
      <c r="I848" t="str">
        <f>_xlfn.XLOOKUP($E848,Sheet1!$E:$E,Sheet1!I:I)</f>
        <v>Manual over-ride</v>
      </c>
      <c r="K848" t="s">
        <v>128</v>
      </c>
      <c r="L848">
        <v>26005890</v>
      </c>
    </row>
    <row r="849" spans="1:12" x14ac:dyDescent="0.25">
      <c r="A849" t="s">
        <v>20</v>
      </c>
      <c r="B849" t="s">
        <v>24</v>
      </c>
      <c r="C849" t="s">
        <v>995</v>
      </c>
      <c r="E849" t="s">
        <v>29</v>
      </c>
      <c r="F849" t="str">
        <f>_xlfn.XLOOKUP($E849,Sheet1!$E:$E,Sheet1!F:F)</f>
        <v>Auckland</v>
      </c>
      <c r="G849" t="str">
        <f>_xlfn.XLOOKUP($E849,Sheet1!$E:$E,Sheet1!G:G)</f>
        <v>Auckland [New Zealand]</v>
      </c>
      <c r="H849" t="str">
        <f>_xlfn.XLOOKUP($E849,Sheet1!$E:$E,Sheet1!H:H)</f>
        <v>Auckland, Whenuapai Aws</v>
      </c>
      <c r="I849" t="str">
        <f>_xlfn.XLOOKUP($E849,Sheet1!$E:$E,Sheet1!I:I)</f>
        <v>Manual over-ride</v>
      </c>
      <c r="K849" t="s">
        <v>1844</v>
      </c>
      <c r="L849">
        <v>26020749</v>
      </c>
    </row>
    <row r="850" spans="1:12" x14ac:dyDescent="0.25">
      <c r="A850" t="s">
        <v>20</v>
      </c>
      <c r="B850" t="s">
        <v>24</v>
      </c>
      <c r="C850" t="s">
        <v>996</v>
      </c>
      <c r="E850" t="s">
        <v>29</v>
      </c>
      <c r="F850" t="str">
        <f>_xlfn.XLOOKUP($E850,Sheet1!$E:$E,Sheet1!F:F)</f>
        <v>Auckland</v>
      </c>
      <c r="G850" t="str">
        <f>_xlfn.XLOOKUP($E850,Sheet1!$E:$E,Sheet1!G:G)</f>
        <v>Auckland [New Zealand]</v>
      </c>
      <c r="H850" t="str">
        <f>_xlfn.XLOOKUP($E850,Sheet1!$E:$E,Sheet1!H:H)</f>
        <v>Auckland, Whenuapai Aws</v>
      </c>
      <c r="I850" t="str">
        <f>_xlfn.XLOOKUP($E850,Sheet1!$E:$E,Sheet1!I:I)</f>
        <v>Manual over-ride</v>
      </c>
      <c r="K850" t="s">
        <v>1845</v>
      </c>
      <c r="L850">
        <v>26010620</v>
      </c>
    </row>
    <row r="851" spans="1:12" x14ac:dyDescent="0.25">
      <c r="A851" t="s">
        <v>20</v>
      </c>
      <c r="B851" t="s">
        <v>24</v>
      </c>
      <c r="C851" t="s">
        <v>997</v>
      </c>
      <c r="E851" t="s">
        <v>29</v>
      </c>
      <c r="F851" t="str">
        <f>_xlfn.XLOOKUP($E851,Sheet1!$E:$E,Sheet1!F:F)</f>
        <v>Auckland</v>
      </c>
      <c r="G851" t="str">
        <f>_xlfn.XLOOKUP($E851,Sheet1!$E:$E,Sheet1!G:G)</f>
        <v>Auckland [New Zealand]</v>
      </c>
      <c r="H851" t="str">
        <f>_xlfn.XLOOKUP($E851,Sheet1!$E:$E,Sheet1!H:H)</f>
        <v>Auckland, Whenuapai Aws</v>
      </c>
      <c r="I851" t="str">
        <f>_xlfn.XLOOKUP($E851,Sheet1!$E:$E,Sheet1!I:I)</f>
        <v>Manual over-ride</v>
      </c>
      <c r="K851" t="s">
        <v>1846</v>
      </c>
      <c r="L851">
        <v>26016951</v>
      </c>
    </row>
    <row r="852" spans="1:12" x14ac:dyDescent="0.25">
      <c r="A852" t="s">
        <v>20</v>
      </c>
      <c r="B852" t="s">
        <v>24</v>
      </c>
      <c r="C852" t="s">
        <v>998</v>
      </c>
      <c r="E852" t="s">
        <v>29</v>
      </c>
      <c r="F852" t="str">
        <f>_xlfn.XLOOKUP($E852,Sheet1!$E:$E,Sheet1!F:F)</f>
        <v>Auckland</v>
      </c>
      <c r="G852" t="str">
        <f>_xlfn.XLOOKUP($E852,Sheet1!$E:$E,Sheet1!G:G)</f>
        <v>Auckland [New Zealand]</v>
      </c>
      <c r="H852" t="str">
        <f>_xlfn.XLOOKUP($E852,Sheet1!$E:$E,Sheet1!H:H)</f>
        <v>Auckland, Whenuapai Aws</v>
      </c>
      <c r="I852" t="str">
        <f>_xlfn.XLOOKUP($E852,Sheet1!$E:$E,Sheet1!I:I)</f>
        <v>Manual over-ride</v>
      </c>
      <c r="K852" t="s">
        <v>123</v>
      </c>
      <c r="L852">
        <v>24000170</v>
      </c>
    </row>
    <row r="853" spans="1:12" x14ac:dyDescent="0.25">
      <c r="A853" t="s">
        <v>20</v>
      </c>
      <c r="B853" t="s">
        <v>24</v>
      </c>
      <c r="C853" t="s">
        <v>999</v>
      </c>
      <c r="E853" t="s">
        <v>29</v>
      </c>
      <c r="F853" t="str">
        <f>_xlfn.XLOOKUP($E853,Sheet1!$E:$E,Sheet1!F:F)</f>
        <v>Auckland</v>
      </c>
      <c r="G853" t="str">
        <f>_xlfn.XLOOKUP($E853,Sheet1!$E:$E,Sheet1!G:G)</f>
        <v>Auckland [New Zealand]</v>
      </c>
      <c r="H853" t="str">
        <f>_xlfn.XLOOKUP($E853,Sheet1!$E:$E,Sheet1!H:H)</f>
        <v>Auckland, Whenuapai Aws</v>
      </c>
      <c r="I853" t="str">
        <f>_xlfn.XLOOKUP($E853,Sheet1!$E:$E,Sheet1!I:I)</f>
        <v>Manual over-ride</v>
      </c>
      <c r="K853" t="s">
        <v>119</v>
      </c>
      <c r="L853">
        <v>8803</v>
      </c>
    </row>
    <row r="854" spans="1:12" x14ac:dyDescent="0.25">
      <c r="A854" t="s">
        <v>20</v>
      </c>
      <c r="B854" t="s">
        <v>24</v>
      </c>
      <c r="C854" t="s">
        <v>1000</v>
      </c>
      <c r="E854" t="s">
        <v>29</v>
      </c>
      <c r="F854" t="str">
        <f>_xlfn.XLOOKUP($E854,Sheet1!$E:$E,Sheet1!F:F)</f>
        <v>Auckland</v>
      </c>
      <c r="G854" t="str">
        <f>_xlfn.XLOOKUP($E854,Sheet1!$E:$E,Sheet1!G:G)</f>
        <v>Auckland [New Zealand]</v>
      </c>
      <c r="H854" t="str">
        <f>_xlfn.XLOOKUP($E854,Sheet1!$E:$E,Sheet1!H:H)</f>
        <v>Auckland, Whenuapai Aws</v>
      </c>
      <c r="I854" t="str">
        <f>_xlfn.XLOOKUP($E854,Sheet1!$E:$E,Sheet1!I:I)</f>
        <v>Manual over-ride</v>
      </c>
      <c r="K854" t="s">
        <v>157</v>
      </c>
      <c r="L854">
        <v>24000002</v>
      </c>
    </row>
    <row r="855" spans="1:12" x14ac:dyDescent="0.25">
      <c r="A855" t="s">
        <v>20</v>
      </c>
      <c r="B855" t="s">
        <v>24</v>
      </c>
      <c r="C855" t="s">
        <v>1001</v>
      </c>
      <c r="E855" t="s">
        <v>29</v>
      </c>
      <c r="F855" t="str">
        <f>_xlfn.XLOOKUP($E855,Sheet1!$E:$E,Sheet1!F:F)</f>
        <v>Auckland</v>
      </c>
      <c r="G855" t="str">
        <f>_xlfn.XLOOKUP($E855,Sheet1!$E:$E,Sheet1!G:G)</f>
        <v>Auckland [New Zealand]</v>
      </c>
      <c r="H855" t="str">
        <f>_xlfn.XLOOKUP($E855,Sheet1!$E:$E,Sheet1!H:H)</f>
        <v>Auckland, Whenuapai Aws</v>
      </c>
      <c r="I855" t="str">
        <f>_xlfn.XLOOKUP($E855,Sheet1!$E:$E,Sheet1!I:I)</f>
        <v>Manual over-ride</v>
      </c>
      <c r="K855" t="s">
        <v>1847</v>
      </c>
      <c r="L855">
        <v>26020735</v>
      </c>
    </row>
    <row r="856" spans="1:12" x14ac:dyDescent="0.25">
      <c r="A856" t="s">
        <v>20</v>
      </c>
      <c r="B856" t="s">
        <v>24</v>
      </c>
      <c r="C856" t="s">
        <v>1002</v>
      </c>
      <c r="E856" t="s">
        <v>29</v>
      </c>
      <c r="F856" t="str">
        <f>_xlfn.XLOOKUP($E856,Sheet1!$E:$E,Sheet1!F:F)</f>
        <v>Auckland</v>
      </c>
      <c r="G856" t="str">
        <f>_xlfn.XLOOKUP($E856,Sheet1!$E:$E,Sheet1!G:G)</f>
        <v>Auckland [New Zealand]</v>
      </c>
      <c r="H856" t="str">
        <f>_xlfn.XLOOKUP($E856,Sheet1!$E:$E,Sheet1!H:H)</f>
        <v>Auckland, Whenuapai Aws</v>
      </c>
      <c r="I856" t="str">
        <f>_xlfn.XLOOKUP($E856,Sheet1!$E:$E,Sheet1!I:I)</f>
        <v>Manual over-ride</v>
      </c>
      <c r="K856" t="s">
        <v>1848</v>
      </c>
      <c r="L856">
        <v>26020736</v>
      </c>
    </row>
    <row r="857" spans="1:12" x14ac:dyDescent="0.25">
      <c r="A857" t="s">
        <v>20</v>
      </c>
      <c r="B857" t="s">
        <v>24</v>
      </c>
      <c r="C857" t="s">
        <v>1003</v>
      </c>
      <c r="E857" t="s">
        <v>29</v>
      </c>
      <c r="F857" t="str">
        <f>_xlfn.XLOOKUP($E857,Sheet1!$E:$E,Sheet1!F:F)</f>
        <v>Auckland</v>
      </c>
      <c r="G857" t="str">
        <f>_xlfn.XLOOKUP($E857,Sheet1!$E:$E,Sheet1!G:G)</f>
        <v>Auckland [New Zealand]</v>
      </c>
      <c r="H857" t="str">
        <f>_xlfn.XLOOKUP($E857,Sheet1!$E:$E,Sheet1!H:H)</f>
        <v>Auckland, Whenuapai Aws</v>
      </c>
      <c r="I857" t="str">
        <f>_xlfn.XLOOKUP($E857,Sheet1!$E:$E,Sheet1!I:I)</f>
        <v>Manual over-ride</v>
      </c>
      <c r="K857" t="s">
        <v>1849</v>
      </c>
      <c r="L857">
        <v>26009070</v>
      </c>
    </row>
    <row r="858" spans="1:12" x14ac:dyDescent="0.25">
      <c r="A858" t="s">
        <v>20</v>
      </c>
      <c r="B858" t="s">
        <v>24</v>
      </c>
      <c r="C858" t="s">
        <v>1004</v>
      </c>
      <c r="E858" t="s">
        <v>29</v>
      </c>
      <c r="F858" t="str">
        <f>_xlfn.XLOOKUP($E858,Sheet1!$E:$E,Sheet1!F:F)</f>
        <v>Auckland</v>
      </c>
      <c r="G858" t="str">
        <f>_xlfn.XLOOKUP($E858,Sheet1!$E:$E,Sheet1!G:G)</f>
        <v>Auckland [New Zealand]</v>
      </c>
      <c r="H858" t="str">
        <f>_xlfn.XLOOKUP($E858,Sheet1!$E:$E,Sheet1!H:H)</f>
        <v>Auckland, Whenuapai Aws</v>
      </c>
      <c r="I858" t="str">
        <f>_xlfn.XLOOKUP($E858,Sheet1!$E:$E,Sheet1!I:I)</f>
        <v>Manual over-ride</v>
      </c>
      <c r="K858" t="s">
        <v>37</v>
      </c>
      <c r="L858">
        <v>3512</v>
      </c>
    </row>
    <row r="859" spans="1:12" x14ac:dyDescent="0.25">
      <c r="A859" t="s">
        <v>20</v>
      </c>
      <c r="B859" t="s">
        <v>24</v>
      </c>
      <c r="C859" t="s">
        <v>1005</v>
      </c>
      <c r="E859" t="s">
        <v>29</v>
      </c>
      <c r="F859" t="str">
        <f>_xlfn.XLOOKUP($E859,Sheet1!$E:$E,Sheet1!F:F)</f>
        <v>Auckland</v>
      </c>
      <c r="G859" t="str">
        <f>_xlfn.XLOOKUP($E859,Sheet1!$E:$E,Sheet1!G:G)</f>
        <v>Auckland [New Zealand]</v>
      </c>
      <c r="H859" t="str">
        <f>_xlfn.XLOOKUP($E859,Sheet1!$E:$E,Sheet1!H:H)</f>
        <v>Auckland, Whenuapai Aws</v>
      </c>
      <c r="I859" t="str">
        <f>_xlfn.XLOOKUP($E859,Sheet1!$E:$E,Sheet1!I:I)</f>
        <v>Manual over-ride</v>
      </c>
      <c r="K859" t="s">
        <v>140</v>
      </c>
      <c r="L859">
        <v>30520</v>
      </c>
    </row>
    <row r="860" spans="1:12" x14ac:dyDescent="0.25">
      <c r="A860" t="s">
        <v>20</v>
      </c>
      <c r="B860" t="s">
        <v>24</v>
      </c>
      <c r="C860" t="s">
        <v>1006</v>
      </c>
      <c r="E860" t="s">
        <v>29</v>
      </c>
      <c r="F860" t="str">
        <f>_xlfn.XLOOKUP($E860,Sheet1!$E:$E,Sheet1!F:F)</f>
        <v>Auckland</v>
      </c>
      <c r="G860" t="str">
        <f>_xlfn.XLOOKUP($E860,Sheet1!$E:$E,Sheet1!G:G)</f>
        <v>Auckland [New Zealand]</v>
      </c>
      <c r="H860" t="str">
        <f>_xlfn.XLOOKUP($E860,Sheet1!$E:$E,Sheet1!H:H)</f>
        <v>Auckland, Whenuapai Aws</v>
      </c>
      <c r="I860" t="str">
        <f>_xlfn.XLOOKUP($E860,Sheet1!$E:$E,Sheet1!I:I)</f>
        <v>Manual over-ride</v>
      </c>
      <c r="K860" t="s">
        <v>1850</v>
      </c>
      <c r="L860">
        <v>26020751</v>
      </c>
    </row>
    <row r="861" spans="1:12" x14ac:dyDescent="0.25">
      <c r="A861" t="s">
        <v>20</v>
      </c>
      <c r="B861" t="s">
        <v>24</v>
      </c>
      <c r="C861" t="s">
        <v>1007</v>
      </c>
      <c r="E861" t="s">
        <v>29</v>
      </c>
      <c r="F861" t="str">
        <f>_xlfn.XLOOKUP($E861,Sheet1!$E:$E,Sheet1!F:F)</f>
        <v>Auckland</v>
      </c>
      <c r="G861" t="str">
        <f>_xlfn.XLOOKUP($E861,Sheet1!$E:$E,Sheet1!G:G)</f>
        <v>Auckland [New Zealand]</v>
      </c>
      <c r="H861" t="str">
        <f>_xlfn.XLOOKUP($E861,Sheet1!$E:$E,Sheet1!H:H)</f>
        <v>Auckland, Whenuapai Aws</v>
      </c>
      <c r="I861" t="str">
        <f>_xlfn.XLOOKUP($E861,Sheet1!$E:$E,Sheet1!I:I)</f>
        <v>Manual over-ride</v>
      </c>
      <c r="K861" t="s">
        <v>1851</v>
      </c>
      <c r="L861">
        <v>26020723</v>
      </c>
    </row>
    <row r="862" spans="1:12" x14ac:dyDescent="0.25">
      <c r="A862" t="s">
        <v>20</v>
      </c>
      <c r="B862" t="s">
        <v>24</v>
      </c>
      <c r="C862" t="s">
        <v>1008</v>
      </c>
      <c r="E862" t="s">
        <v>29</v>
      </c>
      <c r="F862" t="str">
        <f>_xlfn.XLOOKUP($E862,Sheet1!$E:$E,Sheet1!F:F)</f>
        <v>Auckland</v>
      </c>
      <c r="G862" t="str">
        <f>_xlfn.XLOOKUP($E862,Sheet1!$E:$E,Sheet1!G:G)</f>
        <v>Auckland [New Zealand]</v>
      </c>
      <c r="H862" t="str">
        <f>_xlfn.XLOOKUP($E862,Sheet1!$E:$E,Sheet1!H:H)</f>
        <v>Auckland, Whenuapai Aws</v>
      </c>
      <c r="I862" t="str">
        <f>_xlfn.XLOOKUP($E862,Sheet1!$E:$E,Sheet1!I:I)</f>
        <v>Manual over-ride</v>
      </c>
      <c r="K862" t="s">
        <v>1852</v>
      </c>
      <c r="L862">
        <v>26020742</v>
      </c>
    </row>
    <row r="863" spans="1:12" x14ac:dyDescent="0.25">
      <c r="A863" t="s">
        <v>20</v>
      </c>
      <c r="B863" t="s">
        <v>24</v>
      </c>
      <c r="C863" t="s">
        <v>1009</v>
      </c>
      <c r="E863" t="s">
        <v>29</v>
      </c>
      <c r="F863" t="str">
        <f>_xlfn.XLOOKUP($E863,Sheet1!$E:$E,Sheet1!F:F)</f>
        <v>Auckland</v>
      </c>
      <c r="G863" t="str">
        <f>_xlfn.XLOOKUP($E863,Sheet1!$E:$E,Sheet1!G:G)</f>
        <v>Auckland [New Zealand]</v>
      </c>
      <c r="H863" t="str">
        <f>_xlfn.XLOOKUP($E863,Sheet1!$E:$E,Sheet1!H:H)</f>
        <v>Auckland, Whenuapai Aws</v>
      </c>
      <c r="I863" t="str">
        <f>_xlfn.XLOOKUP($E863,Sheet1!$E:$E,Sheet1!I:I)</f>
        <v>Manual over-ride</v>
      </c>
      <c r="K863" t="s">
        <v>1853</v>
      </c>
      <c r="L863">
        <v>26001880</v>
      </c>
    </row>
    <row r="864" spans="1:12" x14ac:dyDescent="0.25">
      <c r="A864" t="s">
        <v>20</v>
      </c>
      <c r="B864" t="s">
        <v>24</v>
      </c>
      <c r="C864" t="s">
        <v>1010</v>
      </c>
      <c r="E864" t="s">
        <v>29</v>
      </c>
      <c r="F864" t="str">
        <f>_xlfn.XLOOKUP($E864,Sheet1!$E:$E,Sheet1!F:F)</f>
        <v>Auckland</v>
      </c>
      <c r="G864" t="str">
        <f>_xlfn.XLOOKUP($E864,Sheet1!$E:$E,Sheet1!G:G)</f>
        <v>Auckland [New Zealand]</v>
      </c>
      <c r="H864" t="str">
        <f>_xlfn.XLOOKUP($E864,Sheet1!$E:$E,Sheet1!H:H)</f>
        <v>Auckland, Whenuapai Aws</v>
      </c>
      <c r="I864" t="str">
        <f>_xlfn.XLOOKUP($E864,Sheet1!$E:$E,Sheet1!I:I)</f>
        <v>Manual over-ride</v>
      </c>
      <c r="K864" t="s">
        <v>1854</v>
      </c>
      <c r="L864">
        <v>10132</v>
      </c>
    </row>
    <row r="865" spans="1:12" x14ac:dyDescent="0.25">
      <c r="A865" t="s">
        <v>20</v>
      </c>
      <c r="B865" t="s">
        <v>24</v>
      </c>
      <c r="C865" t="s">
        <v>1011</v>
      </c>
      <c r="E865" t="s">
        <v>29</v>
      </c>
      <c r="F865" t="str">
        <f>_xlfn.XLOOKUP($E865,Sheet1!$E:$E,Sheet1!F:F)</f>
        <v>Auckland</v>
      </c>
      <c r="G865" t="str">
        <f>_xlfn.XLOOKUP($E865,Sheet1!$E:$E,Sheet1!G:G)</f>
        <v>Auckland [New Zealand]</v>
      </c>
      <c r="H865" t="str">
        <f>_xlfn.XLOOKUP($E865,Sheet1!$E:$E,Sheet1!H:H)</f>
        <v>Auckland, Whenuapai Aws</v>
      </c>
      <c r="I865" t="str">
        <f>_xlfn.XLOOKUP($E865,Sheet1!$E:$E,Sheet1!I:I)</f>
        <v>Manual over-ride</v>
      </c>
      <c r="K865" t="s">
        <v>98</v>
      </c>
      <c r="L865">
        <v>10075</v>
      </c>
    </row>
    <row r="866" spans="1:12" x14ac:dyDescent="0.25">
      <c r="A866" t="s">
        <v>20</v>
      </c>
      <c r="B866" t="s">
        <v>24</v>
      </c>
      <c r="C866" t="s">
        <v>1012</v>
      </c>
      <c r="E866" t="s">
        <v>29</v>
      </c>
      <c r="F866" t="str">
        <f>_xlfn.XLOOKUP($E866,Sheet1!$E:$E,Sheet1!F:F)</f>
        <v>Auckland</v>
      </c>
      <c r="G866" t="str">
        <f>_xlfn.XLOOKUP($E866,Sheet1!$E:$E,Sheet1!G:G)</f>
        <v>Auckland [New Zealand]</v>
      </c>
      <c r="H866" t="str">
        <f>_xlfn.XLOOKUP($E866,Sheet1!$E:$E,Sheet1!H:H)</f>
        <v>Auckland, Whenuapai Aws</v>
      </c>
      <c r="I866" t="str">
        <f>_xlfn.XLOOKUP($E866,Sheet1!$E:$E,Sheet1!I:I)</f>
        <v>Manual over-ride</v>
      </c>
      <c r="K866" t="s">
        <v>1855</v>
      </c>
      <c r="L866">
        <v>26006900</v>
      </c>
    </row>
    <row r="867" spans="1:12" x14ac:dyDescent="0.25">
      <c r="A867" t="s">
        <v>20</v>
      </c>
      <c r="B867" t="s">
        <v>24</v>
      </c>
      <c r="C867" t="s">
        <v>1013</v>
      </c>
      <c r="E867" t="s">
        <v>29</v>
      </c>
      <c r="F867" t="str">
        <f>_xlfn.XLOOKUP($E867,Sheet1!$E:$E,Sheet1!F:F)</f>
        <v>Auckland</v>
      </c>
      <c r="G867" t="str">
        <f>_xlfn.XLOOKUP($E867,Sheet1!$E:$E,Sheet1!G:G)</f>
        <v>Auckland [New Zealand]</v>
      </c>
      <c r="H867" t="str">
        <f>_xlfn.XLOOKUP($E867,Sheet1!$E:$E,Sheet1!H:H)</f>
        <v>Auckland, Whenuapai Aws</v>
      </c>
      <c r="I867" t="str">
        <f>_xlfn.XLOOKUP($E867,Sheet1!$E:$E,Sheet1!I:I)</f>
        <v>Manual over-ride</v>
      </c>
      <c r="K867" t="s">
        <v>1856</v>
      </c>
      <c r="L867">
        <v>26020683</v>
      </c>
    </row>
    <row r="868" spans="1:12" x14ac:dyDescent="0.25">
      <c r="A868" t="s">
        <v>20</v>
      </c>
      <c r="B868" t="s">
        <v>24</v>
      </c>
      <c r="C868" t="s">
        <v>1014</v>
      </c>
      <c r="E868" t="s">
        <v>29</v>
      </c>
      <c r="F868" t="str">
        <f>_xlfn.XLOOKUP($E868,Sheet1!$E:$E,Sheet1!F:F)</f>
        <v>Auckland</v>
      </c>
      <c r="G868" t="str">
        <f>_xlfn.XLOOKUP($E868,Sheet1!$E:$E,Sheet1!G:G)</f>
        <v>Auckland [New Zealand]</v>
      </c>
      <c r="H868" t="str">
        <f>_xlfn.XLOOKUP($E868,Sheet1!$E:$E,Sheet1!H:H)</f>
        <v>Auckland, Whenuapai Aws</v>
      </c>
      <c r="I868" t="str">
        <f>_xlfn.XLOOKUP($E868,Sheet1!$E:$E,Sheet1!I:I)</f>
        <v>Manual over-ride</v>
      </c>
      <c r="K868" t="s">
        <v>1857</v>
      </c>
      <c r="L868">
        <v>80120</v>
      </c>
    </row>
    <row r="869" spans="1:12" x14ac:dyDescent="0.25">
      <c r="A869" t="s">
        <v>20</v>
      </c>
      <c r="B869" t="s">
        <v>24</v>
      </c>
      <c r="C869" t="s">
        <v>1015</v>
      </c>
      <c r="E869" t="s">
        <v>29</v>
      </c>
      <c r="F869" t="str">
        <f>_xlfn.XLOOKUP($E869,Sheet1!$E:$E,Sheet1!F:F)</f>
        <v>Auckland</v>
      </c>
      <c r="G869" t="str">
        <f>_xlfn.XLOOKUP($E869,Sheet1!$E:$E,Sheet1!G:G)</f>
        <v>Auckland [New Zealand]</v>
      </c>
      <c r="H869" t="str">
        <f>_xlfn.XLOOKUP($E869,Sheet1!$E:$E,Sheet1!H:H)</f>
        <v>Auckland, Whenuapai Aws</v>
      </c>
      <c r="I869" t="str">
        <f>_xlfn.XLOOKUP($E869,Sheet1!$E:$E,Sheet1!I:I)</f>
        <v>Manual over-ride</v>
      </c>
      <c r="K869" t="s">
        <v>1858</v>
      </c>
      <c r="L869">
        <v>26020682</v>
      </c>
    </row>
    <row r="870" spans="1:12" x14ac:dyDescent="0.25">
      <c r="A870" t="s">
        <v>20</v>
      </c>
      <c r="B870" t="s">
        <v>24</v>
      </c>
      <c r="C870" t="s">
        <v>1016</v>
      </c>
      <c r="E870" t="s">
        <v>29</v>
      </c>
      <c r="F870" t="str">
        <f>_xlfn.XLOOKUP($E870,Sheet1!$E:$E,Sheet1!F:F)</f>
        <v>Auckland</v>
      </c>
      <c r="G870" t="str">
        <f>_xlfn.XLOOKUP($E870,Sheet1!$E:$E,Sheet1!G:G)</f>
        <v>Auckland [New Zealand]</v>
      </c>
      <c r="H870" t="str">
        <f>_xlfn.XLOOKUP($E870,Sheet1!$E:$E,Sheet1!H:H)</f>
        <v>Auckland, Whenuapai Aws</v>
      </c>
      <c r="I870" t="str">
        <f>_xlfn.XLOOKUP($E870,Sheet1!$E:$E,Sheet1!I:I)</f>
        <v>Manual over-ride</v>
      </c>
      <c r="K870" t="s">
        <v>1859</v>
      </c>
      <c r="L870">
        <v>26016636</v>
      </c>
    </row>
    <row r="871" spans="1:12" x14ac:dyDescent="0.25">
      <c r="A871" t="s">
        <v>20</v>
      </c>
      <c r="B871" t="s">
        <v>24</v>
      </c>
      <c r="C871" t="s">
        <v>1017</v>
      </c>
      <c r="E871" t="s">
        <v>29</v>
      </c>
      <c r="F871" t="str">
        <f>_xlfn.XLOOKUP($E871,Sheet1!$E:$E,Sheet1!F:F)</f>
        <v>Auckland</v>
      </c>
      <c r="G871" t="str">
        <f>_xlfn.XLOOKUP($E871,Sheet1!$E:$E,Sheet1!G:G)</f>
        <v>Auckland [New Zealand]</v>
      </c>
      <c r="H871" t="str">
        <f>_xlfn.XLOOKUP($E871,Sheet1!$E:$E,Sheet1!H:H)</f>
        <v>Auckland, Whenuapai Aws</v>
      </c>
      <c r="I871" t="str">
        <f>_xlfn.XLOOKUP($E871,Sheet1!$E:$E,Sheet1!I:I)</f>
        <v>Manual over-ride</v>
      </c>
      <c r="K871" t="s">
        <v>1860</v>
      </c>
      <c r="L871">
        <v>26020752</v>
      </c>
    </row>
    <row r="872" spans="1:12" x14ac:dyDescent="0.25">
      <c r="A872" t="s">
        <v>20</v>
      </c>
      <c r="B872" t="s">
        <v>24</v>
      </c>
      <c r="C872" t="s">
        <v>1018</v>
      </c>
      <c r="E872" t="s">
        <v>29</v>
      </c>
      <c r="F872" t="str">
        <f>_xlfn.XLOOKUP($E872,Sheet1!$E:$E,Sheet1!F:F)</f>
        <v>Auckland</v>
      </c>
      <c r="G872" t="str">
        <f>_xlfn.XLOOKUP($E872,Sheet1!$E:$E,Sheet1!G:G)</f>
        <v>Auckland [New Zealand]</v>
      </c>
      <c r="H872" t="str">
        <f>_xlfn.XLOOKUP($E872,Sheet1!$E:$E,Sheet1!H:H)</f>
        <v>Auckland, Whenuapai Aws</v>
      </c>
      <c r="I872" t="str">
        <f>_xlfn.XLOOKUP($E872,Sheet1!$E:$E,Sheet1!I:I)</f>
        <v>Manual over-ride</v>
      </c>
      <c r="K872" t="s">
        <v>1861</v>
      </c>
      <c r="L872">
        <v>60710</v>
      </c>
    </row>
    <row r="873" spans="1:12" x14ac:dyDescent="0.25">
      <c r="A873" t="s">
        <v>20</v>
      </c>
      <c r="B873" t="s">
        <v>24</v>
      </c>
      <c r="C873" t="s">
        <v>1019</v>
      </c>
      <c r="E873" t="s">
        <v>29</v>
      </c>
      <c r="F873" t="str">
        <f>_xlfn.XLOOKUP($E873,Sheet1!$E:$E,Sheet1!F:F)</f>
        <v>Auckland</v>
      </c>
      <c r="G873" t="str">
        <f>_xlfn.XLOOKUP($E873,Sheet1!$E:$E,Sheet1!G:G)</f>
        <v>Auckland [New Zealand]</v>
      </c>
      <c r="H873" t="str">
        <f>_xlfn.XLOOKUP($E873,Sheet1!$E:$E,Sheet1!H:H)</f>
        <v>Auckland, Whenuapai Aws</v>
      </c>
      <c r="I873" t="str">
        <f>_xlfn.XLOOKUP($E873,Sheet1!$E:$E,Sheet1!I:I)</f>
        <v>Manual over-ride</v>
      </c>
      <c r="K873" t="s">
        <v>1862</v>
      </c>
      <c r="L873">
        <v>26000460</v>
      </c>
    </row>
    <row r="874" spans="1:12" x14ac:dyDescent="0.25">
      <c r="A874" t="s">
        <v>20</v>
      </c>
      <c r="B874" t="s">
        <v>24</v>
      </c>
      <c r="C874" t="s">
        <v>1020</v>
      </c>
      <c r="E874" t="s">
        <v>29</v>
      </c>
      <c r="F874" t="str">
        <f>_xlfn.XLOOKUP($E874,Sheet1!$E:$E,Sheet1!F:F)</f>
        <v>Auckland</v>
      </c>
      <c r="G874" t="str">
        <f>_xlfn.XLOOKUP($E874,Sheet1!$E:$E,Sheet1!G:G)</f>
        <v>Auckland [New Zealand]</v>
      </c>
      <c r="H874" t="str">
        <f>_xlfn.XLOOKUP($E874,Sheet1!$E:$E,Sheet1!H:H)</f>
        <v>Auckland, Whenuapai Aws</v>
      </c>
      <c r="I874" t="str">
        <f>_xlfn.XLOOKUP($E874,Sheet1!$E:$E,Sheet1!I:I)</f>
        <v>Manual over-ride</v>
      </c>
      <c r="K874" t="s">
        <v>56</v>
      </c>
      <c r="L874">
        <v>26019486</v>
      </c>
    </row>
    <row r="875" spans="1:12" x14ac:dyDescent="0.25">
      <c r="A875" t="s">
        <v>20</v>
      </c>
      <c r="B875" t="s">
        <v>24</v>
      </c>
      <c r="C875" t="s">
        <v>1021</v>
      </c>
      <c r="E875" t="s">
        <v>29</v>
      </c>
      <c r="F875" t="str">
        <f>_xlfn.XLOOKUP($E875,Sheet1!$E:$E,Sheet1!F:F)</f>
        <v>Auckland</v>
      </c>
      <c r="G875" t="str">
        <f>_xlfn.XLOOKUP($E875,Sheet1!$E:$E,Sheet1!G:G)</f>
        <v>Auckland [New Zealand]</v>
      </c>
      <c r="H875" t="str">
        <f>_xlfn.XLOOKUP($E875,Sheet1!$E:$E,Sheet1!H:H)</f>
        <v>Auckland, Whenuapai Aws</v>
      </c>
      <c r="I875" t="str">
        <f>_xlfn.XLOOKUP($E875,Sheet1!$E:$E,Sheet1!I:I)</f>
        <v>Manual over-ride</v>
      </c>
      <c r="K875" t="s">
        <v>1863</v>
      </c>
      <c r="L875">
        <v>26017832</v>
      </c>
    </row>
    <row r="876" spans="1:12" x14ac:dyDescent="0.25">
      <c r="A876" t="s">
        <v>20</v>
      </c>
      <c r="B876" t="s">
        <v>24</v>
      </c>
      <c r="C876" t="s">
        <v>1022</v>
      </c>
      <c r="E876" t="s">
        <v>29</v>
      </c>
      <c r="F876" t="str">
        <f>_xlfn.XLOOKUP($E876,Sheet1!$E:$E,Sheet1!F:F)</f>
        <v>Auckland</v>
      </c>
      <c r="G876" t="str">
        <f>_xlfn.XLOOKUP($E876,Sheet1!$E:$E,Sheet1!G:G)</f>
        <v>Auckland [New Zealand]</v>
      </c>
      <c r="H876" t="str">
        <f>_xlfn.XLOOKUP($E876,Sheet1!$E:$E,Sheet1!H:H)</f>
        <v>Auckland, Whenuapai Aws</v>
      </c>
      <c r="I876" t="str">
        <f>_xlfn.XLOOKUP($E876,Sheet1!$E:$E,Sheet1!I:I)</f>
        <v>Manual over-ride</v>
      </c>
      <c r="K876" t="s">
        <v>1864</v>
      </c>
      <c r="L876">
        <v>26020744</v>
      </c>
    </row>
    <row r="877" spans="1:12" x14ac:dyDescent="0.25">
      <c r="A877" t="s">
        <v>20</v>
      </c>
      <c r="B877" t="s">
        <v>24</v>
      </c>
      <c r="C877" t="s">
        <v>1023</v>
      </c>
      <c r="E877" t="s">
        <v>29</v>
      </c>
      <c r="F877" t="str">
        <f>_xlfn.XLOOKUP($E877,Sheet1!$E:$E,Sheet1!F:F)</f>
        <v>Auckland</v>
      </c>
      <c r="G877" t="str">
        <f>_xlfn.XLOOKUP($E877,Sheet1!$E:$E,Sheet1!G:G)</f>
        <v>Auckland [New Zealand]</v>
      </c>
      <c r="H877" t="str">
        <f>_xlfn.XLOOKUP($E877,Sheet1!$E:$E,Sheet1!H:H)</f>
        <v>Auckland, Whenuapai Aws</v>
      </c>
      <c r="I877" t="str">
        <f>_xlfn.XLOOKUP($E877,Sheet1!$E:$E,Sheet1!I:I)</f>
        <v>Manual over-ride</v>
      </c>
      <c r="K877" t="s">
        <v>1865</v>
      </c>
      <c r="L877">
        <v>26016614</v>
      </c>
    </row>
    <row r="878" spans="1:12" x14ac:dyDescent="0.25">
      <c r="A878" t="s">
        <v>20</v>
      </c>
      <c r="B878" t="s">
        <v>24</v>
      </c>
      <c r="C878" t="s">
        <v>1024</v>
      </c>
      <c r="E878" t="s">
        <v>29</v>
      </c>
      <c r="F878" t="str">
        <f>_xlfn.XLOOKUP($E878,Sheet1!$E:$E,Sheet1!F:F)</f>
        <v>Auckland</v>
      </c>
      <c r="G878" t="str">
        <f>_xlfn.XLOOKUP($E878,Sheet1!$E:$E,Sheet1!G:G)</f>
        <v>Auckland [New Zealand]</v>
      </c>
      <c r="H878" t="str">
        <f>_xlfn.XLOOKUP($E878,Sheet1!$E:$E,Sheet1!H:H)</f>
        <v>Auckland, Whenuapai Aws</v>
      </c>
      <c r="I878" t="str">
        <f>_xlfn.XLOOKUP($E878,Sheet1!$E:$E,Sheet1!I:I)</f>
        <v>Manual over-ride</v>
      </c>
      <c r="K878" t="s">
        <v>1866</v>
      </c>
      <c r="L878">
        <v>26020737</v>
      </c>
    </row>
    <row r="879" spans="1:12" x14ac:dyDescent="0.25">
      <c r="A879" t="s">
        <v>20</v>
      </c>
      <c r="B879" t="s">
        <v>24</v>
      </c>
      <c r="C879" t="s">
        <v>1025</v>
      </c>
      <c r="E879" t="s">
        <v>29</v>
      </c>
      <c r="F879" t="str">
        <f>_xlfn.XLOOKUP($E879,Sheet1!$E:$E,Sheet1!F:F)</f>
        <v>Auckland</v>
      </c>
      <c r="G879" t="str">
        <f>_xlfn.XLOOKUP($E879,Sheet1!$E:$E,Sheet1!G:G)</f>
        <v>Auckland [New Zealand]</v>
      </c>
      <c r="H879" t="str">
        <f>_xlfn.XLOOKUP($E879,Sheet1!$E:$E,Sheet1!H:H)</f>
        <v>Auckland, Whenuapai Aws</v>
      </c>
      <c r="I879" t="str">
        <f>_xlfn.XLOOKUP($E879,Sheet1!$E:$E,Sheet1!I:I)</f>
        <v>Manual over-ride</v>
      </c>
      <c r="K879" t="s">
        <v>1867</v>
      </c>
      <c r="L879">
        <v>54847</v>
      </c>
    </row>
    <row r="880" spans="1:12" x14ac:dyDescent="0.25">
      <c r="A880" t="s">
        <v>20</v>
      </c>
      <c r="B880" t="s">
        <v>24</v>
      </c>
      <c r="C880" t="s">
        <v>1026</v>
      </c>
      <c r="E880" t="s">
        <v>29</v>
      </c>
      <c r="F880" t="str">
        <f>_xlfn.XLOOKUP($E880,Sheet1!$E:$E,Sheet1!F:F)</f>
        <v>Auckland</v>
      </c>
      <c r="G880" t="str">
        <f>_xlfn.XLOOKUP($E880,Sheet1!$E:$E,Sheet1!G:G)</f>
        <v>Auckland [New Zealand]</v>
      </c>
      <c r="H880" t="str">
        <f>_xlfn.XLOOKUP($E880,Sheet1!$E:$E,Sheet1!H:H)</f>
        <v>Auckland, Whenuapai Aws</v>
      </c>
      <c r="I880" t="str">
        <f>_xlfn.XLOOKUP($E880,Sheet1!$E:$E,Sheet1!I:I)</f>
        <v>Manual over-ride</v>
      </c>
      <c r="K880" t="s">
        <v>1868</v>
      </c>
      <c r="L880">
        <v>26020750</v>
      </c>
    </row>
    <row r="881" spans="1:12" x14ac:dyDescent="0.25">
      <c r="A881" t="s">
        <v>20</v>
      </c>
      <c r="B881" t="s">
        <v>24</v>
      </c>
      <c r="C881" t="s">
        <v>1027</v>
      </c>
      <c r="E881" t="s">
        <v>29</v>
      </c>
      <c r="F881" t="str">
        <f>_xlfn.XLOOKUP($E881,Sheet1!$E:$E,Sheet1!F:F)</f>
        <v>Auckland</v>
      </c>
      <c r="G881" t="str">
        <f>_xlfn.XLOOKUP($E881,Sheet1!$E:$E,Sheet1!G:G)</f>
        <v>Auckland [New Zealand]</v>
      </c>
      <c r="H881" t="str">
        <f>_xlfn.XLOOKUP($E881,Sheet1!$E:$E,Sheet1!H:H)</f>
        <v>Auckland, Whenuapai Aws</v>
      </c>
      <c r="I881" t="str">
        <f>_xlfn.XLOOKUP($E881,Sheet1!$E:$E,Sheet1!I:I)</f>
        <v>Manual over-ride</v>
      </c>
      <c r="K881" t="s">
        <v>1869</v>
      </c>
      <c r="L881">
        <v>60259</v>
      </c>
    </row>
    <row r="882" spans="1:12" x14ac:dyDescent="0.25">
      <c r="A882" t="s">
        <v>20</v>
      </c>
      <c r="B882" t="s">
        <v>24</v>
      </c>
      <c r="C882" t="s">
        <v>984</v>
      </c>
      <c r="E882" t="s">
        <v>29</v>
      </c>
      <c r="F882" t="str">
        <f>_xlfn.XLOOKUP($E882,Sheet1!$E:$E,Sheet1!F:F)</f>
        <v>Auckland</v>
      </c>
      <c r="G882" t="str">
        <f>_xlfn.XLOOKUP($E882,Sheet1!$E:$E,Sheet1!G:G)</f>
        <v>Auckland [New Zealand]</v>
      </c>
      <c r="H882" t="str">
        <f>_xlfn.XLOOKUP($E882,Sheet1!$E:$E,Sheet1!H:H)</f>
        <v>Auckland, Whenuapai Aws</v>
      </c>
      <c r="I882" t="str">
        <f>_xlfn.XLOOKUP($E882,Sheet1!$E:$E,Sheet1!I:I)</f>
        <v>Manual over-ride</v>
      </c>
      <c r="K882" t="s">
        <v>94</v>
      </c>
      <c r="L882">
        <v>32020</v>
      </c>
    </row>
    <row r="883" spans="1:12" x14ac:dyDescent="0.25">
      <c r="A883" t="s">
        <v>20</v>
      </c>
      <c r="B883" t="s">
        <v>24</v>
      </c>
      <c r="C883" t="s">
        <v>1028</v>
      </c>
      <c r="E883" t="s">
        <v>29</v>
      </c>
      <c r="F883" t="str">
        <f>_xlfn.XLOOKUP($E883,Sheet1!$E:$E,Sheet1!F:F)</f>
        <v>Auckland</v>
      </c>
      <c r="G883" t="str">
        <f>_xlfn.XLOOKUP($E883,Sheet1!$E:$E,Sheet1!G:G)</f>
        <v>Auckland [New Zealand]</v>
      </c>
      <c r="H883" t="str">
        <f>_xlfn.XLOOKUP($E883,Sheet1!$E:$E,Sheet1!H:H)</f>
        <v>Auckland, Whenuapai Aws</v>
      </c>
      <c r="I883" t="str">
        <f>_xlfn.XLOOKUP($E883,Sheet1!$E:$E,Sheet1!I:I)</f>
        <v>Manual over-ride</v>
      </c>
      <c r="K883" t="s">
        <v>1870</v>
      </c>
      <c r="L883">
        <v>26005332</v>
      </c>
    </row>
    <row r="884" spans="1:12" x14ac:dyDescent="0.25">
      <c r="A884" t="s">
        <v>20</v>
      </c>
      <c r="B884" t="s">
        <v>24</v>
      </c>
      <c r="C884" t="s">
        <v>1029</v>
      </c>
      <c r="E884" t="s">
        <v>29</v>
      </c>
      <c r="F884" t="str">
        <f>_xlfn.XLOOKUP($E884,Sheet1!$E:$E,Sheet1!F:F)</f>
        <v>Auckland</v>
      </c>
      <c r="G884" t="str">
        <f>_xlfn.XLOOKUP($E884,Sheet1!$E:$E,Sheet1!G:G)</f>
        <v>Auckland [New Zealand]</v>
      </c>
      <c r="H884" t="str">
        <f>_xlfn.XLOOKUP($E884,Sheet1!$E:$E,Sheet1!H:H)</f>
        <v>Auckland, Whenuapai Aws</v>
      </c>
      <c r="I884" t="str">
        <f>_xlfn.XLOOKUP($E884,Sheet1!$E:$E,Sheet1!I:I)</f>
        <v>Manual over-ride</v>
      </c>
      <c r="K884" t="s">
        <v>1871</v>
      </c>
      <c r="L884">
        <v>26017012</v>
      </c>
    </row>
    <row r="885" spans="1:12" x14ac:dyDescent="0.25">
      <c r="A885" t="s">
        <v>20</v>
      </c>
      <c r="B885" t="s">
        <v>24</v>
      </c>
      <c r="C885" t="s">
        <v>1030</v>
      </c>
      <c r="E885" t="s">
        <v>29</v>
      </c>
      <c r="F885" t="str">
        <f>_xlfn.XLOOKUP($E885,Sheet1!$E:$E,Sheet1!F:F)</f>
        <v>Auckland</v>
      </c>
      <c r="G885" t="str">
        <f>_xlfn.XLOOKUP($E885,Sheet1!$E:$E,Sheet1!G:G)</f>
        <v>Auckland [New Zealand]</v>
      </c>
      <c r="H885" t="str">
        <f>_xlfn.XLOOKUP($E885,Sheet1!$E:$E,Sheet1!H:H)</f>
        <v>Auckland, Whenuapai Aws</v>
      </c>
      <c r="I885" t="str">
        <f>_xlfn.XLOOKUP($E885,Sheet1!$E:$E,Sheet1!I:I)</f>
        <v>Manual over-ride</v>
      </c>
      <c r="K885" t="s">
        <v>1872</v>
      </c>
      <c r="L885">
        <v>26013130</v>
      </c>
    </row>
    <row r="886" spans="1:12" x14ac:dyDescent="0.25">
      <c r="A886" t="s">
        <v>20</v>
      </c>
      <c r="B886" t="s">
        <v>24</v>
      </c>
      <c r="C886" t="s">
        <v>1031</v>
      </c>
      <c r="E886" t="s">
        <v>29</v>
      </c>
      <c r="F886" t="str">
        <f>_xlfn.XLOOKUP($E886,Sheet1!$E:$E,Sheet1!F:F)</f>
        <v>Auckland</v>
      </c>
      <c r="G886" t="str">
        <f>_xlfn.XLOOKUP($E886,Sheet1!$E:$E,Sheet1!G:G)</f>
        <v>Auckland [New Zealand]</v>
      </c>
      <c r="H886" t="str">
        <f>_xlfn.XLOOKUP($E886,Sheet1!$E:$E,Sheet1!H:H)</f>
        <v>Auckland, Whenuapai Aws</v>
      </c>
      <c r="I886" t="str">
        <f>_xlfn.XLOOKUP($E886,Sheet1!$E:$E,Sheet1!I:I)</f>
        <v>Manual over-ride</v>
      </c>
      <c r="K886" t="s">
        <v>1873</v>
      </c>
      <c r="L886">
        <v>26016634</v>
      </c>
    </row>
    <row r="887" spans="1:12" x14ac:dyDescent="0.25">
      <c r="A887" t="s">
        <v>20</v>
      </c>
      <c r="B887" t="s">
        <v>24</v>
      </c>
      <c r="C887" t="s">
        <v>1032</v>
      </c>
      <c r="E887" t="s">
        <v>29</v>
      </c>
      <c r="F887" t="str">
        <f>_xlfn.XLOOKUP($E887,Sheet1!$E:$E,Sheet1!F:F)</f>
        <v>Auckland</v>
      </c>
      <c r="G887" t="str">
        <f>_xlfn.XLOOKUP($E887,Sheet1!$E:$E,Sheet1!G:G)</f>
        <v>Auckland [New Zealand]</v>
      </c>
      <c r="H887" t="str">
        <f>_xlfn.XLOOKUP($E887,Sheet1!$E:$E,Sheet1!H:H)</f>
        <v>Auckland, Whenuapai Aws</v>
      </c>
      <c r="I887" t="str">
        <f>_xlfn.XLOOKUP($E887,Sheet1!$E:$E,Sheet1!I:I)</f>
        <v>Manual over-ride</v>
      </c>
      <c r="K887" t="s">
        <v>1874</v>
      </c>
      <c r="L887">
        <v>26016615</v>
      </c>
    </row>
    <row r="888" spans="1:12" x14ac:dyDescent="0.25">
      <c r="A888" t="s">
        <v>20</v>
      </c>
      <c r="B888" t="s">
        <v>24</v>
      </c>
      <c r="C888" t="s">
        <v>1033</v>
      </c>
      <c r="E888" t="s">
        <v>29</v>
      </c>
      <c r="F888" t="str">
        <f>_xlfn.XLOOKUP($E888,Sheet1!$E:$E,Sheet1!F:F)</f>
        <v>Auckland</v>
      </c>
      <c r="G888" t="str">
        <f>_xlfn.XLOOKUP($E888,Sheet1!$E:$E,Sheet1!G:G)</f>
        <v>Auckland [New Zealand]</v>
      </c>
      <c r="H888" t="str">
        <f>_xlfn.XLOOKUP($E888,Sheet1!$E:$E,Sheet1!H:H)</f>
        <v>Auckland, Whenuapai Aws</v>
      </c>
      <c r="I888" t="str">
        <f>_xlfn.XLOOKUP($E888,Sheet1!$E:$E,Sheet1!I:I)</f>
        <v>Manual over-ride</v>
      </c>
      <c r="K888" t="s">
        <v>1875</v>
      </c>
      <c r="L888">
        <v>26020745</v>
      </c>
    </row>
    <row r="889" spans="1:12" x14ac:dyDescent="0.25">
      <c r="A889" t="s">
        <v>20</v>
      </c>
      <c r="B889" t="s">
        <v>24</v>
      </c>
      <c r="C889" t="s">
        <v>1034</v>
      </c>
      <c r="E889" t="s">
        <v>29</v>
      </c>
      <c r="F889" t="str">
        <f>_xlfn.XLOOKUP($E889,Sheet1!$E:$E,Sheet1!F:F)</f>
        <v>Auckland</v>
      </c>
      <c r="G889" t="str">
        <f>_xlfn.XLOOKUP($E889,Sheet1!$E:$E,Sheet1!G:G)</f>
        <v>Auckland [New Zealand]</v>
      </c>
      <c r="H889" t="str">
        <f>_xlfn.XLOOKUP($E889,Sheet1!$E:$E,Sheet1!H:H)</f>
        <v>Auckland, Whenuapai Aws</v>
      </c>
      <c r="I889" t="str">
        <f>_xlfn.XLOOKUP($E889,Sheet1!$E:$E,Sheet1!I:I)</f>
        <v>Manual over-ride</v>
      </c>
      <c r="K889" t="s">
        <v>55</v>
      </c>
      <c r="L889">
        <v>23000270</v>
      </c>
    </row>
    <row r="890" spans="1:12" x14ac:dyDescent="0.25">
      <c r="A890" t="s">
        <v>20</v>
      </c>
      <c r="B890" t="s">
        <v>24</v>
      </c>
      <c r="C890" t="s">
        <v>1035</v>
      </c>
      <c r="E890" t="s">
        <v>29</v>
      </c>
      <c r="F890" t="str">
        <f>_xlfn.XLOOKUP($E890,Sheet1!$E:$E,Sheet1!F:F)</f>
        <v>Auckland</v>
      </c>
      <c r="G890" t="str">
        <f>_xlfn.XLOOKUP($E890,Sheet1!$E:$E,Sheet1!G:G)</f>
        <v>Auckland [New Zealand]</v>
      </c>
      <c r="H890" t="str">
        <f>_xlfn.XLOOKUP($E890,Sheet1!$E:$E,Sheet1!H:H)</f>
        <v>Auckland, Whenuapai Aws</v>
      </c>
      <c r="I890" t="str">
        <f>_xlfn.XLOOKUP($E890,Sheet1!$E:$E,Sheet1!I:I)</f>
        <v>Manual over-ride</v>
      </c>
      <c r="K890" t="s">
        <v>1876</v>
      </c>
      <c r="L890">
        <v>26016622</v>
      </c>
    </row>
    <row r="891" spans="1:12" x14ac:dyDescent="0.25">
      <c r="A891" t="s">
        <v>20</v>
      </c>
      <c r="B891" t="s">
        <v>24</v>
      </c>
      <c r="C891" t="s">
        <v>1036</v>
      </c>
      <c r="E891" t="s">
        <v>29</v>
      </c>
      <c r="F891" t="str">
        <f>_xlfn.XLOOKUP($E891,Sheet1!$E:$E,Sheet1!F:F)</f>
        <v>Auckland</v>
      </c>
      <c r="G891" t="str">
        <f>_xlfn.XLOOKUP($E891,Sheet1!$E:$E,Sheet1!G:G)</f>
        <v>Auckland [New Zealand]</v>
      </c>
      <c r="H891" t="str">
        <f>_xlfn.XLOOKUP($E891,Sheet1!$E:$E,Sheet1!H:H)</f>
        <v>Auckland, Whenuapai Aws</v>
      </c>
      <c r="I891" t="str">
        <f>_xlfn.XLOOKUP($E891,Sheet1!$E:$E,Sheet1!I:I)</f>
        <v>Manual over-ride</v>
      </c>
      <c r="K891" t="s">
        <v>1877</v>
      </c>
      <c r="L891">
        <v>26016625</v>
      </c>
    </row>
    <row r="892" spans="1:12" x14ac:dyDescent="0.25">
      <c r="A892" t="s">
        <v>20</v>
      </c>
      <c r="B892" t="s">
        <v>24</v>
      </c>
      <c r="C892" t="s">
        <v>1037</v>
      </c>
      <c r="E892" t="s">
        <v>29</v>
      </c>
      <c r="F892" t="str">
        <f>_xlfn.XLOOKUP($E892,Sheet1!$E:$E,Sheet1!F:F)</f>
        <v>Auckland</v>
      </c>
      <c r="G892" t="str">
        <f>_xlfn.XLOOKUP($E892,Sheet1!$E:$E,Sheet1!G:G)</f>
        <v>Auckland [New Zealand]</v>
      </c>
      <c r="H892" t="str">
        <f>_xlfn.XLOOKUP($E892,Sheet1!$E:$E,Sheet1!H:H)</f>
        <v>Auckland, Whenuapai Aws</v>
      </c>
      <c r="I892" t="str">
        <f>_xlfn.XLOOKUP($E892,Sheet1!$E:$E,Sheet1!I:I)</f>
        <v>Manual over-ride</v>
      </c>
      <c r="K892" t="s">
        <v>133</v>
      </c>
      <c r="L892">
        <v>26004890</v>
      </c>
    </row>
    <row r="893" spans="1:12" x14ac:dyDescent="0.25">
      <c r="A893" t="s">
        <v>20</v>
      </c>
      <c r="B893" t="s">
        <v>24</v>
      </c>
      <c r="C893" t="s">
        <v>1038</v>
      </c>
      <c r="E893" t="s">
        <v>29</v>
      </c>
      <c r="F893" t="str">
        <f>_xlfn.XLOOKUP($E893,Sheet1!$E:$E,Sheet1!F:F)</f>
        <v>Auckland</v>
      </c>
      <c r="G893" t="str">
        <f>_xlfn.XLOOKUP($E893,Sheet1!$E:$E,Sheet1!G:G)</f>
        <v>Auckland [New Zealand]</v>
      </c>
      <c r="H893" t="str">
        <f>_xlfn.XLOOKUP($E893,Sheet1!$E:$E,Sheet1!H:H)</f>
        <v>Auckland, Whenuapai Aws</v>
      </c>
      <c r="I893" t="str">
        <f>_xlfn.XLOOKUP($E893,Sheet1!$E:$E,Sheet1!I:I)</f>
        <v>Manual over-ride</v>
      </c>
      <c r="K893" t="s">
        <v>1878</v>
      </c>
      <c r="L893">
        <v>24000043</v>
      </c>
    </row>
    <row r="894" spans="1:12" x14ac:dyDescent="0.25">
      <c r="A894" t="s">
        <v>20</v>
      </c>
      <c r="B894" t="s">
        <v>24</v>
      </c>
      <c r="C894" t="s">
        <v>1039</v>
      </c>
      <c r="E894" t="s">
        <v>29</v>
      </c>
      <c r="F894" t="str">
        <f>_xlfn.XLOOKUP($E894,Sheet1!$E:$E,Sheet1!F:F)</f>
        <v>Auckland</v>
      </c>
      <c r="G894" t="str">
        <f>_xlfn.XLOOKUP($E894,Sheet1!$E:$E,Sheet1!G:G)</f>
        <v>Auckland [New Zealand]</v>
      </c>
      <c r="H894" t="str">
        <f>_xlfn.XLOOKUP($E894,Sheet1!$E:$E,Sheet1!H:H)</f>
        <v>Auckland, Whenuapai Aws</v>
      </c>
      <c r="I894" t="str">
        <f>_xlfn.XLOOKUP($E894,Sheet1!$E:$E,Sheet1!I:I)</f>
        <v>Manual over-ride</v>
      </c>
      <c r="K894" t="s">
        <v>136</v>
      </c>
      <c r="L894">
        <v>60010</v>
      </c>
    </row>
    <row r="895" spans="1:12" x14ac:dyDescent="0.25">
      <c r="A895" t="s">
        <v>20</v>
      </c>
      <c r="B895" t="s">
        <v>24</v>
      </c>
      <c r="C895" t="s">
        <v>1040</v>
      </c>
      <c r="E895" t="s">
        <v>29</v>
      </c>
      <c r="F895" t="str">
        <f>_xlfn.XLOOKUP($E895,Sheet1!$E:$E,Sheet1!F:F)</f>
        <v>Auckland</v>
      </c>
      <c r="G895" t="str">
        <f>_xlfn.XLOOKUP($E895,Sheet1!$E:$E,Sheet1!G:G)</f>
        <v>Auckland [New Zealand]</v>
      </c>
      <c r="H895" t="str">
        <f>_xlfn.XLOOKUP($E895,Sheet1!$E:$E,Sheet1!H:H)</f>
        <v>Auckland, Whenuapai Aws</v>
      </c>
      <c r="I895" t="str">
        <f>_xlfn.XLOOKUP($E895,Sheet1!$E:$E,Sheet1!I:I)</f>
        <v>Manual over-ride</v>
      </c>
      <c r="K895" t="s">
        <v>117</v>
      </c>
      <c r="L895">
        <v>24000046</v>
      </c>
    </row>
    <row r="896" spans="1:12" x14ac:dyDescent="0.25">
      <c r="A896" t="s">
        <v>20</v>
      </c>
      <c r="B896" t="s">
        <v>24</v>
      </c>
      <c r="C896" t="s">
        <v>1041</v>
      </c>
      <c r="E896" t="s">
        <v>29</v>
      </c>
      <c r="F896" t="str">
        <f>_xlfn.XLOOKUP($E896,Sheet1!$E:$E,Sheet1!F:F)</f>
        <v>Auckland</v>
      </c>
      <c r="G896" t="str">
        <f>_xlfn.XLOOKUP($E896,Sheet1!$E:$E,Sheet1!G:G)</f>
        <v>Auckland [New Zealand]</v>
      </c>
      <c r="H896" t="str">
        <f>_xlfn.XLOOKUP($E896,Sheet1!$E:$E,Sheet1!H:H)</f>
        <v>Auckland, Whenuapai Aws</v>
      </c>
      <c r="I896" t="str">
        <f>_xlfn.XLOOKUP($E896,Sheet1!$E:$E,Sheet1!I:I)</f>
        <v>Manual over-ride</v>
      </c>
      <c r="K896" t="s">
        <v>1879</v>
      </c>
      <c r="L896">
        <v>26019459</v>
      </c>
    </row>
    <row r="897" spans="1:12" x14ac:dyDescent="0.25">
      <c r="A897" t="s">
        <v>20</v>
      </c>
      <c r="B897" t="s">
        <v>24</v>
      </c>
      <c r="C897" t="s">
        <v>1042</v>
      </c>
      <c r="E897" t="s">
        <v>29</v>
      </c>
      <c r="F897" t="str">
        <f>_xlfn.XLOOKUP($E897,Sheet1!$E:$E,Sheet1!F:F)</f>
        <v>Auckland</v>
      </c>
      <c r="G897" t="str">
        <f>_xlfn.XLOOKUP($E897,Sheet1!$E:$E,Sheet1!G:G)</f>
        <v>Auckland [New Zealand]</v>
      </c>
      <c r="H897" t="str">
        <f>_xlfn.XLOOKUP($E897,Sheet1!$E:$E,Sheet1!H:H)</f>
        <v>Auckland, Whenuapai Aws</v>
      </c>
      <c r="I897" t="str">
        <f>_xlfn.XLOOKUP($E897,Sheet1!$E:$E,Sheet1!I:I)</f>
        <v>Manual over-ride</v>
      </c>
      <c r="K897" t="s">
        <v>1880</v>
      </c>
      <c r="L897">
        <v>26020743</v>
      </c>
    </row>
    <row r="898" spans="1:12" x14ac:dyDescent="0.25">
      <c r="A898" t="s">
        <v>20</v>
      </c>
      <c r="B898" t="s">
        <v>24</v>
      </c>
      <c r="C898" t="s">
        <v>1043</v>
      </c>
      <c r="E898" t="s">
        <v>29</v>
      </c>
      <c r="F898" t="str">
        <f>_xlfn.XLOOKUP($E898,Sheet1!$E:$E,Sheet1!F:F)</f>
        <v>Auckland</v>
      </c>
      <c r="G898" t="str">
        <f>_xlfn.XLOOKUP($E898,Sheet1!$E:$E,Sheet1!G:G)</f>
        <v>Auckland [New Zealand]</v>
      </c>
      <c r="H898" t="str">
        <f>_xlfn.XLOOKUP($E898,Sheet1!$E:$E,Sheet1!H:H)</f>
        <v>Auckland, Whenuapai Aws</v>
      </c>
      <c r="I898" t="str">
        <f>_xlfn.XLOOKUP($E898,Sheet1!$E:$E,Sheet1!I:I)</f>
        <v>Manual over-ride</v>
      </c>
      <c r="K898" t="s">
        <v>1881</v>
      </c>
      <c r="L898">
        <v>26004360</v>
      </c>
    </row>
    <row r="899" spans="1:12" x14ac:dyDescent="0.25">
      <c r="A899" t="s">
        <v>20</v>
      </c>
      <c r="B899" t="s">
        <v>24</v>
      </c>
      <c r="C899" t="s">
        <v>1044</v>
      </c>
      <c r="E899" t="s">
        <v>29</v>
      </c>
      <c r="F899" t="str">
        <f>_xlfn.XLOOKUP($E899,Sheet1!$E:$E,Sheet1!F:F)</f>
        <v>Auckland</v>
      </c>
      <c r="G899" t="str">
        <f>_xlfn.XLOOKUP($E899,Sheet1!$E:$E,Sheet1!G:G)</f>
        <v>Auckland [New Zealand]</v>
      </c>
      <c r="H899" t="str">
        <f>_xlfn.XLOOKUP($E899,Sheet1!$E:$E,Sheet1!H:H)</f>
        <v>Auckland, Whenuapai Aws</v>
      </c>
      <c r="I899" t="str">
        <f>_xlfn.XLOOKUP($E899,Sheet1!$E:$E,Sheet1!I:I)</f>
        <v>Manual over-ride</v>
      </c>
      <c r="K899" t="s">
        <v>1882</v>
      </c>
      <c r="L899">
        <v>54947</v>
      </c>
    </row>
    <row r="900" spans="1:12" x14ac:dyDescent="0.25">
      <c r="A900" t="s">
        <v>20</v>
      </c>
      <c r="B900" t="s">
        <v>24</v>
      </c>
      <c r="C900" t="s">
        <v>1045</v>
      </c>
      <c r="E900" t="s">
        <v>29</v>
      </c>
      <c r="F900" t="str">
        <f>_xlfn.XLOOKUP($E900,Sheet1!$E:$E,Sheet1!F:F)</f>
        <v>Auckland</v>
      </c>
      <c r="G900" t="str">
        <f>_xlfn.XLOOKUP($E900,Sheet1!$E:$E,Sheet1!G:G)</f>
        <v>Auckland [New Zealand]</v>
      </c>
      <c r="H900" t="str">
        <f>_xlfn.XLOOKUP($E900,Sheet1!$E:$E,Sheet1!H:H)</f>
        <v>Auckland, Whenuapai Aws</v>
      </c>
      <c r="I900" t="str">
        <f>_xlfn.XLOOKUP($E900,Sheet1!$E:$E,Sheet1!I:I)</f>
        <v>Manual over-ride</v>
      </c>
      <c r="K900" t="s">
        <v>1883</v>
      </c>
      <c r="L900">
        <v>60712</v>
      </c>
    </row>
    <row r="901" spans="1:12" x14ac:dyDescent="0.25">
      <c r="A901" t="s">
        <v>20</v>
      </c>
      <c r="B901" t="s">
        <v>24</v>
      </c>
      <c r="C901" t="s">
        <v>1046</v>
      </c>
      <c r="E901" t="s">
        <v>29</v>
      </c>
      <c r="F901" t="str">
        <f>_xlfn.XLOOKUP($E901,Sheet1!$E:$E,Sheet1!F:F)</f>
        <v>Auckland</v>
      </c>
      <c r="G901" t="str">
        <f>_xlfn.XLOOKUP($E901,Sheet1!$E:$E,Sheet1!G:G)</f>
        <v>Auckland [New Zealand]</v>
      </c>
      <c r="H901" t="str">
        <f>_xlfn.XLOOKUP($E901,Sheet1!$E:$E,Sheet1!H:H)</f>
        <v>Auckland, Whenuapai Aws</v>
      </c>
      <c r="I901" t="str">
        <f>_xlfn.XLOOKUP($E901,Sheet1!$E:$E,Sheet1!I:I)</f>
        <v>Manual over-ride</v>
      </c>
      <c r="K901" t="s">
        <v>89</v>
      </c>
      <c r="L901">
        <v>24000333</v>
      </c>
    </row>
    <row r="902" spans="1:12" x14ac:dyDescent="0.25">
      <c r="A902" t="s">
        <v>20</v>
      </c>
      <c r="B902" t="s">
        <v>24</v>
      </c>
      <c r="C902" t="s">
        <v>1047</v>
      </c>
      <c r="E902" t="s">
        <v>29</v>
      </c>
      <c r="F902" t="str">
        <f>_xlfn.XLOOKUP($E902,Sheet1!$E:$E,Sheet1!F:F)</f>
        <v>Auckland</v>
      </c>
      <c r="G902" t="str">
        <f>_xlfn.XLOOKUP($E902,Sheet1!$E:$E,Sheet1!G:G)</f>
        <v>Auckland [New Zealand]</v>
      </c>
      <c r="H902" t="str">
        <f>_xlfn.XLOOKUP($E902,Sheet1!$E:$E,Sheet1!H:H)</f>
        <v>Auckland, Whenuapai Aws</v>
      </c>
      <c r="I902" t="str">
        <f>_xlfn.XLOOKUP($E902,Sheet1!$E:$E,Sheet1!I:I)</f>
        <v>Manual over-ride</v>
      </c>
      <c r="K902" t="s">
        <v>137</v>
      </c>
      <c r="L902">
        <v>20040</v>
      </c>
    </row>
    <row r="903" spans="1:12" x14ac:dyDescent="0.25">
      <c r="A903" t="s">
        <v>20</v>
      </c>
      <c r="B903" t="s">
        <v>24</v>
      </c>
      <c r="C903" t="s">
        <v>1048</v>
      </c>
      <c r="E903" t="s">
        <v>29</v>
      </c>
      <c r="F903" t="str">
        <f>_xlfn.XLOOKUP($E903,Sheet1!$E:$E,Sheet1!F:F)</f>
        <v>Auckland</v>
      </c>
      <c r="G903" t="str">
        <f>_xlfn.XLOOKUP($E903,Sheet1!$E:$E,Sheet1!G:G)</f>
        <v>Auckland [New Zealand]</v>
      </c>
      <c r="H903" t="str">
        <f>_xlfn.XLOOKUP($E903,Sheet1!$E:$E,Sheet1!H:H)</f>
        <v>Auckland, Whenuapai Aws</v>
      </c>
      <c r="I903" t="str">
        <f>_xlfn.XLOOKUP($E903,Sheet1!$E:$E,Sheet1!I:I)</f>
        <v>Manual over-ride</v>
      </c>
      <c r="K903" t="s">
        <v>115</v>
      </c>
      <c r="L903">
        <v>8801</v>
      </c>
    </row>
    <row r="904" spans="1:12" x14ac:dyDescent="0.25">
      <c r="A904" t="s">
        <v>20</v>
      </c>
      <c r="B904" t="s">
        <v>24</v>
      </c>
      <c r="C904" t="s">
        <v>1049</v>
      </c>
      <c r="E904" t="s">
        <v>29</v>
      </c>
      <c r="F904" t="str">
        <f>_xlfn.XLOOKUP($E904,Sheet1!$E:$E,Sheet1!F:F)</f>
        <v>Auckland</v>
      </c>
      <c r="G904" t="str">
        <f>_xlfn.XLOOKUP($E904,Sheet1!$E:$E,Sheet1!G:G)</f>
        <v>Auckland [New Zealand]</v>
      </c>
      <c r="H904" t="str">
        <f>_xlfn.XLOOKUP($E904,Sheet1!$E:$E,Sheet1!H:H)</f>
        <v>Auckland, Whenuapai Aws</v>
      </c>
      <c r="I904" t="str">
        <f>_xlfn.XLOOKUP($E904,Sheet1!$E:$E,Sheet1!I:I)</f>
        <v>Manual over-ride</v>
      </c>
      <c r="K904" t="s">
        <v>1884</v>
      </c>
      <c r="L904">
        <v>24000038</v>
      </c>
    </row>
    <row r="905" spans="1:12" x14ac:dyDescent="0.25">
      <c r="A905" t="s">
        <v>20</v>
      </c>
      <c r="B905" t="s">
        <v>24</v>
      </c>
      <c r="C905" t="s">
        <v>1050</v>
      </c>
      <c r="E905" t="s">
        <v>29</v>
      </c>
      <c r="F905" t="str">
        <f>_xlfn.XLOOKUP($E905,Sheet1!$E:$E,Sheet1!F:F)</f>
        <v>Auckland</v>
      </c>
      <c r="G905" t="str">
        <f>_xlfn.XLOOKUP($E905,Sheet1!$E:$E,Sheet1!G:G)</f>
        <v>Auckland [New Zealand]</v>
      </c>
      <c r="H905" t="str">
        <f>_xlfn.XLOOKUP($E905,Sheet1!$E:$E,Sheet1!H:H)</f>
        <v>Auckland, Whenuapai Aws</v>
      </c>
      <c r="I905" t="str">
        <f>_xlfn.XLOOKUP($E905,Sheet1!$E:$E,Sheet1!I:I)</f>
        <v>Manual over-ride</v>
      </c>
      <c r="K905" t="s">
        <v>1885</v>
      </c>
      <c r="L905">
        <v>24000042</v>
      </c>
    </row>
    <row r="906" spans="1:12" x14ac:dyDescent="0.25">
      <c r="A906" t="s">
        <v>20</v>
      </c>
      <c r="B906" t="s">
        <v>24</v>
      </c>
      <c r="C906" t="s">
        <v>1051</v>
      </c>
      <c r="E906" t="s">
        <v>29</v>
      </c>
      <c r="F906" t="str">
        <f>_xlfn.XLOOKUP($E906,Sheet1!$E:$E,Sheet1!F:F)</f>
        <v>Auckland</v>
      </c>
      <c r="G906" t="str">
        <f>_xlfn.XLOOKUP($E906,Sheet1!$E:$E,Sheet1!G:G)</f>
        <v>Auckland [New Zealand]</v>
      </c>
      <c r="H906" t="str">
        <f>_xlfn.XLOOKUP($E906,Sheet1!$E:$E,Sheet1!H:H)</f>
        <v>Auckland, Whenuapai Aws</v>
      </c>
      <c r="I906" t="str">
        <f>_xlfn.XLOOKUP($E906,Sheet1!$E:$E,Sheet1!I:I)</f>
        <v>Manual over-ride</v>
      </c>
      <c r="K906" t="s">
        <v>149</v>
      </c>
      <c r="L906">
        <v>26020493</v>
      </c>
    </row>
    <row r="907" spans="1:12" x14ac:dyDescent="0.25">
      <c r="A907" t="s">
        <v>20</v>
      </c>
      <c r="B907" t="s">
        <v>24</v>
      </c>
      <c r="C907" t="s">
        <v>1052</v>
      </c>
      <c r="E907" t="s">
        <v>29</v>
      </c>
      <c r="F907" t="str">
        <f>_xlfn.XLOOKUP($E907,Sheet1!$E:$E,Sheet1!F:F)</f>
        <v>Auckland</v>
      </c>
      <c r="G907" t="str">
        <f>_xlfn.XLOOKUP($E907,Sheet1!$E:$E,Sheet1!G:G)</f>
        <v>Auckland [New Zealand]</v>
      </c>
      <c r="H907" t="str">
        <f>_xlfn.XLOOKUP($E907,Sheet1!$E:$E,Sheet1!H:H)</f>
        <v>Auckland, Whenuapai Aws</v>
      </c>
      <c r="I907" t="str">
        <f>_xlfn.XLOOKUP($E907,Sheet1!$E:$E,Sheet1!I:I)</f>
        <v>Manual over-ride</v>
      </c>
      <c r="K907" t="s">
        <v>1886</v>
      </c>
      <c r="L907">
        <v>26016947</v>
      </c>
    </row>
    <row r="908" spans="1:12" x14ac:dyDescent="0.25">
      <c r="A908" t="s">
        <v>20</v>
      </c>
      <c r="B908" t="s">
        <v>24</v>
      </c>
      <c r="C908" t="s">
        <v>1053</v>
      </c>
      <c r="E908" t="s">
        <v>29</v>
      </c>
      <c r="F908" t="str">
        <f>_xlfn.XLOOKUP($E908,Sheet1!$E:$E,Sheet1!F:F)</f>
        <v>Auckland</v>
      </c>
      <c r="G908" t="str">
        <f>_xlfn.XLOOKUP($E908,Sheet1!$E:$E,Sheet1!G:G)</f>
        <v>Auckland [New Zealand]</v>
      </c>
      <c r="H908" t="str">
        <f>_xlfn.XLOOKUP($E908,Sheet1!$E:$E,Sheet1!H:H)</f>
        <v>Auckland, Whenuapai Aws</v>
      </c>
      <c r="I908" t="str">
        <f>_xlfn.XLOOKUP($E908,Sheet1!$E:$E,Sheet1!I:I)</f>
        <v>Manual over-ride</v>
      </c>
      <c r="K908" t="s">
        <v>1887</v>
      </c>
      <c r="L908">
        <v>26020738</v>
      </c>
    </row>
    <row r="909" spans="1:12" x14ac:dyDescent="0.25">
      <c r="A909" t="s">
        <v>20</v>
      </c>
      <c r="B909" t="s">
        <v>24</v>
      </c>
      <c r="C909" t="s">
        <v>1054</v>
      </c>
      <c r="E909" t="s">
        <v>29</v>
      </c>
      <c r="F909" t="str">
        <f>_xlfn.XLOOKUP($E909,Sheet1!$E:$E,Sheet1!F:F)</f>
        <v>Auckland</v>
      </c>
      <c r="G909" t="str">
        <f>_xlfn.XLOOKUP($E909,Sheet1!$E:$E,Sheet1!G:G)</f>
        <v>Auckland [New Zealand]</v>
      </c>
      <c r="H909" t="str">
        <f>_xlfn.XLOOKUP($E909,Sheet1!$E:$E,Sheet1!H:H)</f>
        <v>Auckland, Whenuapai Aws</v>
      </c>
      <c r="I909" t="str">
        <f>_xlfn.XLOOKUP($E909,Sheet1!$E:$E,Sheet1!I:I)</f>
        <v>Manual over-ride</v>
      </c>
      <c r="K909" t="s">
        <v>1888</v>
      </c>
      <c r="L909">
        <v>26012350</v>
      </c>
    </row>
    <row r="910" spans="1:12" x14ac:dyDescent="0.25">
      <c r="A910" t="s">
        <v>20</v>
      </c>
      <c r="B910" t="s">
        <v>24</v>
      </c>
      <c r="C910" t="s">
        <v>1055</v>
      </c>
      <c r="E910" t="s">
        <v>29</v>
      </c>
      <c r="F910" t="str">
        <f>_xlfn.XLOOKUP($E910,Sheet1!$E:$E,Sheet1!F:F)</f>
        <v>Auckland</v>
      </c>
      <c r="G910" t="str">
        <f>_xlfn.XLOOKUP($E910,Sheet1!$E:$E,Sheet1!G:G)</f>
        <v>Auckland [New Zealand]</v>
      </c>
      <c r="H910" t="str">
        <f>_xlfn.XLOOKUP($E910,Sheet1!$E:$E,Sheet1!H:H)</f>
        <v>Auckland, Whenuapai Aws</v>
      </c>
      <c r="I910" t="str">
        <f>_xlfn.XLOOKUP($E910,Sheet1!$E:$E,Sheet1!I:I)</f>
        <v>Manual over-ride</v>
      </c>
      <c r="K910" t="s">
        <v>1889</v>
      </c>
      <c r="L910">
        <v>23000610</v>
      </c>
    </row>
    <row r="911" spans="1:12" x14ac:dyDescent="0.25">
      <c r="A911" t="s">
        <v>20</v>
      </c>
      <c r="B911" t="s">
        <v>24</v>
      </c>
      <c r="C911" t="s">
        <v>1056</v>
      </c>
      <c r="E911" t="s">
        <v>29</v>
      </c>
      <c r="F911" t="str">
        <f>_xlfn.XLOOKUP($E911,Sheet1!$E:$E,Sheet1!F:F)</f>
        <v>Auckland</v>
      </c>
      <c r="G911" t="str">
        <f>_xlfn.XLOOKUP($E911,Sheet1!$E:$E,Sheet1!G:G)</f>
        <v>Auckland [New Zealand]</v>
      </c>
      <c r="H911" t="str">
        <f>_xlfn.XLOOKUP($E911,Sheet1!$E:$E,Sheet1!H:H)</f>
        <v>Auckland, Whenuapai Aws</v>
      </c>
      <c r="I911" t="str">
        <f>_xlfn.XLOOKUP($E911,Sheet1!$E:$E,Sheet1!I:I)</f>
        <v>Manual over-ride</v>
      </c>
      <c r="K911" t="s">
        <v>1890</v>
      </c>
      <c r="L911">
        <v>50121</v>
      </c>
    </row>
    <row r="912" spans="1:12" x14ac:dyDescent="0.25">
      <c r="A912" t="s">
        <v>20</v>
      </c>
      <c r="B912" t="s">
        <v>24</v>
      </c>
      <c r="C912" t="s">
        <v>1057</v>
      </c>
      <c r="E912" t="s">
        <v>29</v>
      </c>
      <c r="F912" t="str">
        <f>_xlfn.XLOOKUP($E912,Sheet1!$E:$E,Sheet1!F:F)</f>
        <v>Auckland</v>
      </c>
      <c r="G912" t="str">
        <f>_xlfn.XLOOKUP($E912,Sheet1!$E:$E,Sheet1!G:G)</f>
        <v>Auckland [New Zealand]</v>
      </c>
      <c r="H912" t="str">
        <f>_xlfn.XLOOKUP($E912,Sheet1!$E:$E,Sheet1!H:H)</f>
        <v>Auckland, Whenuapai Aws</v>
      </c>
      <c r="I912" t="str">
        <f>_xlfn.XLOOKUP($E912,Sheet1!$E:$E,Sheet1!I:I)</f>
        <v>Manual over-ride</v>
      </c>
      <c r="K912" t="s">
        <v>1891</v>
      </c>
      <c r="L912">
        <v>26016230</v>
      </c>
    </row>
    <row r="913" spans="1:12" x14ac:dyDescent="0.25">
      <c r="A913" t="s">
        <v>20</v>
      </c>
      <c r="B913" t="s">
        <v>24</v>
      </c>
      <c r="C913" t="s">
        <v>1058</v>
      </c>
      <c r="E913" t="s">
        <v>29</v>
      </c>
      <c r="F913" t="str">
        <f>_xlfn.XLOOKUP($E913,Sheet1!$E:$E,Sheet1!F:F)</f>
        <v>Auckland</v>
      </c>
      <c r="G913" t="str">
        <f>_xlfn.XLOOKUP($E913,Sheet1!$E:$E,Sheet1!G:G)</f>
        <v>Auckland [New Zealand]</v>
      </c>
      <c r="H913" t="str">
        <f>_xlfn.XLOOKUP($E913,Sheet1!$E:$E,Sheet1!H:H)</f>
        <v>Auckland, Whenuapai Aws</v>
      </c>
      <c r="I913" t="str">
        <f>_xlfn.XLOOKUP($E913,Sheet1!$E:$E,Sheet1!I:I)</f>
        <v>Manual over-ride</v>
      </c>
      <c r="K913" t="s">
        <v>65</v>
      </c>
      <c r="L913">
        <v>10033</v>
      </c>
    </row>
    <row r="914" spans="1:12" x14ac:dyDescent="0.25">
      <c r="A914" t="s">
        <v>20</v>
      </c>
      <c r="B914" t="s">
        <v>24</v>
      </c>
      <c r="C914" t="s">
        <v>1059</v>
      </c>
      <c r="E914" t="s">
        <v>29</v>
      </c>
      <c r="F914" t="str">
        <f>_xlfn.XLOOKUP($E914,Sheet1!$E:$E,Sheet1!F:F)</f>
        <v>Auckland</v>
      </c>
      <c r="G914" t="str">
        <f>_xlfn.XLOOKUP($E914,Sheet1!$E:$E,Sheet1!G:G)</f>
        <v>Auckland [New Zealand]</v>
      </c>
      <c r="H914" t="str">
        <f>_xlfn.XLOOKUP($E914,Sheet1!$E:$E,Sheet1!H:H)</f>
        <v>Auckland, Whenuapai Aws</v>
      </c>
      <c r="I914" t="str">
        <f>_xlfn.XLOOKUP($E914,Sheet1!$E:$E,Sheet1!I:I)</f>
        <v>Manual over-ride</v>
      </c>
      <c r="K914" t="s">
        <v>1892</v>
      </c>
      <c r="L914">
        <v>24000047</v>
      </c>
    </row>
    <row r="915" spans="1:12" x14ac:dyDescent="0.25">
      <c r="A915" t="s">
        <v>20</v>
      </c>
      <c r="B915" t="s">
        <v>24</v>
      </c>
      <c r="C915" t="s">
        <v>1060</v>
      </c>
      <c r="E915" t="s">
        <v>29</v>
      </c>
      <c r="F915" t="str">
        <f>_xlfn.XLOOKUP($E915,Sheet1!$E:$E,Sheet1!F:F)</f>
        <v>Auckland</v>
      </c>
      <c r="G915" t="str">
        <f>_xlfn.XLOOKUP($E915,Sheet1!$E:$E,Sheet1!G:G)</f>
        <v>Auckland [New Zealand]</v>
      </c>
      <c r="H915" t="str">
        <f>_xlfn.XLOOKUP($E915,Sheet1!$E:$E,Sheet1!H:H)</f>
        <v>Auckland, Whenuapai Aws</v>
      </c>
      <c r="I915" t="str">
        <f>_xlfn.XLOOKUP($E915,Sheet1!$E:$E,Sheet1!I:I)</f>
        <v>Manual over-ride</v>
      </c>
      <c r="K915" t="s">
        <v>141</v>
      </c>
      <c r="L915">
        <v>21030283</v>
      </c>
    </row>
    <row r="916" spans="1:12" x14ac:dyDescent="0.25">
      <c r="A916" t="s">
        <v>20</v>
      </c>
      <c r="B916" t="s">
        <v>24</v>
      </c>
      <c r="C916" t="s">
        <v>1061</v>
      </c>
      <c r="E916" t="s">
        <v>29</v>
      </c>
      <c r="F916" t="str">
        <f>_xlfn.XLOOKUP($E916,Sheet1!$E:$E,Sheet1!F:F)</f>
        <v>Auckland</v>
      </c>
      <c r="G916" t="str">
        <f>_xlfn.XLOOKUP($E916,Sheet1!$E:$E,Sheet1!G:G)</f>
        <v>Auckland [New Zealand]</v>
      </c>
      <c r="H916" t="str">
        <f>_xlfn.XLOOKUP($E916,Sheet1!$E:$E,Sheet1!H:H)</f>
        <v>Auckland, Whenuapai Aws</v>
      </c>
      <c r="I916" t="str">
        <f>_xlfn.XLOOKUP($E916,Sheet1!$E:$E,Sheet1!I:I)</f>
        <v>Manual over-ride</v>
      </c>
      <c r="K916" t="s">
        <v>126</v>
      </c>
      <c r="L916">
        <v>24000130</v>
      </c>
    </row>
    <row r="917" spans="1:12" x14ac:dyDescent="0.25">
      <c r="A917" t="s">
        <v>20</v>
      </c>
      <c r="B917" t="s">
        <v>24</v>
      </c>
      <c r="C917" t="s">
        <v>1062</v>
      </c>
      <c r="E917" t="s">
        <v>29</v>
      </c>
      <c r="F917" t="str">
        <f>_xlfn.XLOOKUP($E917,Sheet1!$E:$E,Sheet1!F:F)</f>
        <v>Auckland</v>
      </c>
      <c r="G917" t="str">
        <f>_xlfn.XLOOKUP($E917,Sheet1!$E:$E,Sheet1!G:G)</f>
        <v>Auckland [New Zealand]</v>
      </c>
      <c r="H917" t="str">
        <f>_xlfn.XLOOKUP($E917,Sheet1!$E:$E,Sheet1!H:H)</f>
        <v>Auckland, Whenuapai Aws</v>
      </c>
      <c r="I917" t="str">
        <f>_xlfn.XLOOKUP($E917,Sheet1!$E:$E,Sheet1!I:I)</f>
        <v>Manual over-ride</v>
      </c>
      <c r="K917" t="s">
        <v>1893</v>
      </c>
      <c r="L917">
        <v>26020688</v>
      </c>
    </row>
    <row r="918" spans="1:12" x14ac:dyDescent="0.25">
      <c r="A918" t="s">
        <v>20</v>
      </c>
      <c r="B918" t="s">
        <v>24</v>
      </c>
      <c r="C918" t="s">
        <v>1063</v>
      </c>
      <c r="E918" t="s">
        <v>29</v>
      </c>
      <c r="F918" t="str">
        <f>_xlfn.XLOOKUP($E918,Sheet1!$E:$E,Sheet1!F:F)</f>
        <v>Auckland</v>
      </c>
      <c r="G918" t="str">
        <f>_xlfn.XLOOKUP($E918,Sheet1!$E:$E,Sheet1!G:G)</f>
        <v>Auckland [New Zealand]</v>
      </c>
      <c r="H918" t="str">
        <f>_xlfn.XLOOKUP($E918,Sheet1!$E:$E,Sheet1!H:H)</f>
        <v>Auckland, Whenuapai Aws</v>
      </c>
      <c r="I918" t="str">
        <f>_xlfn.XLOOKUP($E918,Sheet1!$E:$E,Sheet1!I:I)</f>
        <v>Manual over-ride</v>
      </c>
      <c r="K918" t="s">
        <v>1894</v>
      </c>
      <c r="L918">
        <v>26020679</v>
      </c>
    </row>
    <row r="919" spans="1:12" x14ac:dyDescent="0.25">
      <c r="A919" t="s">
        <v>20</v>
      </c>
      <c r="B919" t="s">
        <v>24</v>
      </c>
      <c r="C919" t="s">
        <v>1064</v>
      </c>
      <c r="E919" t="s">
        <v>29</v>
      </c>
      <c r="F919" t="str">
        <f>_xlfn.XLOOKUP($E919,Sheet1!$E:$E,Sheet1!F:F)</f>
        <v>Auckland</v>
      </c>
      <c r="G919" t="str">
        <f>_xlfn.XLOOKUP($E919,Sheet1!$E:$E,Sheet1!G:G)</f>
        <v>Auckland [New Zealand]</v>
      </c>
      <c r="H919" t="str">
        <f>_xlfn.XLOOKUP($E919,Sheet1!$E:$E,Sheet1!H:H)</f>
        <v>Auckland, Whenuapai Aws</v>
      </c>
      <c r="I919" t="str">
        <f>_xlfn.XLOOKUP($E919,Sheet1!$E:$E,Sheet1!I:I)</f>
        <v>Manual over-ride</v>
      </c>
      <c r="K919" t="s">
        <v>1895</v>
      </c>
      <c r="L919">
        <v>10125</v>
      </c>
    </row>
    <row r="920" spans="1:12" x14ac:dyDescent="0.25">
      <c r="A920" t="s">
        <v>20</v>
      </c>
      <c r="B920" t="s">
        <v>24</v>
      </c>
      <c r="C920" t="s">
        <v>1065</v>
      </c>
      <c r="E920" t="s">
        <v>29</v>
      </c>
      <c r="F920" t="str">
        <f>_xlfn.XLOOKUP($E920,Sheet1!$E:$E,Sheet1!F:F)</f>
        <v>Auckland</v>
      </c>
      <c r="G920" t="str">
        <f>_xlfn.XLOOKUP($E920,Sheet1!$E:$E,Sheet1!G:G)</f>
        <v>Auckland [New Zealand]</v>
      </c>
      <c r="H920" t="str">
        <f>_xlfn.XLOOKUP($E920,Sheet1!$E:$E,Sheet1!H:H)</f>
        <v>Auckland, Whenuapai Aws</v>
      </c>
      <c r="I920" t="str">
        <f>_xlfn.XLOOKUP($E920,Sheet1!$E:$E,Sheet1!I:I)</f>
        <v>Manual over-ride</v>
      </c>
      <c r="K920" t="s">
        <v>1896</v>
      </c>
      <c r="L920">
        <v>20050</v>
      </c>
    </row>
    <row r="921" spans="1:12" x14ac:dyDescent="0.25">
      <c r="A921" t="s">
        <v>20</v>
      </c>
      <c r="B921" t="s">
        <v>24</v>
      </c>
      <c r="C921" t="s">
        <v>1066</v>
      </c>
      <c r="E921" t="s">
        <v>29</v>
      </c>
      <c r="F921" t="str">
        <f>_xlfn.XLOOKUP($E921,Sheet1!$E:$E,Sheet1!F:F)</f>
        <v>Auckland</v>
      </c>
      <c r="G921" t="str">
        <f>_xlfn.XLOOKUP($E921,Sheet1!$E:$E,Sheet1!G:G)</f>
        <v>Auckland [New Zealand]</v>
      </c>
      <c r="H921" t="str">
        <f>_xlfn.XLOOKUP($E921,Sheet1!$E:$E,Sheet1!H:H)</f>
        <v>Auckland, Whenuapai Aws</v>
      </c>
      <c r="I921" t="str">
        <f>_xlfn.XLOOKUP($E921,Sheet1!$E:$E,Sheet1!I:I)</f>
        <v>Manual over-ride</v>
      </c>
      <c r="K921" t="s">
        <v>86</v>
      </c>
      <c r="L921">
        <v>26019532</v>
      </c>
    </row>
    <row r="922" spans="1:12" x14ac:dyDescent="0.25">
      <c r="A922" t="s">
        <v>20</v>
      </c>
      <c r="B922" t="s">
        <v>24</v>
      </c>
      <c r="C922" t="s">
        <v>1067</v>
      </c>
      <c r="E922" t="s">
        <v>29</v>
      </c>
      <c r="F922" t="str">
        <f>_xlfn.XLOOKUP($E922,Sheet1!$E:$E,Sheet1!F:F)</f>
        <v>Auckland</v>
      </c>
      <c r="G922" t="str">
        <f>_xlfn.XLOOKUP($E922,Sheet1!$E:$E,Sheet1!G:G)</f>
        <v>Auckland [New Zealand]</v>
      </c>
      <c r="H922" t="str">
        <f>_xlfn.XLOOKUP($E922,Sheet1!$E:$E,Sheet1!H:H)</f>
        <v>Auckland, Whenuapai Aws</v>
      </c>
      <c r="I922" t="str">
        <f>_xlfn.XLOOKUP($E922,Sheet1!$E:$E,Sheet1!I:I)</f>
        <v>Manual over-ride</v>
      </c>
      <c r="K922" t="s">
        <v>1897</v>
      </c>
      <c r="L922">
        <v>24000029</v>
      </c>
    </row>
    <row r="923" spans="1:12" x14ac:dyDescent="0.25">
      <c r="A923" t="s">
        <v>20</v>
      </c>
      <c r="B923" t="s">
        <v>24</v>
      </c>
      <c r="C923" t="s">
        <v>1068</v>
      </c>
      <c r="E923" t="s">
        <v>29</v>
      </c>
      <c r="F923" t="str">
        <f>_xlfn.XLOOKUP($E923,Sheet1!$E:$E,Sheet1!F:F)</f>
        <v>Auckland</v>
      </c>
      <c r="G923" t="str">
        <f>_xlfn.XLOOKUP($E923,Sheet1!$E:$E,Sheet1!G:G)</f>
        <v>Auckland [New Zealand]</v>
      </c>
      <c r="H923" t="str">
        <f>_xlfn.XLOOKUP($E923,Sheet1!$E:$E,Sheet1!H:H)</f>
        <v>Auckland, Whenuapai Aws</v>
      </c>
      <c r="I923" t="str">
        <f>_xlfn.XLOOKUP($E923,Sheet1!$E:$E,Sheet1!I:I)</f>
        <v>Manual over-ride</v>
      </c>
      <c r="K923" t="s">
        <v>130</v>
      </c>
      <c r="L923">
        <v>26018544</v>
      </c>
    </row>
    <row r="924" spans="1:12" x14ac:dyDescent="0.25">
      <c r="A924" t="s">
        <v>20</v>
      </c>
      <c r="B924" t="s">
        <v>24</v>
      </c>
      <c r="C924" t="s">
        <v>1069</v>
      </c>
      <c r="E924" t="s">
        <v>29</v>
      </c>
      <c r="F924" t="str">
        <f>_xlfn.XLOOKUP($E924,Sheet1!$E:$E,Sheet1!F:F)</f>
        <v>Auckland</v>
      </c>
      <c r="G924" t="str">
        <f>_xlfn.XLOOKUP($E924,Sheet1!$E:$E,Sheet1!G:G)</f>
        <v>Auckland [New Zealand]</v>
      </c>
      <c r="H924" t="str">
        <f>_xlfn.XLOOKUP($E924,Sheet1!$E:$E,Sheet1!H:H)</f>
        <v>Auckland, Whenuapai Aws</v>
      </c>
      <c r="I924" t="str">
        <f>_xlfn.XLOOKUP($E924,Sheet1!$E:$E,Sheet1!I:I)</f>
        <v>Manual over-ride</v>
      </c>
      <c r="K924" t="s">
        <v>1898</v>
      </c>
      <c r="L924">
        <v>26004020</v>
      </c>
    </row>
    <row r="925" spans="1:12" x14ac:dyDescent="0.25">
      <c r="A925" t="s">
        <v>20</v>
      </c>
      <c r="B925" t="s">
        <v>24</v>
      </c>
      <c r="C925" t="s">
        <v>1070</v>
      </c>
      <c r="E925" t="s">
        <v>29</v>
      </c>
      <c r="F925" t="str">
        <f>_xlfn.XLOOKUP($E925,Sheet1!$E:$E,Sheet1!F:F)</f>
        <v>Auckland</v>
      </c>
      <c r="G925" t="str">
        <f>_xlfn.XLOOKUP($E925,Sheet1!$E:$E,Sheet1!G:G)</f>
        <v>Auckland [New Zealand]</v>
      </c>
      <c r="H925" t="str">
        <f>_xlfn.XLOOKUP($E925,Sheet1!$E:$E,Sheet1!H:H)</f>
        <v>Auckland, Whenuapai Aws</v>
      </c>
      <c r="I925" t="str">
        <f>_xlfn.XLOOKUP($E925,Sheet1!$E:$E,Sheet1!I:I)</f>
        <v>Manual over-ride</v>
      </c>
      <c r="K925" t="s">
        <v>131</v>
      </c>
      <c r="L925">
        <v>26018555</v>
      </c>
    </row>
    <row r="926" spans="1:12" x14ac:dyDescent="0.25">
      <c r="A926" t="s">
        <v>20</v>
      </c>
      <c r="B926" t="s">
        <v>24</v>
      </c>
      <c r="C926" t="s">
        <v>1071</v>
      </c>
      <c r="E926" t="s">
        <v>29</v>
      </c>
      <c r="F926" t="str">
        <f>_xlfn.XLOOKUP($E926,Sheet1!$E:$E,Sheet1!F:F)</f>
        <v>Auckland</v>
      </c>
      <c r="G926" t="str">
        <f>_xlfn.XLOOKUP($E926,Sheet1!$E:$E,Sheet1!G:G)</f>
        <v>Auckland [New Zealand]</v>
      </c>
      <c r="H926" t="str">
        <f>_xlfn.XLOOKUP($E926,Sheet1!$E:$E,Sheet1!H:H)</f>
        <v>Auckland, Whenuapai Aws</v>
      </c>
      <c r="I926" t="str">
        <f>_xlfn.XLOOKUP($E926,Sheet1!$E:$E,Sheet1!I:I)</f>
        <v>Manual over-ride</v>
      </c>
      <c r="K926" t="s">
        <v>1899</v>
      </c>
      <c r="L926">
        <v>26016949</v>
      </c>
    </row>
    <row r="927" spans="1:12" x14ac:dyDescent="0.25">
      <c r="A927" t="s">
        <v>20</v>
      </c>
      <c r="B927" t="s">
        <v>24</v>
      </c>
      <c r="C927" t="s">
        <v>1072</v>
      </c>
      <c r="E927" t="s">
        <v>29</v>
      </c>
      <c r="F927" t="str">
        <f>_xlfn.XLOOKUP($E927,Sheet1!$E:$E,Sheet1!F:F)</f>
        <v>Auckland</v>
      </c>
      <c r="G927" t="str">
        <f>_xlfn.XLOOKUP($E927,Sheet1!$E:$E,Sheet1!G:G)</f>
        <v>Auckland [New Zealand]</v>
      </c>
      <c r="H927" t="str">
        <f>_xlfn.XLOOKUP($E927,Sheet1!$E:$E,Sheet1!H:H)</f>
        <v>Auckland, Whenuapai Aws</v>
      </c>
      <c r="I927" t="str">
        <f>_xlfn.XLOOKUP($E927,Sheet1!$E:$E,Sheet1!I:I)</f>
        <v>Manual over-ride</v>
      </c>
      <c r="K927" t="s">
        <v>1900</v>
      </c>
      <c r="L927">
        <v>26016623</v>
      </c>
    </row>
    <row r="928" spans="1:12" x14ac:dyDescent="0.25">
      <c r="A928" t="s">
        <v>20</v>
      </c>
      <c r="B928" t="s">
        <v>24</v>
      </c>
      <c r="C928" t="s">
        <v>1073</v>
      </c>
      <c r="E928" t="s">
        <v>29</v>
      </c>
      <c r="F928" t="str">
        <f>_xlfn.XLOOKUP($E928,Sheet1!$E:$E,Sheet1!F:F)</f>
        <v>Auckland</v>
      </c>
      <c r="G928" t="str">
        <f>_xlfn.XLOOKUP($E928,Sheet1!$E:$E,Sheet1!G:G)</f>
        <v>Auckland [New Zealand]</v>
      </c>
      <c r="H928" t="str">
        <f>_xlfn.XLOOKUP($E928,Sheet1!$E:$E,Sheet1!H:H)</f>
        <v>Auckland, Whenuapai Aws</v>
      </c>
      <c r="I928" t="str">
        <f>_xlfn.XLOOKUP($E928,Sheet1!$E:$E,Sheet1!I:I)</f>
        <v>Manual over-ride</v>
      </c>
      <c r="K928" t="s">
        <v>1901</v>
      </c>
      <c r="L928">
        <v>55373</v>
      </c>
    </row>
    <row r="929" spans="1:12" x14ac:dyDescent="0.25">
      <c r="A929" t="s">
        <v>20</v>
      </c>
      <c r="B929" t="s">
        <v>24</v>
      </c>
      <c r="C929" t="s">
        <v>1074</v>
      </c>
      <c r="E929" t="s">
        <v>29</v>
      </c>
      <c r="F929" t="str">
        <f>_xlfn.XLOOKUP($E929,Sheet1!$E:$E,Sheet1!F:F)</f>
        <v>Auckland</v>
      </c>
      <c r="G929" t="str">
        <f>_xlfn.XLOOKUP($E929,Sheet1!$E:$E,Sheet1!G:G)</f>
        <v>Auckland [New Zealand]</v>
      </c>
      <c r="H929" t="str">
        <f>_xlfn.XLOOKUP($E929,Sheet1!$E:$E,Sheet1!H:H)</f>
        <v>Auckland, Whenuapai Aws</v>
      </c>
      <c r="I929" t="str">
        <f>_xlfn.XLOOKUP($E929,Sheet1!$E:$E,Sheet1!I:I)</f>
        <v>Manual over-ride</v>
      </c>
      <c r="K929" t="s">
        <v>1902</v>
      </c>
      <c r="L929">
        <v>26016616</v>
      </c>
    </row>
    <row r="930" spans="1:12" x14ac:dyDescent="0.25">
      <c r="A930" t="s">
        <v>20</v>
      </c>
      <c r="B930" t="s">
        <v>24</v>
      </c>
      <c r="C930" t="s">
        <v>1075</v>
      </c>
      <c r="E930" t="s">
        <v>29</v>
      </c>
      <c r="F930" t="str">
        <f>_xlfn.XLOOKUP($E930,Sheet1!$E:$E,Sheet1!F:F)</f>
        <v>Auckland</v>
      </c>
      <c r="G930" t="str">
        <f>_xlfn.XLOOKUP($E930,Sheet1!$E:$E,Sheet1!G:G)</f>
        <v>Auckland [New Zealand]</v>
      </c>
      <c r="H930" t="str">
        <f>_xlfn.XLOOKUP($E930,Sheet1!$E:$E,Sheet1!H:H)</f>
        <v>Auckland, Whenuapai Aws</v>
      </c>
      <c r="I930" t="str">
        <f>_xlfn.XLOOKUP($E930,Sheet1!$E:$E,Sheet1!I:I)</f>
        <v>Manual over-ride</v>
      </c>
      <c r="K930" t="s">
        <v>1903</v>
      </c>
      <c r="L930">
        <v>26017175</v>
      </c>
    </row>
    <row r="931" spans="1:12" x14ac:dyDescent="0.25">
      <c r="A931" t="s">
        <v>20</v>
      </c>
      <c r="B931" t="s">
        <v>24</v>
      </c>
      <c r="C931" t="s">
        <v>1076</v>
      </c>
      <c r="E931" t="s">
        <v>29</v>
      </c>
      <c r="F931" t="str">
        <f>_xlfn.XLOOKUP($E931,Sheet1!$E:$E,Sheet1!F:F)</f>
        <v>Auckland</v>
      </c>
      <c r="G931" t="str">
        <f>_xlfn.XLOOKUP($E931,Sheet1!$E:$E,Sheet1!G:G)</f>
        <v>Auckland [New Zealand]</v>
      </c>
      <c r="H931" t="str">
        <f>_xlfn.XLOOKUP($E931,Sheet1!$E:$E,Sheet1!H:H)</f>
        <v>Auckland, Whenuapai Aws</v>
      </c>
      <c r="I931" t="str">
        <f>_xlfn.XLOOKUP($E931,Sheet1!$E:$E,Sheet1!I:I)</f>
        <v>Manual over-ride</v>
      </c>
      <c r="K931" t="s">
        <v>1904</v>
      </c>
      <c r="L931">
        <v>26002890</v>
      </c>
    </row>
    <row r="932" spans="1:12" x14ac:dyDescent="0.25">
      <c r="A932" t="s">
        <v>20</v>
      </c>
      <c r="B932" t="s">
        <v>24</v>
      </c>
      <c r="C932" t="s">
        <v>1077</v>
      </c>
      <c r="E932" t="s">
        <v>29</v>
      </c>
      <c r="F932" t="str">
        <f>_xlfn.XLOOKUP($E932,Sheet1!$E:$E,Sheet1!F:F)</f>
        <v>Auckland</v>
      </c>
      <c r="G932" t="str">
        <f>_xlfn.XLOOKUP($E932,Sheet1!$E:$E,Sheet1!G:G)</f>
        <v>Auckland [New Zealand]</v>
      </c>
      <c r="H932" t="str">
        <f>_xlfn.XLOOKUP($E932,Sheet1!$E:$E,Sheet1!H:H)</f>
        <v>Auckland, Whenuapai Aws</v>
      </c>
      <c r="I932" t="str">
        <f>_xlfn.XLOOKUP($E932,Sheet1!$E:$E,Sheet1!I:I)</f>
        <v>Manual over-ride</v>
      </c>
      <c r="K932" t="s">
        <v>97</v>
      </c>
      <c r="L932">
        <v>26014870</v>
      </c>
    </row>
    <row r="933" spans="1:12" x14ac:dyDescent="0.25">
      <c r="A933" t="s">
        <v>20</v>
      </c>
      <c r="B933" t="s">
        <v>24</v>
      </c>
      <c r="C933" t="s">
        <v>1078</v>
      </c>
      <c r="E933" t="s">
        <v>29</v>
      </c>
      <c r="F933" t="str">
        <f>_xlfn.XLOOKUP($E933,Sheet1!$E:$E,Sheet1!F:F)</f>
        <v>Auckland</v>
      </c>
      <c r="G933" t="str">
        <f>_xlfn.XLOOKUP($E933,Sheet1!$E:$E,Sheet1!G:G)</f>
        <v>Auckland [New Zealand]</v>
      </c>
      <c r="H933" t="str">
        <f>_xlfn.XLOOKUP($E933,Sheet1!$E:$E,Sheet1!H:H)</f>
        <v>Auckland, Whenuapai Aws</v>
      </c>
      <c r="I933" t="str">
        <f>_xlfn.XLOOKUP($E933,Sheet1!$E:$E,Sheet1!I:I)</f>
        <v>Manual over-ride</v>
      </c>
      <c r="K933" t="s">
        <v>1905</v>
      </c>
      <c r="L933">
        <v>50120</v>
      </c>
    </row>
    <row r="934" spans="1:12" x14ac:dyDescent="0.25">
      <c r="A934" t="s">
        <v>20</v>
      </c>
      <c r="B934" t="s">
        <v>24</v>
      </c>
      <c r="C934" t="s">
        <v>1079</v>
      </c>
      <c r="E934" t="s">
        <v>29</v>
      </c>
      <c r="F934" t="str">
        <f>_xlfn.XLOOKUP($E934,Sheet1!$E:$E,Sheet1!F:F)</f>
        <v>Auckland</v>
      </c>
      <c r="G934" t="str">
        <f>_xlfn.XLOOKUP($E934,Sheet1!$E:$E,Sheet1!G:G)</f>
        <v>Auckland [New Zealand]</v>
      </c>
      <c r="H934" t="str">
        <f>_xlfn.XLOOKUP($E934,Sheet1!$E:$E,Sheet1!H:H)</f>
        <v>Auckland, Whenuapai Aws</v>
      </c>
      <c r="I934" t="str">
        <f>_xlfn.XLOOKUP($E934,Sheet1!$E:$E,Sheet1!I:I)</f>
        <v>Manual over-ride</v>
      </c>
      <c r="K934" t="s">
        <v>1906</v>
      </c>
      <c r="L934">
        <v>26014780</v>
      </c>
    </row>
    <row r="935" spans="1:12" x14ac:dyDescent="0.25">
      <c r="A935" t="s">
        <v>20</v>
      </c>
      <c r="B935" t="s">
        <v>24</v>
      </c>
      <c r="C935" t="s">
        <v>1080</v>
      </c>
      <c r="E935" t="s">
        <v>29</v>
      </c>
      <c r="F935" t="str">
        <f>_xlfn.XLOOKUP($E935,Sheet1!$E:$E,Sheet1!F:F)</f>
        <v>Auckland</v>
      </c>
      <c r="G935" t="str">
        <f>_xlfn.XLOOKUP($E935,Sheet1!$E:$E,Sheet1!G:G)</f>
        <v>Auckland [New Zealand]</v>
      </c>
      <c r="H935" t="str">
        <f>_xlfn.XLOOKUP($E935,Sheet1!$E:$E,Sheet1!H:H)</f>
        <v>Auckland, Whenuapai Aws</v>
      </c>
      <c r="I935" t="str">
        <f>_xlfn.XLOOKUP($E935,Sheet1!$E:$E,Sheet1!I:I)</f>
        <v>Manual over-ride</v>
      </c>
      <c r="K935" t="s">
        <v>1907</v>
      </c>
      <c r="L935">
        <v>26017064</v>
      </c>
    </row>
    <row r="936" spans="1:12" x14ac:dyDescent="0.25">
      <c r="A936" t="s">
        <v>20</v>
      </c>
      <c r="B936" t="s">
        <v>24</v>
      </c>
      <c r="C936" t="s">
        <v>1081</v>
      </c>
      <c r="E936" t="s">
        <v>29</v>
      </c>
      <c r="F936" t="str">
        <f>_xlfn.XLOOKUP($E936,Sheet1!$E:$E,Sheet1!F:F)</f>
        <v>Auckland</v>
      </c>
      <c r="G936" t="str">
        <f>_xlfn.XLOOKUP($E936,Sheet1!$E:$E,Sheet1!G:G)</f>
        <v>Auckland [New Zealand]</v>
      </c>
      <c r="H936" t="str">
        <f>_xlfn.XLOOKUP($E936,Sheet1!$E:$E,Sheet1!H:H)</f>
        <v>Auckland, Whenuapai Aws</v>
      </c>
      <c r="I936" t="str">
        <f>_xlfn.XLOOKUP($E936,Sheet1!$E:$E,Sheet1!I:I)</f>
        <v>Manual over-ride</v>
      </c>
      <c r="K936" t="s">
        <v>99</v>
      </c>
      <c r="L936">
        <v>10074</v>
      </c>
    </row>
    <row r="937" spans="1:12" x14ac:dyDescent="0.25">
      <c r="A937" t="s">
        <v>20</v>
      </c>
      <c r="B937" t="s">
        <v>24</v>
      </c>
      <c r="C937" t="s">
        <v>1082</v>
      </c>
      <c r="E937" t="s">
        <v>29</v>
      </c>
      <c r="F937" t="str">
        <f>_xlfn.XLOOKUP($E937,Sheet1!$E:$E,Sheet1!F:F)</f>
        <v>Auckland</v>
      </c>
      <c r="G937" t="str">
        <f>_xlfn.XLOOKUP($E937,Sheet1!$E:$E,Sheet1!G:G)</f>
        <v>Auckland [New Zealand]</v>
      </c>
      <c r="H937" t="str">
        <f>_xlfn.XLOOKUP($E937,Sheet1!$E:$E,Sheet1!H:H)</f>
        <v>Auckland, Whenuapai Aws</v>
      </c>
      <c r="I937" t="str">
        <f>_xlfn.XLOOKUP($E937,Sheet1!$E:$E,Sheet1!I:I)</f>
        <v>Manual over-ride</v>
      </c>
      <c r="K937" t="s">
        <v>1908</v>
      </c>
      <c r="L937">
        <v>26020681</v>
      </c>
    </row>
    <row r="938" spans="1:12" x14ac:dyDescent="0.25">
      <c r="A938" t="s">
        <v>20</v>
      </c>
      <c r="B938" t="s">
        <v>24</v>
      </c>
      <c r="C938" t="s">
        <v>1083</v>
      </c>
      <c r="E938" t="s">
        <v>29</v>
      </c>
      <c r="F938" t="str">
        <f>_xlfn.XLOOKUP($E938,Sheet1!$E:$E,Sheet1!F:F)</f>
        <v>Auckland</v>
      </c>
      <c r="G938" t="str">
        <f>_xlfn.XLOOKUP($E938,Sheet1!$E:$E,Sheet1!G:G)</f>
        <v>Auckland [New Zealand]</v>
      </c>
      <c r="H938" t="str">
        <f>_xlfn.XLOOKUP($E938,Sheet1!$E:$E,Sheet1!H:H)</f>
        <v>Auckland, Whenuapai Aws</v>
      </c>
      <c r="I938" t="str">
        <f>_xlfn.XLOOKUP($E938,Sheet1!$E:$E,Sheet1!I:I)</f>
        <v>Manual over-ride</v>
      </c>
      <c r="K938" t="s">
        <v>1909</v>
      </c>
      <c r="L938">
        <v>23000330</v>
      </c>
    </row>
    <row r="939" spans="1:12" x14ac:dyDescent="0.25">
      <c r="A939" t="s">
        <v>20</v>
      </c>
      <c r="B939" t="s">
        <v>24</v>
      </c>
      <c r="C939" t="s">
        <v>1084</v>
      </c>
      <c r="E939" t="s">
        <v>29</v>
      </c>
      <c r="F939" t="str">
        <f>_xlfn.XLOOKUP($E939,Sheet1!$E:$E,Sheet1!F:F)</f>
        <v>Auckland</v>
      </c>
      <c r="G939" t="str">
        <f>_xlfn.XLOOKUP($E939,Sheet1!$E:$E,Sheet1!G:G)</f>
        <v>Auckland [New Zealand]</v>
      </c>
      <c r="H939" t="str">
        <f>_xlfn.XLOOKUP($E939,Sheet1!$E:$E,Sheet1!H:H)</f>
        <v>Auckland, Whenuapai Aws</v>
      </c>
      <c r="I939" t="str">
        <f>_xlfn.XLOOKUP($E939,Sheet1!$E:$E,Sheet1!I:I)</f>
        <v>Manual over-ride</v>
      </c>
      <c r="K939" t="s">
        <v>1910</v>
      </c>
      <c r="L939">
        <v>24000153</v>
      </c>
    </row>
    <row r="940" spans="1:12" x14ac:dyDescent="0.25">
      <c r="A940" t="s">
        <v>20</v>
      </c>
      <c r="B940" t="s">
        <v>24</v>
      </c>
      <c r="C940" t="s">
        <v>1085</v>
      </c>
      <c r="E940" t="s">
        <v>29</v>
      </c>
      <c r="F940" t="str">
        <f>_xlfn.XLOOKUP($E940,Sheet1!$E:$E,Sheet1!F:F)</f>
        <v>Auckland</v>
      </c>
      <c r="G940" t="str">
        <f>_xlfn.XLOOKUP($E940,Sheet1!$E:$E,Sheet1!G:G)</f>
        <v>Auckland [New Zealand]</v>
      </c>
      <c r="H940" t="str">
        <f>_xlfn.XLOOKUP($E940,Sheet1!$E:$E,Sheet1!H:H)</f>
        <v>Auckland, Whenuapai Aws</v>
      </c>
      <c r="I940" t="str">
        <f>_xlfn.XLOOKUP($E940,Sheet1!$E:$E,Sheet1!I:I)</f>
        <v>Manual over-ride</v>
      </c>
      <c r="K940" t="s">
        <v>1911</v>
      </c>
      <c r="L940">
        <v>26018025</v>
      </c>
    </row>
    <row r="941" spans="1:12" x14ac:dyDescent="0.25">
      <c r="A941" t="s">
        <v>20</v>
      </c>
      <c r="B941" t="s">
        <v>24</v>
      </c>
      <c r="C941" t="s">
        <v>1086</v>
      </c>
      <c r="E941" t="s">
        <v>29</v>
      </c>
      <c r="F941" t="str">
        <f>_xlfn.XLOOKUP($E941,Sheet1!$E:$E,Sheet1!F:F)</f>
        <v>Auckland</v>
      </c>
      <c r="G941" t="str">
        <f>_xlfn.XLOOKUP($E941,Sheet1!$E:$E,Sheet1!G:G)</f>
        <v>Auckland [New Zealand]</v>
      </c>
      <c r="H941" t="str">
        <f>_xlfn.XLOOKUP($E941,Sheet1!$E:$E,Sheet1!H:H)</f>
        <v>Auckland, Whenuapai Aws</v>
      </c>
      <c r="I941" t="str">
        <f>_xlfn.XLOOKUP($E941,Sheet1!$E:$E,Sheet1!I:I)</f>
        <v>Manual over-ride</v>
      </c>
      <c r="K941" t="s">
        <v>1912</v>
      </c>
      <c r="L941">
        <v>26017255</v>
      </c>
    </row>
    <row r="942" spans="1:12" x14ac:dyDescent="0.25">
      <c r="A942" t="s">
        <v>20</v>
      </c>
      <c r="B942" t="s">
        <v>24</v>
      </c>
      <c r="C942" t="s">
        <v>1087</v>
      </c>
      <c r="E942" t="s">
        <v>29</v>
      </c>
      <c r="F942" t="str">
        <f>_xlfn.XLOOKUP($E942,Sheet1!$E:$E,Sheet1!F:F)</f>
        <v>Auckland</v>
      </c>
      <c r="G942" t="str">
        <f>_xlfn.XLOOKUP($E942,Sheet1!$E:$E,Sheet1!G:G)</f>
        <v>Auckland [New Zealand]</v>
      </c>
      <c r="H942" t="str">
        <f>_xlfn.XLOOKUP($E942,Sheet1!$E:$E,Sheet1!H:H)</f>
        <v>Auckland, Whenuapai Aws</v>
      </c>
      <c r="I942" t="str">
        <f>_xlfn.XLOOKUP($E942,Sheet1!$E:$E,Sheet1!I:I)</f>
        <v>Manual over-ride</v>
      </c>
      <c r="K942" t="s">
        <v>1913</v>
      </c>
      <c r="L942">
        <v>10130</v>
      </c>
    </row>
    <row r="943" spans="1:12" x14ac:dyDescent="0.25">
      <c r="A943" t="s">
        <v>20</v>
      </c>
      <c r="B943" t="s">
        <v>24</v>
      </c>
      <c r="C943" t="s">
        <v>1088</v>
      </c>
      <c r="E943" t="s">
        <v>29</v>
      </c>
      <c r="F943" t="str">
        <f>_xlfn.XLOOKUP($E943,Sheet1!$E:$E,Sheet1!F:F)</f>
        <v>Auckland</v>
      </c>
      <c r="G943" t="str">
        <f>_xlfn.XLOOKUP($E943,Sheet1!$E:$E,Sheet1!G:G)</f>
        <v>Auckland [New Zealand]</v>
      </c>
      <c r="H943" t="str">
        <f>_xlfn.XLOOKUP($E943,Sheet1!$E:$E,Sheet1!H:H)</f>
        <v>Auckland, Whenuapai Aws</v>
      </c>
      <c r="I943" t="str">
        <f>_xlfn.XLOOKUP($E943,Sheet1!$E:$E,Sheet1!I:I)</f>
        <v>Manual over-ride</v>
      </c>
      <c r="K943" t="s">
        <v>122</v>
      </c>
      <c r="L943">
        <v>26017088</v>
      </c>
    </row>
    <row r="944" spans="1:12" x14ac:dyDescent="0.25">
      <c r="A944" t="s">
        <v>20</v>
      </c>
      <c r="B944" t="s">
        <v>24</v>
      </c>
      <c r="C944" t="s">
        <v>1089</v>
      </c>
      <c r="E944" t="s">
        <v>29</v>
      </c>
      <c r="F944" t="str">
        <f>_xlfn.XLOOKUP($E944,Sheet1!$E:$E,Sheet1!F:F)</f>
        <v>Auckland</v>
      </c>
      <c r="G944" t="str">
        <f>_xlfn.XLOOKUP($E944,Sheet1!$E:$E,Sheet1!G:G)</f>
        <v>Auckland [New Zealand]</v>
      </c>
      <c r="H944" t="str">
        <f>_xlfn.XLOOKUP($E944,Sheet1!$E:$E,Sheet1!H:H)</f>
        <v>Auckland, Whenuapai Aws</v>
      </c>
      <c r="I944" t="str">
        <f>_xlfn.XLOOKUP($E944,Sheet1!$E:$E,Sheet1!I:I)</f>
        <v>Manual over-ride</v>
      </c>
      <c r="K944" t="s">
        <v>1914</v>
      </c>
      <c r="L944">
        <v>24000061</v>
      </c>
    </row>
    <row r="945" spans="1:12" x14ac:dyDescent="0.25">
      <c r="A945" t="s">
        <v>20</v>
      </c>
      <c r="B945" t="s">
        <v>24</v>
      </c>
      <c r="C945" t="s">
        <v>1090</v>
      </c>
      <c r="E945" t="s">
        <v>29</v>
      </c>
      <c r="F945" t="str">
        <f>_xlfn.XLOOKUP($E945,Sheet1!$E:$E,Sheet1!F:F)</f>
        <v>Auckland</v>
      </c>
      <c r="G945" t="str">
        <f>_xlfn.XLOOKUP($E945,Sheet1!$E:$E,Sheet1!G:G)</f>
        <v>Auckland [New Zealand]</v>
      </c>
      <c r="H945" t="str">
        <f>_xlfn.XLOOKUP($E945,Sheet1!$E:$E,Sheet1!H:H)</f>
        <v>Auckland, Whenuapai Aws</v>
      </c>
      <c r="I945" t="str">
        <f>_xlfn.XLOOKUP($E945,Sheet1!$E:$E,Sheet1!I:I)</f>
        <v>Manual over-ride</v>
      </c>
      <c r="K945" t="s">
        <v>1915</v>
      </c>
      <c r="L945">
        <v>10251</v>
      </c>
    </row>
    <row r="946" spans="1:12" x14ac:dyDescent="0.25">
      <c r="A946" t="s">
        <v>20</v>
      </c>
      <c r="B946" t="s">
        <v>24</v>
      </c>
      <c r="C946" t="s">
        <v>1091</v>
      </c>
      <c r="E946" t="s">
        <v>29</v>
      </c>
      <c r="F946" t="str">
        <f>_xlfn.XLOOKUP($E946,Sheet1!$E:$E,Sheet1!F:F)</f>
        <v>Auckland</v>
      </c>
      <c r="G946" t="str">
        <f>_xlfn.XLOOKUP($E946,Sheet1!$E:$E,Sheet1!G:G)</f>
        <v>Auckland [New Zealand]</v>
      </c>
      <c r="H946" t="str">
        <f>_xlfn.XLOOKUP($E946,Sheet1!$E:$E,Sheet1!H:H)</f>
        <v>Auckland, Whenuapai Aws</v>
      </c>
      <c r="I946" t="str">
        <f>_xlfn.XLOOKUP($E946,Sheet1!$E:$E,Sheet1!I:I)</f>
        <v>Manual over-ride</v>
      </c>
      <c r="K946" t="s">
        <v>129</v>
      </c>
      <c r="L946">
        <v>23000789</v>
      </c>
    </row>
    <row r="947" spans="1:12" x14ac:dyDescent="0.25">
      <c r="A947" t="s">
        <v>20</v>
      </c>
      <c r="B947" t="s">
        <v>24</v>
      </c>
      <c r="C947" t="s">
        <v>1092</v>
      </c>
      <c r="E947" t="s">
        <v>29</v>
      </c>
      <c r="F947" t="str">
        <f>_xlfn.XLOOKUP($E947,Sheet1!$E:$E,Sheet1!F:F)</f>
        <v>Auckland</v>
      </c>
      <c r="G947" t="str">
        <f>_xlfn.XLOOKUP($E947,Sheet1!$E:$E,Sheet1!G:G)</f>
        <v>Auckland [New Zealand]</v>
      </c>
      <c r="H947" t="str">
        <f>_xlfn.XLOOKUP($E947,Sheet1!$E:$E,Sheet1!H:H)</f>
        <v>Auckland, Whenuapai Aws</v>
      </c>
      <c r="I947" t="str">
        <f>_xlfn.XLOOKUP($E947,Sheet1!$E:$E,Sheet1!I:I)</f>
        <v>Manual over-ride</v>
      </c>
      <c r="K947" t="s">
        <v>153</v>
      </c>
      <c r="L947">
        <v>80311</v>
      </c>
    </row>
  </sheetData>
  <autoFilter ref="A1:T947" xr:uid="{BA065ADA-3637-4A56-A0C2-07BCF469188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F0E0-504F-457D-BFB0-17C8A2F1C7D0}">
  <dimension ref="A1:T3"/>
  <sheetViews>
    <sheetView workbookViewId="0">
      <selection activeCell="C4" sqref="C4"/>
    </sheetView>
  </sheetViews>
  <sheetFormatPr defaultRowHeight="15" x14ac:dyDescent="0.25"/>
  <cols>
    <col min="1" max="1" width="12.42578125" bestFit="1" customWidth="1"/>
    <col min="2" max="2" width="13.140625" bestFit="1" customWidth="1"/>
    <col min="3" max="3" width="28.5703125" bestFit="1" customWidth="1"/>
    <col min="4" max="4" width="12.5703125" bestFit="1" customWidth="1"/>
    <col min="5" max="5" width="12.42578125" bestFit="1" customWidth="1"/>
    <col min="6" max="6" width="10.5703125" bestFit="1" customWidth="1"/>
    <col min="7" max="7" width="27.85546875" bestFit="1" customWidth="1"/>
    <col min="8" max="8" width="24.85546875" bestFit="1" customWidth="1"/>
    <col min="9" max="9" width="25.28515625" bestFit="1" customWidth="1"/>
    <col min="10" max="10" width="3.5703125" bestFit="1" customWidth="1"/>
    <col min="11" max="13" width="14.28515625" bestFit="1" customWidth="1"/>
    <col min="14" max="14" width="12.140625" bestFit="1" customWidth="1"/>
    <col min="15" max="15" width="12.5703125" bestFit="1" customWidth="1"/>
    <col min="16" max="16" width="8.140625" bestFit="1" customWidth="1"/>
    <col min="17" max="17" width="4.140625" bestFit="1" customWidth="1"/>
    <col min="18" max="18" width="5.28515625" bestFit="1" customWidth="1"/>
    <col min="19" max="19" width="9.7109375" bestFit="1" customWidth="1"/>
    <col min="20" max="20" width="14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24</v>
      </c>
      <c r="C2" t="s">
        <v>25</v>
      </c>
      <c r="D2">
        <v>6046110</v>
      </c>
      <c r="E2" t="s">
        <v>21</v>
      </c>
      <c r="F2" t="s">
        <v>26</v>
      </c>
      <c r="G2" t="s">
        <v>27</v>
      </c>
      <c r="I2" t="s">
        <v>22</v>
      </c>
    </row>
    <row r="3" spans="1:20" x14ac:dyDescent="0.25">
      <c r="A3" t="s">
        <v>20</v>
      </c>
      <c r="B3" t="s">
        <v>30</v>
      </c>
      <c r="C3" t="s">
        <v>31</v>
      </c>
      <c r="D3">
        <v>6042214</v>
      </c>
      <c r="E3" t="s">
        <v>29</v>
      </c>
      <c r="F3" t="s">
        <v>32</v>
      </c>
      <c r="G3" t="s">
        <v>33</v>
      </c>
      <c r="H3" t="s">
        <v>34</v>
      </c>
      <c r="I3" t="s">
        <v>28</v>
      </c>
      <c r="K3" t="s">
        <v>35</v>
      </c>
      <c r="L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Setup_locations_Basic_Palantir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Brogden</cp:lastModifiedBy>
  <dcterms:created xsi:type="dcterms:W3CDTF">2026-03-27T03:20:49Z</dcterms:created>
  <dcterms:modified xsi:type="dcterms:W3CDTF">2026-03-27T03:34:39Z</dcterms:modified>
</cp:coreProperties>
</file>